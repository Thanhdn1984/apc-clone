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0470" yWindow="3120" windowWidth="12315" windowHeight="7635" tabRatio="642"/>
  </bookViews>
  <sheets>
    <sheet name="MENU" sheetId="7" r:id="rId1"/>
    <sheet name="BC NHANH" sheetId="5" r:id="rId2"/>
    <sheet name="BCTC Nam N" sheetId="1" r:id="rId3"/>
    <sheet name="BCTC Nam N-1" sheetId="2" r:id="rId4"/>
    <sheet name="BCTC Nam N-2" sheetId="6" r:id="rId5"/>
    <sheet name="KETQUA_KD" sheetId="11" r:id="rId6"/>
    <sheet name="CHI_SO" sheetId="8" r:id="rId7"/>
    <sheet name="CAN_DOI" sheetId="10" r:id="rId8"/>
    <sheet name="TONGHOP" sheetId="4" r:id="rId9"/>
  </sheets>
  <externalReferences>
    <externalReference r:id="rId10"/>
  </externalReferences>
  <definedNames>
    <definedName name="Bao_cao_nhanh">'BC NHANH'!$A$1:$C$23</definedName>
    <definedName name="MS">[1]CDPS!$B$11:$B$219</definedName>
    <definedName name="ngay1">[1]ThongtinDN!$D$16</definedName>
    <definedName name="ngay2">[1]ThongtinDN!$D$17</definedName>
    <definedName name="PSCKC">[1]CDPS!$J$11:$J$219</definedName>
    <definedName name="PSCKN">[1]CDPS!$I$11:$I$219</definedName>
    <definedName name="PSDKC">[1]CDPS!$F$11:$F$219</definedName>
    <definedName name="PSDKN">[1]CDPS!$E$11:$E$219</definedName>
  </definedNames>
  <calcPr calcId="144525"/>
</workbook>
</file>

<file path=xl/calcChain.xml><?xml version="1.0" encoding="utf-8"?>
<calcChain xmlns="http://schemas.openxmlformats.org/spreadsheetml/2006/main">
  <c r="G5" i="4" l="1"/>
  <c r="D54" i="4" l="1"/>
  <c r="AV2" i="4" s="1"/>
  <c r="G5" i="11"/>
  <c r="C3" i="5"/>
  <c r="D26" i="4"/>
  <c r="E26" i="4" s="1"/>
  <c r="T2" i="4" s="1"/>
  <c r="D48" i="4" l="1"/>
  <c r="E48" i="4" s="1"/>
  <c r="AP2" i="4" s="1"/>
  <c r="D45" i="4"/>
  <c r="E45" i="4" s="1"/>
  <c r="AM2" i="4" s="1"/>
  <c r="D40" i="4"/>
  <c r="E40" i="4" s="1"/>
  <c r="AH2" i="4" s="1"/>
  <c r="D75" i="4"/>
  <c r="E75" i="4" s="1"/>
  <c r="BQ2" i="4" s="1"/>
  <c r="D72" i="4"/>
  <c r="E72" i="4" s="1"/>
  <c r="BN2" i="4" s="1"/>
  <c r="D71" i="4"/>
  <c r="E71" i="4" s="1"/>
  <c r="BM2" i="4" s="1"/>
  <c r="D44" i="4"/>
  <c r="E44" i="4" s="1"/>
  <c r="AL2" i="4" s="1"/>
  <c r="D80" i="4"/>
  <c r="E80" i="4" s="1"/>
  <c r="BV2" i="4" s="1"/>
  <c r="D28" i="4"/>
  <c r="E28" i="4" s="1"/>
  <c r="V2" i="4" s="1"/>
  <c r="D65" i="4"/>
  <c r="E65" i="4" s="1"/>
  <c r="BG2" i="4" s="1"/>
  <c r="D59" i="4"/>
  <c r="E59" i="4" s="1"/>
  <c r="BA2" i="4" s="1"/>
  <c r="D79" i="4"/>
  <c r="E79" i="4" s="1"/>
  <c r="BU2" i="4" s="1"/>
  <c r="D68" i="4"/>
  <c r="E68" i="4" s="1"/>
  <c r="BJ2" i="4" s="1"/>
  <c r="D64" i="4"/>
  <c r="E64" i="4" s="1"/>
  <c r="BF2" i="4" s="1"/>
  <c r="D39" i="4"/>
  <c r="E39" i="4" s="1"/>
  <c r="AG2" i="4" s="1"/>
  <c r="D32" i="4"/>
  <c r="E32" i="4" s="1"/>
  <c r="Z2" i="4" s="1"/>
  <c r="D77" i="4"/>
  <c r="E77" i="4" s="1"/>
  <c r="BS2" i="4" s="1"/>
  <c r="D31" i="4"/>
  <c r="E31" i="4" s="1"/>
  <c r="Y2" i="4" s="1"/>
  <c r="D76" i="4"/>
  <c r="E76" i="4" s="1"/>
  <c r="BR2" i="4" s="1"/>
  <c r="D29" i="4"/>
  <c r="E29" i="4" s="1"/>
  <c r="W2" i="4" s="1"/>
  <c r="D56" i="4"/>
  <c r="E56" i="4" s="1"/>
  <c r="AX2" i="4" s="1"/>
  <c r="D52" i="4"/>
  <c r="E52" i="4" s="1"/>
  <c r="AT2" i="4" s="1"/>
  <c r="D83" i="4"/>
  <c r="E83" i="4" s="1"/>
  <c r="BY2" i="4" s="1"/>
  <c r="D51" i="4"/>
  <c r="E51" i="4" s="1"/>
  <c r="AS2" i="4" s="1"/>
  <c r="D81" i="4"/>
  <c r="E81" i="4" s="1"/>
  <c r="BW2" i="4" s="1"/>
  <c r="D49" i="4"/>
  <c r="E49" i="4" s="1"/>
  <c r="AQ2" i="4" s="1"/>
  <c r="E54" i="4"/>
  <c r="D67" i="4"/>
  <c r="E67" i="4" s="1"/>
  <c r="BI2" i="4" s="1"/>
  <c r="D43" i="4"/>
  <c r="E43" i="4" s="1"/>
  <c r="AK2" i="4" s="1"/>
  <c r="D63" i="4"/>
  <c r="E63" i="4" s="1"/>
  <c r="BE2" i="4" s="1"/>
  <c r="D61" i="4"/>
  <c r="E61" i="4" s="1"/>
  <c r="BC2" i="4" s="1"/>
  <c r="D35" i="4"/>
  <c r="E35" i="4" s="1"/>
  <c r="AC2" i="4" s="1"/>
  <c r="D36" i="4"/>
  <c r="E36" i="4" s="1"/>
  <c r="AD2" i="4" s="1"/>
  <c r="D84" i="4"/>
  <c r="E84" i="4" s="1"/>
  <c r="BZ2" i="4" s="1"/>
  <c r="D60" i="4"/>
  <c r="E60" i="4" s="1"/>
  <c r="BB2" i="4" s="1"/>
  <c r="D33" i="4"/>
  <c r="E33" i="4" s="1"/>
  <c r="AA2" i="4" s="1"/>
  <c r="D47" i="4"/>
  <c r="E47" i="4" s="1"/>
  <c r="AO2" i="4" s="1"/>
  <c r="D73" i="4"/>
  <c r="E73" i="4" s="1"/>
  <c r="BO2" i="4" s="1"/>
  <c r="D57" i="4"/>
  <c r="E57" i="4" s="1"/>
  <c r="AY2" i="4" s="1"/>
  <c r="D41" i="4"/>
  <c r="E41" i="4" s="1"/>
  <c r="AI2" i="4" s="1"/>
  <c r="D25" i="4"/>
  <c r="E25" i="4" s="1"/>
  <c r="S2" i="4" s="1"/>
  <c r="D70" i="4"/>
  <c r="E70" i="4" s="1"/>
  <c r="BL2" i="4" s="1"/>
  <c r="D38" i="4"/>
  <c r="E38" i="4" s="1"/>
  <c r="AF2" i="4" s="1"/>
  <c r="D55" i="4"/>
  <c r="E55" i="4" s="1"/>
  <c r="AW2" i="4" s="1"/>
  <c r="D86" i="4"/>
  <c r="E86" i="4" s="1"/>
  <c r="CB2" i="4" s="1"/>
  <c r="D85" i="4"/>
  <c r="E85" i="4" s="1"/>
  <c r="CA2" i="4" s="1"/>
  <c r="D69" i="4"/>
  <c r="E69" i="4" s="1"/>
  <c r="BK2" i="4" s="1"/>
  <c r="D53" i="4"/>
  <c r="E53" i="4" s="1"/>
  <c r="AU2" i="4" s="1"/>
  <c r="D37" i="4"/>
  <c r="E37" i="4" s="1"/>
  <c r="AE2" i="4" s="1"/>
  <c r="D82" i="4"/>
  <c r="E82" i="4" s="1"/>
  <c r="BX2" i="4" s="1"/>
  <c r="D66" i="4"/>
  <c r="E66" i="4" s="1"/>
  <c r="BH2" i="4" s="1"/>
  <c r="D50" i="4"/>
  <c r="E50" i="4" s="1"/>
  <c r="AR2" i="4" s="1"/>
  <c r="D34" i="4"/>
  <c r="E34" i="4" s="1"/>
  <c r="AB2" i="4" s="1"/>
  <c r="D78" i="4"/>
  <c r="E78" i="4" s="1"/>
  <c r="BT2" i="4" s="1"/>
  <c r="D62" i="4"/>
  <c r="E62" i="4" s="1"/>
  <c r="BD2" i="4" s="1"/>
  <c r="D46" i="4"/>
  <c r="E46" i="4" s="1"/>
  <c r="AN2" i="4" s="1"/>
  <c r="D30" i="4"/>
  <c r="E30" i="4" s="1"/>
  <c r="X2" i="4" s="1"/>
  <c r="D27" i="4"/>
  <c r="E27" i="4" s="1"/>
  <c r="U2" i="4" s="1"/>
  <c r="D74" i="4"/>
  <c r="E74" i="4" s="1"/>
  <c r="BP2" i="4" s="1"/>
  <c r="D58" i="4"/>
  <c r="E58" i="4" s="1"/>
  <c r="AZ2" i="4" s="1"/>
  <c r="D42" i="4"/>
  <c r="E42" i="4" s="1"/>
  <c r="AJ2" i="4" s="1"/>
  <c r="E37" i="10"/>
  <c r="E35" i="10"/>
  <c r="E34" i="10"/>
  <c r="E33" i="10"/>
  <c r="E32" i="10"/>
  <c r="E6" i="8"/>
  <c r="G6" i="11"/>
  <c r="E30" i="11"/>
  <c r="E38" i="11" l="1"/>
  <c r="F38" i="11"/>
  <c r="F34" i="11"/>
  <c r="E34" i="11"/>
  <c r="F6" i="11"/>
  <c r="D6" i="8" s="1"/>
  <c r="E6" i="11"/>
  <c r="C6" i="8" s="1"/>
  <c r="E43" i="10"/>
  <c r="F43" i="10"/>
  <c r="G43" i="10"/>
  <c r="E44" i="10"/>
  <c r="F44" i="10"/>
  <c r="E8" i="11" s="1"/>
  <c r="G44" i="10"/>
  <c r="F8" i="11" s="1"/>
  <c r="E45" i="10"/>
  <c r="F45" i="10"/>
  <c r="E9" i="11" s="1"/>
  <c r="G45" i="10"/>
  <c r="F9" i="11" s="1"/>
  <c r="E46" i="10"/>
  <c r="F46" i="10"/>
  <c r="G46" i="10"/>
  <c r="E47" i="10"/>
  <c r="F47" i="10"/>
  <c r="E11" i="11" s="1"/>
  <c r="G47" i="10"/>
  <c r="E48" i="10"/>
  <c r="F48" i="10"/>
  <c r="G48" i="10"/>
  <c r="E49" i="10"/>
  <c r="F49" i="10"/>
  <c r="E13" i="11" s="1"/>
  <c r="G49" i="10"/>
  <c r="F13" i="11" s="1"/>
  <c r="E50" i="10"/>
  <c r="F50" i="10"/>
  <c r="E14" i="11" s="1"/>
  <c r="G50" i="10"/>
  <c r="F14" i="11" s="1"/>
  <c r="E51" i="10"/>
  <c r="F51" i="10"/>
  <c r="E15" i="11" s="1"/>
  <c r="G51" i="10"/>
  <c r="F15" i="11" s="1"/>
  <c r="E52" i="10"/>
  <c r="F52" i="10"/>
  <c r="E16" i="11" s="1"/>
  <c r="G52" i="10"/>
  <c r="F16" i="11" s="1"/>
  <c r="E53" i="10"/>
  <c r="F53" i="10"/>
  <c r="E17" i="11" s="1"/>
  <c r="G53" i="10"/>
  <c r="F17" i="11" s="1"/>
  <c r="E54" i="10"/>
  <c r="F54" i="10"/>
  <c r="G54" i="10"/>
  <c r="E55" i="10"/>
  <c r="F55" i="10"/>
  <c r="E19" i="11" s="1"/>
  <c r="G55" i="10"/>
  <c r="F19" i="11" s="1"/>
  <c r="E56" i="10"/>
  <c r="F56" i="10"/>
  <c r="E20" i="11" s="1"/>
  <c r="H20" i="11" s="1"/>
  <c r="G56" i="10"/>
  <c r="F20" i="11" s="1"/>
  <c r="E57" i="10"/>
  <c r="F57" i="10"/>
  <c r="G57" i="10"/>
  <c r="E58" i="10"/>
  <c r="F58" i="10"/>
  <c r="G58" i="10"/>
  <c r="E59" i="10"/>
  <c r="F59" i="10"/>
  <c r="E23" i="11" s="1"/>
  <c r="G59" i="10"/>
  <c r="F23" i="11" s="1"/>
  <c r="E60" i="10"/>
  <c r="F60" i="10"/>
  <c r="E24" i="11" s="1"/>
  <c r="H24" i="11" s="1"/>
  <c r="G60" i="10"/>
  <c r="F24" i="11" s="1"/>
  <c r="E61" i="10"/>
  <c r="F61" i="10"/>
  <c r="G61" i="10"/>
  <c r="E5" i="10"/>
  <c r="F5" i="10"/>
  <c r="G5" i="10"/>
  <c r="E6" i="10"/>
  <c r="F6" i="10"/>
  <c r="G6" i="10"/>
  <c r="E7" i="10"/>
  <c r="F7" i="10"/>
  <c r="G7" i="10"/>
  <c r="E8" i="10"/>
  <c r="F8" i="10"/>
  <c r="G8" i="10"/>
  <c r="E9" i="10"/>
  <c r="F9" i="10"/>
  <c r="G9" i="10"/>
  <c r="E10" i="10"/>
  <c r="F10" i="10"/>
  <c r="G10" i="10"/>
  <c r="E11" i="10"/>
  <c r="F11" i="10"/>
  <c r="G11" i="10"/>
  <c r="E12" i="10"/>
  <c r="F12" i="10"/>
  <c r="G12" i="10"/>
  <c r="E13" i="10"/>
  <c r="F13" i="10"/>
  <c r="G13" i="10"/>
  <c r="E14" i="10"/>
  <c r="F14" i="10"/>
  <c r="G14" i="10"/>
  <c r="F15" i="10"/>
  <c r="G15" i="10"/>
  <c r="E16" i="10"/>
  <c r="F16" i="10"/>
  <c r="G16" i="10"/>
  <c r="E17" i="10"/>
  <c r="F17" i="10"/>
  <c r="G17" i="10"/>
  <c r="E18" i="10"/>
  <c r="F18" i="10"/>
  <c r="G18" i="10"/>
  <c r="E19" i="10"/>
  <c r="F19" i="10"/>
  <c r="G19" i="10"/>
  <c r="E20" i="10"/>
  <c r="F20" i="10"/>
  <c r="G20" i="10"/>
  <c r="E21" i="10"/>
  <c r="F21" i="10"/>
  <c r="G21" i="10"/>
  <c r="E22" i="10"/>
  <c r="F22" i="10"/>
  <c r="G22" i="10"/>
  <c r="E23" i="10"/>
  <c r="F23" i="10"/>
  <c r="G23" i="10"/>
  <c r="E24" i="10"/>
  <c r="F24" i="10"/>
  <c r="G24" i="10"/>
  <c r="E25" i="10"/>
  <c r="F25" i="10"/>
  <c r="G25" i="10"/>
  <c r="E26" i="10"/>
  <c r="F26" i="10"/>
  <c r="G26" i="10"/>
  <c r="E28" i="10"/>
  <c r="F28" i="10"/>
  <c r="G28" i="10"/>
  <c r="E29" i="10"/>
  <c r="F29" i="10"/>
  <c r="G29" i="10"/>
  <c r="E30" i="10"/>
  <c r="F30" i="10"/>
  <c r="G30" i="10"/>
  <c r="F32" i="10"/>
  <c r="G32" i="10"/>
  <c r="F33" i="10"/>
  <c r="G33" i="10"/>
  <c r="F34" i="10"/>
  <c r="G34" i="10"/>
  <c r="F35" i="10"/>
  <c r="G35" i="10"/>
  <c r="E36" i="10"/>
  <c r="F36" i="10"/>
  <c r="G36" i="10"/>
  <c r="F37" i="10"/>
  <c r="G37" i="10"/>
  <c r="E38" i="10"/>
  <c r="F38" i="10"/>
  <c r="G38" i="10"/>
  <c r="E39" i="10"/>
  <c r="E41" i="10" s="1"/>
  <c r="F39" i="10"/>
  <c r="F41" i="10" s="1"/>
  <c r="G39" i="10"/>
  <c r="G41" i="10" s="1"/>
  <c r="E4" i="10"/>
  <c r="F4" i="10"/>
  <c r="G4" i="10"/>
  <c r="G14" i="11" l="1"/>
  <c r="H14" i="11" s="1"/>
  <c r="G24" i="11"/>
  <c r="D25" i="8"/>
  <c r="G20" i="11"/>
  <c r="E15" i="10"/>
  <c r="C10" i="8"/>
  <c r="C13" i="8"/>
  <c r="C14" i="8"/>
  <c r="C24" i="8"/>
  <c r="C8" i="8"/>
  <c r="C11" i="8"/>
  <c r="C16" i="8"/>
  <c r="G27" i="10"/>
  <c r="D13" i="8"/>
  <c r="D14" i="8"/>
  <c r="F30" i="11"/>
  <c r="D23" i="8"/>
  <c r="D8" i="8"/>
  <c r="D16" i="8"/>
  <c r="D10" i="8"/>
  <c r="D17" i="8"/>
  <c r="G23" i="11"/>
  <c r="H23" i="11" s="1"/>
  <c r="G15" i="11"/>
  <c r="H15" i="11" s="1"/>
  <c r="G19" i="11"/>
  <c r="F21" i="11"/>
  <c r="H19" i="11"/>
  <c r="E21" i="11"/>
  <c r="H21" i="11" s="1"/>
  <c r="G16" i="11"/>
  <c r="F10" i="11"/>
  <c r="F41" i="11" s="1"/>
  <c r="G8" i="11"/>
  <c r="H8" i="11" s="1"/>
  <c r="G17" i="11"/>
  <c r="H17" i="11" s="1"/>
  <c r="H16" i="11"/>
  <c r="G13" i="11"/>
  <c r="H13" i="11" s="1"/>
  <c r="G9" i="11"/>
  <c r="H9" i="11" s="1"/>
  <c r="E10" i="11"/>
  <c r="E42" i="11" s="1"/>
  <c r="F31" i="10"/>
  <c r="C25" i="8"/>
  <c r="E25" i="8" s="1"/>
  <c r="C23" i="8"/>
  <c r="C17" i="8"/>
  <c r="D11" i="8"/>
  <c r="D9" i="8"/>
  <c r="F11" i="11"/>
  <c r="G11" i="11" s="1"/>
  <c r="H11" i="11" s="1"/>
  <c r="E31" i="10"/>
  <c r="D24" i="8"/>
  <c r="D18" i="8"/>
  <c r="C9" i="8"/>
  <c r="F27" i="10"/>
  <c r="C18" i="8"/>
  <c r="G31" i="10"/>
  <c r="E27" i="10"/>
  <c r="E14" i="8" l="1"/>
  <c r="E8" i="8"/>
  <c r="E17" i="8"/>
  <c r="E11" i="8"/>
  <c r="E10" i="8"/>
  <c r="E23" i="8"/>
  <c r="F42" i="11"/>
  <c r="E24" i="8"/>
  <c r="E18" i="8"/>
  <c r="E16" i="8"/>
  <c r="E13" i="8"/>
  <c r="E39" i="11"/>
  <c r="F27" i="11"/>
  <c r="D22" i="8" s="1"/>
  <c r="E40" i="11"/>
  <c r="F39" i="11"/>
  <c r="F40" i="11"/>
  <c r="E27" i="11"/>
  <c r="C22" i="8" s="1"/>
  <c r="E12" i="11"/>
  <c r="E18" i="11" s="1"/>
  <c r="E9" i="8"/>
  <c r="E41" i="11"/>
  <c r="G21" i="11"/>
  <c r="F12" i="11"/>
  <c r="F18" i="11" s="1"/>
  <c r="G10" i="11"/>
  <c r="H10" i="11" s="1"/>
  <c r="F35" i="11" l="1"/>
  <c r="C19" i="8"/>
  <c r="C20" i="8"/>
  <c r="E35" i="11"/>
  <c r="D19" i="8"/>
  <c r="D20" i="8"/>
  <c r="G18" i="11"/>
  <c r="H18" i="11" s="1"/>
  <c r="G12" i="11"/>
  <c r="H12" i="11" s="1"/>
  <c r="F22" i="11"/>
  <c r="F25" i="11" s="1"/>
  <c r="E22" i="11"/>
  <c r="E22" i="8"/>
  <c r="E20" i="8" l="1"/>
  <c r="E19" i="8"/>
  <c r="G22" i="11"/>
  <c r="H22" i="11" s="1"/>
  <c r="E25" i="11"/>
  <c r="G25" i="11" s="1"/>
  <c r="F29" i="11"/>
  <c r="F28" i="11" s="1"/>
  <c r="E29" i="11"/>
  <c r="E28" i="11" s="1"/>
  <c r="H25" i="11" l="1"/>
  <c r="E31" i="11"/>
  <c r="E37" i="11"/>
  <c r="F31" i="11"/>
  <c r="F37" i="11"/>
  <c r="D11" i="4" l="1"/>
  <c r="E11" i="4" s="1"/>
  <c r="E2" i="4" s="1"/>
  <c r="D10" i="4"/>
  <c r="E10" i="4" s="1"/>
  <c r="D2" i="4" s="1"/>
  <c r="D9" i="4"/>
  <c r="E9" i="4" s="1"/>
  <c r="C2" i="4" s="1"/>
  <c r="D8" i="4"/>
  <c r="E8" i="4" s="1"/>
  <c r="B2" i="4" s="1"/>
  <c r="D7" i="4" l="1"/>
  <c r="A2" i="4" s="1"/>
  <c r="D23" i="4"/>
  <c r="E23" i="4" s="1"/>
  <c r="Q2" i="4" s="1"/>
  <c r="D22" i="4"/>
  <c r="E22" i="4" s="1"/>
  <c r="P2" i="4" s="1"/>
  <c r="D21" i="4"/>
  <c r="E21" i="4" s="1"/>
  <c r="O2" i="4" s="1"/>
  <c r="D20" i="4"/>
  <c r="E20" i="4" s="1"/>
  <c r="N2" i="4" s="1"/>
  <c r="D19" i="4"/>
  <c r="E19" i="4" s="1"/>
  <c r="M2" i="4" s="1"/>
  <c r="D18" i="4"/>
  <c r="E18" i="4" s="1"/>
  <c r="L2" i="4" s="1"/>
  <c r="D17" i="4"/>
  <c r="E17" i="4" s="1"/>
  <c r="K2" i="4" s="1"/>
  <c r="D16" i="4"/>
  <c r="E16" i="4" s="1"/>
  <c r="J2" i="4" s="1"/>
  <c r="D15" i="4"/>
  <c r="E15" i="4" s="1"/>
  <c r="I2" i="4" s="1"/>
  <c r="D14" i="4"/>
  <c r="E14" i="4" s="1"/>
  <c r="H2" i="4" s="1"/>
  <c r="D13" i="4"/>
  <c r="E13" i="4" s="1"/>
  <c r="G2" i="4" s="1"/>
  <c r="D12" i="4"/>
  <c r="E12" i="4" s="1"/>
  <c r="F2" i="4" s="1"/>
  <c r="D24" i="4" l="1"/>
  <c r="E24" i="4" l="1"/>
  <c r="R2" i="4"/>
</calcChain>
</file>

<file path=xl/sharedStrings.xml><?xml version="1.0" encoding="utf-8"?>
<sst xmlns="http://schemas.openxmlformats.org/spreadsheetml/2006/main" count="492" uniqueCount="294">
  <si>
    <t xml:space="preserve"> 100 </t>
  </si>
  <si>
    <t xml:space="preserve"> 110 </t>
  </si>
  <si>
    <t xml:space="preserve"> 120 </t>
  </si>
  <si>
    <t xml:space="preserve"> 130 </t>
  </si>
  <si>
    <t xml:space="preserve"> 131 </t>
  </si>
  <si>
    <t xml:space="preserve"> 132 </t>
  </si>
  <si>
    <t xml:space="preserve"> 136 </t>
  </si>
  <si>
    <t xml:space="preserve"> 140 </t>
  </si>
  <si>
    <t xml:space="preserve"> 150 </t>
  </si>
  <si>
    <t xml:space="preserve"> 200 </t>
  </si>
  <si>
    <t xml:space="preserve"> 210 </t>
  </si>
  <si>
    <t xml:space="preserve"> 221 </t>
  </si>
  <si>
    <t xml:space="preserve"> 250 </t>
  </si>
  <si>
    <t xml:space="preserve"> 260 </t>
  </si>
  <si>
    <t xml:space="preserve"> 270 </t>
  </si>
  <si>
    <t xml:space="preserve"> 310 </t>
  </si>
  <si>
    <t xml:space="preserve"> 311 </t>
  </si>
  <si>
    <t xml:space="preserve"> 312 </t>
  </si>
  <si>
    <t xml:space="preserve"> 313 </t>
  </si>
  <si>
    <t xml:space="preserve"> 320 </t>
  </si>
  <si>
    <t xml:space="preserve"> 330 </t>
  </si>
  <si>
    <t xml:space="preserve"> 338 </t>
  </si>
  <si>
    <t xml:space="preserve"> 410 </t>
  </si>
  <si>
    <t xml:space="preserve"> 411 </t>
  </si>
  <si>
    <t xml:space="preserve"> 421 </t>
  </si>
  <si>
    <t xml:space="preserve"> 01 </t>
  </si>
  <si>
    <t>10</t>
  </si>
  <si>
    <t>11</t>
  </si>
  <si>
    <t>60</t>
  </si>
  <si>
    <t>Ngày báo cáo</t>
  </si>
  <si>
    <t>Tài sản ngắn hạn::</t>
  </si>
  <si>
    <t>Các khoản phải thu ngắn hạn::</t>
  </si>
  <si>
    <t>Hàng tồn kho::</t>
  </si>
  <si>
    <t>Tài sản dài hạn::</t>
  </si>
  <si>
    <t>Tài sản cố định hữu hình::</t>
  </si>
  <si>
    <t>Tài sản dài hạn khác::</t>
  </si>
  <si>
    <t>Nợ ngắn hạn::</t>
  </si>
  <si>
    <t>Phải trả người bán ngắn hạn::</t>
  </si>
  <si>
    <t>Người mua trả tiền trước ngắn hạn::</t>
  </si>
  <si>
    <t>Nợ dài hạn::</t>
  </si>
  <si>
    <t>Vay và nợ thuê tài chính dài hạn::</t>
  </si>
  <si>
    <t>Vốn chủ sở hữu::</t>
  </si>
  <si>
    <t>Lợi nhuận sau thuế chưa phân phối::</t>
  </si>
  <si>
    <t>Doanh thu bán hàng và cung cấp dịch vụ::</t>
  </si>
  <si>
    <t>Giá vốn hàng bán::</t>
  </si>
  <si>
    <t>Lợi nhuận trước thuế::</t>
  </si>
  <si>
    <t>Năm liền kề</t>
  </si>
  <si>
    <t>Tài sản ngắn hạn</t>
  </si>
  <si>
    <t>Tiền và tương đương tiền</t>
  </si>
  <si>
    <t>Đầu tư tài chính ngắn hạn</t>
  </si>
  <si>
    <t>Các khoản phải thu ngắn hạn</t>
  </si>
  <si>
    <t>Phải thu ngắn hạn của KH</t>
  </si>
  <si>
    <t>Trả trước cho ng bán ngắn hạn</t>
  </si>
  <si>
    <t>Phải thu ngắn hạn khác</t>
  </si>
  <si>
    <t>Hàng tồn kho</t>
  </si>
  <si>
    <t>Tài sản ngắn hạn khác</t>
  </si>
  <si>
    <t>Tài sản dài hạn</t>
  </si>
  <si>
    <t>Phải thu dài hạn</t>
  </si>
  <si>
    <t>Tài sản cố định hữu hình</t>
  </si>
  <si>
    <t>Đầu tư tài chính dài hạn</t>
  </si>
  <si>
    <t>Tài sản dài hạn khác</t>
  </si>
  <si>
    <t>Tổng tài sản</t>
  </si>
  <si>
    <t>Nợ ngắn hạn</t>
  </si>
  <si>
    <t>Phải trả người bán ngắn hạn</t>
  </si>
  <si>
    <t>Người mua trả tiền trước ngắn hạn</t>
  </si>
  <si>
    <t>Thuế và các khoản phải nộp nhà nước</t>
  </si>
  <si>
    <t>Vay và nợ thuê tài chính ngắn hạn</t>
  </si>
  <si>
    <t>Nợ dài hạn</t>
  </si>
  <si>
    <t>Vay và nợ thuê tài chính dài hạn</t>
  </si>
  <si>
    <t>Vốn chủ sở hữu</t>
  </si>
  <si>
    <t>Vốn góp của chủ sở hữu</t>
  </si>
  <si>
    <t>Lợi nhuận sau thuế chưa phân phối</t>
  </si>
  <si>
    <t>Doanh thu bán hàng và cung cấp dịch vụ</t>
  </si>
  <si>
    <t>Doanh thu thuần</t>
  </si>
  <si>
    <t>Giá vốn hàng bán</t>
  </si>
  <si>
    <t>Lợi nhuận sau thuế</t>
  </si>
  <si>
    <t>Năm liền kề -1</t>
  </si>
  <si>
    <t>Tài sản ngắn hạn:</t>
  </si>
  <si>
    <t>Tài sản ngắn hạn năm trước:</t>
  </si>
  <si>
    <t>Tiền và tương đương tiền:</t>
  </si>
  <si>
    <t>Đầu tư tài chính ngắn hạn:</t>
  </si>
  <si>
    <t>Các khoản phải thu ngắn hạn:</t>
  </si>
  <si>
    <t>Các khoản phải thu ngắn hạn năm trước:</t>
  </si>
  <si>
    <t>Phải thu ngắn hạn của KH:</t>
  </si>
  <si>
    <t>Trả trước cho ng bán ngắn hạn:</t>
  </si>
  <si>
    <t>Phải thu ngắn hạn khác:</t>
  </si>
  <si>
    <t>Hàng tồn kho:</t>
  </si>
  <si>
    <t>Hàng tồn kho năm trước:</t>
  </si>
  <si>
    <t>Tài sản ngắn hạn khác:</t>
  </si>
  <si>
    <t>Tài sản dài hạn:</t>
  </si>
  <si>
    <t>Phải thu dài hạn:</t>
  </si>
  <si>
    <t>Tài sản cố định hữu hình:</t>
  </si>
  <si>
    <t>Đầu tư tài chính dài hạn:</t>
  </si>
  <si>
    <t>Tài sản dài hạn khác:</t>
  </si>
  <si>
    <t>Tổng tài sản:</t>
  </si>
  <si>
    <t>Nợ ngắn hạn:</t>
  </si>
  <si>
    <t>Phải trả người bán ngắn hạn:</t>
  </si>
  <si>
    <t>Người mua trả tiền trước ngắn hạn:</t>
  </si>
  <si>
    <t>Thuế và các khoản phải nộp nhà nước:</t>
  </si>
  <si>
    <t>Vay và nợ thuê tài chính ngắn hạn:</t>
  </si>
  <si>
    <t>Nợ dài hạn:</t>
  </si>
  <si>
    <t>Vay và nợ thuê tài chính dài hạn:</t>
  </si>
  <si>
    <t>Vốn chủ sở hữu:</t>
  </si>
  <si>
    <t>Vốn góp của chủ sở hữu:</t>
  </si>
  <si>
    <t>Lợi nhuận sau thuế chưa phân phối:</t>
  </si>
  <si>
    <t>Doanh thu bán hàng và cung cấp dịch vụ:</t>
  </si>
  <si>
    <t>Doanh thu thuần:</t>
  </si>
  <si>
    <t>Giá vốn hàng bán:</t>
  </si>
  <si>
    <t>Lợi nhuận sau thuế:</t>
  </si>
  <si>
    <t>Chỉ tiêu</t>
  </si>
  <si>
    <t>Giá trị</t>
  </si>
  <si>
    <t>I</t>
  </si>
  <si>
    <t>TÌNH HÌNH TÀI CHÍNH</t>
  </si>
  <si>
    <t>-</t>
  </si>
  <si>
    <t>Các khoản phải thu</t>
  </si>
  <si>
    <t>Tài sản dài hạn khác</t>
  </si>
  <si>
    <t xml:space="preserve">- </t>
  </si>
  <si>
    <t>Nguồn vốn chủ sở hữu</t>
  </si>
  <si>
    <t>II</t>
  </si>
  <si>
    <t xml:space="preserve">TÌNH HÌNH SXKD </t>
  </si>
  <si>
    <t>(Lũy kế đến thời điểm cuối quý gần nhất với ngày ngày xin vay)</t>
  </si>
  <si>
    <t>Lợi nhuận trước thuế</t>
  </si>
  <si>
    <t>BÁO CÁO NHANH TÌNH HÌNH TÀI CHÍNH ĐẾN THỜI ĐIỂM XIN VAY</t>
  </si>
  <si>
    <t>Thời điểm báo cáo</t>
  </si>
  <si>
    <t>.../.../20...</t>
  </si>
  <si>
    <t>TT</t>
  </si>
  <si>
    <t>Trong đó, lợi nhuận sau thuế chưa phân phối</t>
  </si>
  <si>
    <t>Ghi chú: Bảng này để lấy số liệu phân tích, không phải bảng theo mẫu biểu Agribank</t>
  </si>
  <si>
    <t>Tài sản cố định hữu hình</t>
  </si>
  <si>
    <t xml:space="preserve"> +) Phải trả người bán ngắn hạn</t>
  </si>
  <si>
    <t xml:space="preserve"> +) Người mua trả tiền trước ngắn hạn</t>
  </si>
  <si>
    <t xml:space="preserve">Công Thức </t>
  </si>
  <si>
    <t>Nhóm chỉ tiêu phản ánh khả năng thanh toán</t>
  </si>
  <si>
    <t>Hệ số khả năng thanh toán hiện hành (lần)</t>
  </si>
  <si>
    <t>= Tài sản ngắn hạn/Nợ ngắn hạn</t>
  </si>
  <si>
    <t>Hệ số khả năng thanh toán nhanh (lần)</t>
  </si>
  <si>
    <t>= (Tài sản ngắn hạn - Hàng tồn kho)/Nợ ngắn hạn</t>
  </si>
  <si>
    <t>Hệ số khả năng thanh toán tức thời (lần)</t>
  </si>
  <si>
    <t>= Tiền và các khoản tương đương tiền/Nợ ngắn hạn</t>
  </si>
  <si>
    <t>Hệ số khả năng thanh toán lãi vay (lần)</t>
  </si>
  <si>
    <t xml:space="preserve">=(Lợi nhuận trước thuế + Chi phí trả lãi vay)/Chi phí trả lãi vay </t>
  </si>
  <si>
    <t>Nhóm chỉ tiêu phản ánh cơ cấu vốn</t>
  </si>
  <si>
    <t>Hệ số tự tài trợ (%)</t>
  </si>
  <si>
    <t>= Vốn chủ sở hữu/Tổng nguồn vốn</t>
  </si>
  <si>
    <t>Hệ số nợ trên vốn chủ sở hữu (lần)</t>
  </si>
  <si>
    <t>= Nợ phải trả/Vốn chủ sở hữu</t>
  </si>
  <si>
    <t>III</t>
  </si>
  <si>
    <t>Nhóm chỉ tiêu phản ánh khả năng hoạt động</t>
  </si>
  <si>
    <t>Vòng quay vốn lưu động (vòng)</t>
  </si>
  <si>
    <t>= Doanh thu thuần/Tài sản ngắn hạn bình quân</t>
  </si>
  <si>
    <t>Vòng quay hàng tồn kho (vòng)</t>
  </si>
  <si>
    <t>= Giá vốn hàng bán/Hàng tồn kho bình quân</t>
  </si>
  <si>
    <t>Vòng quay khoản phải thu (vòng)</t>
  </si>
  <si>
    <t>= Doanh thu thuần/Phải thu ngắn hạn bình quân</t>
  </si>
  <si>
    <t>Vòng quay TSCĐ (vòng)</t>
  </si>
  <si>
    <t>= Tổng doanh thu/Tài sản dài hạn bình quân</t>
  </si>
  <si>
    <t>Vòng quay tổng tài sản (vòng)</t>
  </si>
  <si>
    <t>= Tổng doanh thu/Tổng tài sản bình quân</t>
  </si>
  <si>
    <t>IV</t>
  </si>
  <si>
    <t>Nhóm chỉ tiêu phản ánh khả năng sinh lời</t>
  </si>
  <si>
    <t>Tỷ suất lợi nhuận biên (ROS)</t>
  </si>
  <si>
    <t>= Lợi nhuận sau thuế TNDN/Tổng doanh thu x 100%</t>
  </si>
  <si>
    <t>Khả năng sinh lời của tài sản (ROA)</t>
  </si>
  <si>
    <t>= Lợi nhuận sau thuế TNDN/Tổng tài sản bình quân x 100%</t>
  </si>
  <si>
    <t>Khả năng sinh lời của vốn chủ sở hữu (ROE)</t>
  </si>
  <si>
    <t>= Lợi nhuận sau thuế TNDN/Vốn chủ sở hữu bình quân x 100%</t>
  </si>
  <si>
    <t>Tỷ số sinh lời cơ sở (BEP)</t>
  </si>
  <si>
    <t>= EBIT/Tổng tài sản x 100% (EBIT= LN trước thuế +Chi phí lãi vay)</t>
  </si>
  <si>
    <t xml:space="preserve"> 220 </t>
  </si>
  <si>
    <t xml:space="preserve"> 230 </t>
  </si>
  <si>
    <t xml:space="preserve"> 231 </t>
  </si>
  <si>
    <t xml:space="preserve"> 232 </t>
  </si>
  <si>
    <t xml:space="preserve"> 240 </t>
  </si>
  <si>
    <t xml:space="preserve"> 300 </t>
  </si>
  <si>
    <t xml:space="preserve"> 331 </t>
  </si>
  <si>
    <t xml:space="preserve"> 400 </t>
  </si>
  <si>
    <t xml:space="preserve"> 412 </t>
  </si>
  <si>
    <t xml:space="preserve"> 420 </t>
  </si>
  <si>
    <t xml:space="preserve"> 430 </t>
  </si>
  <si>
    <t xml:space="preserve"> 440 </t>
  </si>
  <si>
    <t xml:space="preserve"> 02 </t>
  </si>
  <si>
    <t>20</t>
  </si>
  <si>
    <t>21</t>
  </si>
  <si>
    <t>22</t>
  </si>
  <si>
    <t>23</t>
  </si>
  <si>
    <t>24</t>
  </si>
  <si>
    <t>25</t>
  </si>
  <si>
    <t>26</t>
  </si>
  <si>
    <t>30</t>
  </si>
  <si>
    <t>31</t>
  </si>
  <si>
    <t>32</t>
  </si>
  <si>
    <t>40</t>
  </si>
  <si>
    <t>50</t>
  </si>
  <si>
    <t>51</t>
  </si>
  <si>
    <t>52</t>
  </si>
  <si>
    <t>BẢNG CÂN ĐỐI KẾ TOÁN</t>
  </si>
  <si>
    <t>CHỈ TIÊU TÀI CHÍNH</t>
  </si>
  <si>
    <t>Mã số</t>
  </si>
  <si>
    <t>A</t>
  </si>
  <si>
    <t xml:space="preserve">TÀI SẢN NGẮN HẠN </t>
  </si>
  <si>
    <t xml:space="preserve">Tiền và các khoản tương đương tiền </t>
  </si>
  <si>
    <t xml:space="preserve">Các khoản đầu tư tài chính ngắn hạn </t>
  </si>
  <si>
    <t xml:space="preserve">Hàng tồn kho </t>
  </si>
  <si>
    <t>V</t>
  </si>
  <si>
    <t>Tài sản ngắn hạn khác</t>
  </si>
  <si>
    <t>B</t>
  </si>
  <si>
    <t xml:space="preserve">TÀI SẢN DÀI HẠN </t>
  </si>
  <si>
    <t>Các khoản phải thu dài hạn</t>
  </si>
  <si>
    <t xml:space="preserve">Tài sản cố định </t>
  </si>
  <si>
    <t>Nguyên giá TSCĐ</t>
  </si>
  <si>
    <t>Giá trị hao mòn lũy kế</t>
  </si>
  <si>
    <t xml:space="preserve"> Bất động sản đầu tư </t>
  </si>
  <si>
    <t xml:space="preserve">Tài sản dở dang dài hạn </t>
  </si>
  <si>
    <t>VI</t>
  </si>
  <si>
    <t xml:space="preserve">Tài sản dài hạn khác </t>
  </si>
  <si>
    <t xml:space="preserve">         TỔNG CỘNG TÀI SẢN </t>
  </si>
  <si>
    <t xml:space="preserve">NỢ PHẢI TRẢ  </t>
  </si>
  <si>
    <t xml:space="preserve">Vay và nợ thuê tài chính ngắn hạn                                                               </t>
  </si>
  <si>
    <t xml:space="preserve">Phải trả người bán ngắn hạn                                                                      </t>
  </si>
  <si>
    <t>Nợ ngắn hạn khác</t>
  </si>
  <si>
    <t xml:space="preserve">Nợ dài hạn </t>
  </si>
  <si>
    <t xml:space="preserve">Phải trả người bán dài hạn                                                                       </t>
  </si>
  <si>
    <t xml:space="preserve">Vay và nợ thuê tài chính dài hạn                                                               </t>
  </si>
  <si>
    <t>Nợ dài hạn khác</t>
  </si>
  <si>
    <t xml:space="preserve">VỐN CHỦ SỬ HỮU </t>
  </si>
  <si>
    <t>Vốn đầu tư của chủ sở hữu</t>
  </si>
  <si>
    <t>Thặng dư vốn cổ phần</t>
  </si>
  <si>
    <t>Quỹ khác thuộc vốn chủ sở hữu</t>
  </si>
  <si>
    <t>Nguồn kinh phí và quỹ khác</t>
  </si>
  <si>
    <t xml:space="preserve">TỔNG CỘNG NGUỒN VỐN </t>
  </si>
  <si>
    <t>KIỂM TRA SỐ LIỆU CÂN ĐỐI</t>
  </si>
  <si>
    <t>BÁO CÁO KẾT QUẢ HĐKD</t>
  </si>
  <si>
    <t xml:space="preserve">Các khoản giảm trừ </t>
  </si>
  <si>
    <t>Doanh thu thuần về bán hàng và cung cấp dịch vụ</t>
  </si>
  <si>
    <t>Gía vốn hàng bán</t>
  </si>
  <si>
    <t xml:space="preserve">Lợi nhuận gộp về bán hàng và cung cấp dịch vụ </t>
  </si>
  <si>
    <t>Doanh thu hoạt động tài chính</t>
  </si>
  <si>
    <t>Chi phí tài chính</t>
  </si>
  <si>
    <t>- Trong đó: Lãi vay phải trả</t>
  </si>
  <si>
    <t>Chi phí bán hàng</t>
  </si>
  <si>
    <t>Chi phí quản lý doanh nghiệp</t>
  </si>
  <si>
    <t xml:space="preserve">Lợi nhuận thuần từ hoạt động kinh doanh </t>
  </si>
  <si>
    <t>Thu nhập khác</t>
  </si>
  <si>
    <t>Chi phí khác</t>
  </si>
  <si>
    <t xml:space="preserve">Lợi nhuận khác </t>
  </si>
  <si>
    <t xml:space="preserve">Tổng lợi nhuận trước thuế </t>
  </si>
  <si>
    <t>Chi phí thuế thu nhập DN hiện hành</t>
  </si>
  <si>
    <t>Chi phí thuế thu nhập DN hoãn lại</t>
  </si>
  <si>
    <t>Lợi nhuận sau thuế (60=50-51-52)</t>
  </si>
  <si>
    <t>BÁO CÁO KẾT QUẢ HOẠT ĐỘNG KINH DOANH</t>
  </si>
  <si>
    <t>Số tiền</t>
  </si>
  <si>
    <t>Tỷ lệ</t>
  </si>
  <si>
    <t>01</t>
  </si>
  <si>
    <t>02</t>
  </si>
  <si>
    <t>Doanh thu thuần về bán hàng và cung cấp dịch vụ ( 10 = 01 - 02 )</t>
  </si>
  <si>
    <t>Lợi nhuận gộp về bán hàng và cung cấp dịch vụ ( 20 = 10 - 11 )</t>
  </si>
  <si>
    <t>Lợi nhuận thuần từ hoạt động kinh doanh [30 = 20 + (21- 22)- (24 + 25)]</t>
  </si>
  <si>
    <t>Lợi nhuận khác ( 40= 31 - 32)</t>
  </si>
  <si>
    <t>Tổng lợi nhuận trước thuế ( 50 = 30 + 40)</t>
  </si>
  <si>
    <t xml:space="preserve">        Tổng doanh thu</t>
  </si>
  <si>
    <t xml:space="preserve">        EBITDA</t>
  </si>
  <si>
    <t xml:space="preserve">Lợi nhuận hoạt động (EBIT) </t>
  </si>
  <si>
    <t>Khấu hao</t>
  </si>
  <si>
    <t>Dòng tiền thuần (Net Cash Flow)</t>
  </si>
  <si>
    <t>Operating Performance Analysis</t>
  </si>
  <si>
    <t>Phân tích hiệu quả hoạt động kinh doanh</t>
  </si>
  <si>
    <t>Lợi nhuận biên gộp (GOS)</t>
  </si>
  <si>
    <t>Lợi nhuận biên thuần</t>
  </si>
  <si>
    <t>Lợi nhuận biên (ROS)</t>
  </si>
  <si>
    <t>Xác định nguyên nhân</t>
  </si>
  <si>
    <t>Tỷ trọng GVHB/Doanh thu thuần BH&amp;CCDV</t>
  </si>
  <si>
    <t>Tỷ trọng C.phí tài chính/Doanh thu BH&amp;CCDV</t>
  </si>
  <si>
    <t>Tỷ trọng C.phí bán hàng/Doanh thu BH&amp;CCDV</t>
  </si>
  <si>
    <t>Tỷ trọng C.phí QLDN/Doanh thu BH&amp;CCDV</t>
  </si>
  <si>
    <t>TÍNH TOÁN CÁC CHỈ SỐ TÀI CHÍNH</t>
  </si>
  <si>
    <t>Đơn vị tính</t>
  </si>
  <si>
    <t>triệu đồng</t>
  </si>
  <si>
    <t>đồng</t>
  </si>
  <si>
    <t>Làm tròn</t>
  </si>
  <si>
    <t xml:space="preserve"> - Nhập BCTC (Báo cáo tài chính) của khách hàng vào IPCAS</t>
  </si>
  <si>
    <t xml:space="preserve"> - Xuất từ IPCAS (rmpt15) báo cáo tài chính 3 năm, lưu vào chung 1 thư mục nào đó</t>
  </si>
  <si>
    <t xml:space="preserve"> - Nên để file excel này vào chung với thư mục trên cho dễ tìm. Có thể thực hiện ngay bằng cách bấm F12 rồi chọn lưu vào thư mục trên</t>
  </si>
  <si>
    <t xml:space="preserve"> - Sheet "TONGHOP" sẽ lấy dữ liệu tự động, không cần quan tâm đến sheet này</t>
  </si>
  <si>
    <t xml:space="preserve"> - Sau khi xong các bước trên, bấm "Xuất ra file excel để import vào APC" để tạo file nhập vào APC, file này sẽ nằm chung thư mục trên</t>
  </si>
  <si>
    <t xml:space="preserve"> - Lưu ý không đổi tên hoặc xóa các sheet</t>
  </si>
  <si>
    <t xml:space="preserve"> HƯỚNG DẪN SỬ DỤNG</t>
  </si>
  <si>
    <t xml:space="preserve"> - Nếu có thông báo như hình bên thì bấm "Enable Content"</t>
  </si>
  <si>
    <t xml:space="preserve"> - File excel này giúp hỗ trợ CBTD lấy dữ liệu tự động từ BCTC ở IPCAS đưa vào APC mà không cần phải nhập tay ở APC</t>
  </si>
  <si>
    <t xml:space="preserve"> Chọn đơn vị tính sẽ nhập BCTC ở APC:</t>
  </si>
  <si>
    <t xml:space="preserve"> - Bấm vào "Chọn file BCTC năm gần nhất (năm N) để nhập báo cáo tài chính năm liền kề</t>
  </si>
  <si>
    <r>
      <t xml:space="preserve"> - Ở APC, bấm vào nút "Báo cáo tài chính", chọn đơn vị tính theo file này, bấm nút Excel và chọn đến file vừa xuất, sau đó </t>
    </r>
    <r>
      <rPr>
        <b/>
        <sz val="12"/>
        <color theme="1"/>
        <rFont val="Calibri"/>
        <family val="2"/>
        <scheme val="minor"/>
      </rPr>
      <t>nháy đúp vào</t>
    </r>
  </si>
  <si>
    <r>
      <rPr>
        <b/>
        <sz val="12"/>
        <color theme="1"/>
        <rFont val="Calibri"/>
        <family val="2"/>
        <scheme val="minor"/>
      </rPr>
      <t>ô bất kỳ</t>
    </r>
    <r>
      <rPr>
        <sz val="12"/>
        <color theme="1"/>
        <rFont val="Calibri"/>
        <family val="2"/>
        <scheme val="minor"/>
      </rPr>
      <t xml:space="preserve"> để APC tự động tính toán lại toàn bộ công thức</t>
    </r>
  </si>
  <si>
    <t xml:space="preserve"> - Bấm vào tab "BC NHANH" để nhập tay báo cáo nhanh tình hình tài chính đến ngày xin vay</t>
  </si>
  <si>
    <t xml:space="preserve"> - Tương tự với "BCTC Năm N-1" và "BCTC Năm N-2"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</si>
</sst>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_(* #,##0_);_(* \(#,##0\);_(* &quot;-&quot;??_);_(@_)"/>
    <numFmt numFmtId="165" formatCode="0.00_);\(0.00\)"/>
    <numFmt numFmtId="166" formatCode="_-* #,##0_-;\-* #,##0_-;_-* &quot;-&quot;??_-;_-@_-"/>
    <numFmt numFmtId="167" formatCode="_(* #,##0.00000000_);_(* \(#,##0.00000000\);_(* &quot;-&quot;????????_);_(@_)"/>
    <numFmt numFmtId="168" formatCode="_(* #,##0.000000000000000000000_);_(* \(#,##0.000000000000000000000\);_(* &quot;-&quot;????????_);_(@_)"/>
    <numFmt numFmtId="169" formatCode="_(* #,##0.0000000000000000000000000000000_);_(* \(#,##0.0000000000000000000000000000000\);_(* &quot;-&quot;????????_);_(@_)"/>
    <numFmt numFmtId="170" formatCode="0.0%"/>
    <numFmt numFmtId="171" formatCode="0_);\(0\)"/>
  </numFmts>
  <fonts count="4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3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Times New Roman"/>
      <family val="1"/>
    </font>
    <font>
      <b/>
      <sz val="16"/>
      <name val="Times New Roman"/>
      <family val="1"/>
    </font>
    <font>
      <b/>
      <sz val="11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1"/>
      <color theme="1"/>
      <name val="Times New Roman"/>
      <family val="2"/>
    </font>
    <font>
      <sz val="12"/>
      <name val="VNI-Times"/>
    </font>
    <font>
      <b/>
      <sz val="18"/>
      <color theme="4"/>
      <name val="Times New Roman"/>
      <family val="1"/>
    </font>
    <font>
      <b/>
      <sz val="11"/>
      <color theme="1"/>
      <name val="Times New Roman"/>
      <family val="1"/>
    </font>
    <font>
      <i/>
      <sz val="11"/>
      <color rgb="FFFF0000"/>
      <name val="Times New Roman"/>
      <family val="2"/>
    </font>
    <font>
      <b/>
      <sz val="13"/>
      <color rgb="FFFF0000"/>
      <name val="Times New Roman"/>
      <family val="1"/>
    </font>
    <font>
      <sz val="13"/>
      <color theme="1"/>
      <name val="Calibri"/>
      <family val="2"/>
      <scheme val="minor"/>
    </font>
    <font>
      <i/>
      <sz val="11"/>
      <color theme="1"/>
      <name val="Times New Roman"/>
      <family val="1"/>
    </font>
    <font>
      <i/>
      <sz val="11"/>
      <name val="Times New Roman"/>
      <family val="1"/>
    </font>
    <font>
      <sz val="11"/>
      <color rgb="FF000000"/>
      <name val="Times New Roman"/>
      <family val="1"/>
    </font>
    <font>
      <b/>
      <sz val="16"/>
      <color theme="1"/>
      <name val="Times New Roman"/>
      <family val="1"/>
    </font>
    <font>
      <b/>
      <i/>
      <sz val="11"/>
      <name val="Times New Roman"/>
      <family val="1"/>
    </font>
    <font>
      <i/>
      <sz val="12"/>
      <color theme="1"/>
      <name val="Times New Roman"/>
      <family val="1"/>
    </font>
    <font>
      <sz val="11"/>
      <color rgb="FFC00000"/>
      <name val="Times New Roman"/>
      <family val="1"/>
    </font>
    <font>
      <sz val="11"/>
      <name val="Times New Roman"/>
      <family val="2"/>
    </font>
    <font>
      <i/>
      <sz val="11"/>
      <name val="Times New Roman"/>
      <family val="2"/>
    </font>
    <font>
      <b/>
      <sz val="11"/>
      <color rgb="FF0070C0"/>
      <name val="Times New Roman"/>
      <family val="1"/>
    </font>
    <font>
      <b/>
      <i/>
      <sz val="11"/>
      <color theme="1"/>
      <name val="Times New Roman"/>
      <family val="1"/>
    </font>
    <font>
      <sz val="11"/>
      <color rgb="FF000000"/>
      <name val="Calibri"/>
      <family val="2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EB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9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0" fontId="20" fillId="0" borderId="0"/>
    <xf numFmtId="0" fontId="21" fillId="0" borderId="0"/>
    <xf numFmtId="0" fontId="20" fillId="0" borderId="0"/>
    <xf numFmtId="0" fontId="18" fillId="0" borderId="0"/>
  </cellStyleXfs>
  <cellXfs count="195">
    <xf numFmtId="0" fontId="0" fillId="0" borderId="0" xfId="0"/>
    <xf numFmtId="49" fontId="0" fillId="0" borderId="0" xfId="0" applyNumberFormat="1" applyAlignment="1">
      <alignment horizontal="center"/>
    </xf>
    <xf numFmtId="3" fontId="0" fillId="0" borderId="0" xfId="0" applyNumberFormat="1"/>
    <xf numFmtId="0" fontId="1" fillId="0" borderId="0" xfId="0" applyFont="1"/>
    <xf numFmtId="0" fontId="0" fillId="0" borderId="0" xfId="0" applyAlignment="1">
      <alignment vertical="center" wrapText="1"/>
    </xf>
    <xf numFmtId="164" fontId="0" fillId="0" borderId="0" xfId="0" applyNumberFormat="1"/>
    <xf numFmtId="0" fontId="0" fillId="2" borderId="0" xfId="0" applyFill="1" applyAlignment="1">
      <alignment vertical="center" wrapText="1"/>
    </xf>
    <xf numFmtId="0" fontId="0" fillId="0" borderId="0" xfId="0" applyFill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5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1" xfId="0" applyFont="1" applyFill="1" applyBorder="1" applyAlignment="1">
      <alignment vertical="center"/>
    </xf>
    <xf numFmtId="0" fontId="6" fillId="0" borderId="2" xfId="0" applyFont="1" applyFill="1" applyBorder="1" applyAlignment="1">
      <alignment horizontal="center" vertical="center" wrapText="1"/>
    </xf>
    <xf numFmtId="14" fontId="5" fillId="0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vertical="center" wrapText="1"/>
    </xf>
    <xf numFmtId="14" fontId="0" fillId="0" borderId="0" xfId="0" applyNumberFormat="1"/>
    <xf numFmtId="14" fontId="0" fillId="0" borderId="0" xfId="0" applyNumberFormat="1" applyFill="1"/>
    <xf numFmtId="164" fontId="0" fillId="0" borderId="0" xfId="0" applyNumberFormat="1" applyFill="1"/>
    <xf numFmtId="0" fontId="0" fillId="0" borderId="0" xfId="0" applyNumberFormat="1" applyFill="1"/>
    <xf numFmtId="0" fontId="7" fillId="0" borderId="0" xfId="0" applyFont="1"/>
    <xf numFmtId="0" fontId="9" fillId="0" borderId="2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vertical="center" wrapText="1"/>
    </xf>
    <xf numFmtId="164" fontId="10" fillId="0" borderId="2" xfId="1" applyNumberFormat="1" applyFont="1" applyBorder="1"/>
    <xf numFmtId="0" fontId="10" fillId="0" borderId="2" xfId="0" applyFont="1" applyFill="1" applyBorder="1" applyAlignment="1">
      <alignment horizontal="center" vertical="center" wrapText="1"/>
    </xf>
    <xf numFmtId="0" fontId="10" fillId="0" borderId="2" xfId="0" applyFont="1" applyFill="1" applyBorder="1" applyAlignment="1">
      <alignment vertical="center" wrapText="1"/>
    </xf>
    <xf numFmtId="0" fontId="11" fillId="0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vertical="center" wrapText="1"/>
    </xf>
    <xf numFmtId="0" fontId="12" fillId="0" borderId="0" xfId="0" applyFont="1"/>
    <xf numFmtId="0" fontId="4" fillId="0" borderId="0" xfId="0" applyFont="1" applyAlignment="1">
      <alignment vertical="center" wrapText="1"/>
    </xf>
    <xf numFmtId="0" fontId="14" fillId="0" borderId="0" xfId="0" applyFont="1" applyProtection="1">
      <protection locked="0"/>
    </xf>
    <xf numFmtId="0" fontId="14" fillId="0" borderId="0" xfId="0" applyFont="1" applyBorder="1" applyProtection="1">
      <protection locked="0"/>
    </xf>
    <xf numFmtId="0" fontId="15" fillId="0" borderId="0" xfId="0" applyFont="1" applyBorder="1" applyAlignment="1" applyProtection="1">
      <alignment vertical="center" wrapText="1"/>
      <protection locked="0"/>
    </xf>
    <xf numFmtId="0" fontId="15" fillId="0" borderId="0" xfId="0" applyFont="1" applyBorder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wrapText="1"/>
      <protection locked="0"/>
    </xf>
    <xf numFmtId="0" fontId="9" fillId="0" borderId="0" xfId="0" applyNumberFormat="1" applyFont="1" applyFill="1" applyBorder="1" applyAlignment="1" applyProtection="1">
      <alignment horizontal="center" vertical="center" wrapText="1"/>
      <protection locked="0"/>
    </xf>
    <xf numFmtId="49" fontId="9" fillId="0" borderId="2" xfId="0" applyNumberFormat="1" applyFont="1" applyFill="1" applyBorder="1" applyAlignment="1" applyProtection="1">
      <alignment horizontal="center" vertical="center" wrapText="1"/>
      <protection locked="0"/>
    </xf>
    <xf numFmtId="165" fontId="10" fillId="3" borderId="0" xfId="0" applyNumberFormat="1" applyFont="1" applyFill="1" applyBorder="1" applyAlignment="1" applyProtection="1">
      <alignment horizontal="right" vertical="center"/>
      <protection locked="0"/>
    </xf>
    <xf numFmtId="49" fontId="10" fillId="0" borderId="2" xfId="0" applyNumberFormat="1" applyFont="1" applyBorder="1" applyAlignment="1" applyProtection="1">
      <alignment horizontal="left" vertical="center"/>
      <protection locked="0"/>
    </xf>
    <xf numFmtId="49" fontId="10" fillId="0" borderId="2" xfId="0" quotePrefix="1" applyNumberFormat="1" applyFont="1" applyBorder="1" applyAlignment="1" applyProtection="1">
      <alignment horizontal="left" vertical="center"/>
      <protection locked="0"/>
    </xf>
    <xf numFmtId="0" fontId="19" fillId="0" borderId="0" xfId="0" applyFont="1" applyProtection="1">
      <protection locked="0"/>
    </xf>
    <xf numFmtId="0" fontId="9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Fill="1" applyProtection="1">
      <protection locked="0"/>
    </xf>
    <xf numFmtId="0" fontId="1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2" xfId="0" quotePrefix="1" applyNumberFormat="1" applyFont="1" applyFill="1" applyBorder="1" applyAlignment="1" applyProtection="1">
      <alignment horizontal="left" vertical="center" wrapText="1"/>
      <protection locked="0"/>
    </xf>
    <xf numFmtId="0" fontId="10" fillId="0" borderId="2" xfId="0" applyNumberFormat="1" applyFont="1" applyFill="1" applyBorder="1" applyAlignment="1" applyProtection="1">
      <alignment horizontal="left" vertical="center" wrapText="1"/>
      <protection locked="0"/>
    </xf>
    <xf numFmtId="2" fontId="9" fillId="0" borderId="0" xfId="0" applyNumberFormat="1" applyFont="1" applyFill="1" applyBorder="1" applyAlignment="1" applyProtection="1">
      <alignment horizontal="center" vertical="center"/>
      <protection locked="0"/>
    </xf>
    <xf numFmtId="2" fontId="9" fillId="0" borderId="2" xfId="0" applyNumberFormat="1" applyFont="1" applyFill="1" applyBorder="1" applyAlignment="1" applyProtection="1">
      <alignment horizontal="center" vertical="center"/>
      <protection locked="0"/>
    </xf>
    <xf numFmtId="10" fontId="10" fillId="0" borderId="0" xfId="0" applyNumberFormat="1" applyFont="1" applyFill="1" applyBorder="1" applyAlignment="1" applyProtection="1">
      <alignment horizontal="right" vertical="center"/>
      <protection locked="0"/>
    </xf>
    <xf numFmtId="49" fontId="10" fillId="0" borderId="2" xfId="0" quotePrefix="1" applyNumberFormat="1" applyFont="1" applyFill="1" applyBorder="1" applyAlignment="1" applyProtection="1">
      <alignment horizontal="left" vertical="center"/>
      <protection locked="0"/>
    </xf>
    <xf numFmtId="0" fontId="14" fillId="0" borderId="0" xfId="0" applyFont="1" applyFill="1" applyBorder="1" applyProtection="1">
      <protection locked="0"/>
    </xf>
    <xf numFmtId="43" fontId="14" fillId="0" borderId="0" xfId="1" applyNumberFormat="1" applyFont="1" applyFill="1" applyProtection="1">
      <protection locked="0"/>
    </xf>
    <xf numFmtId="0" fontId="14" fillId="0" borderId="0" xfId="0" applyFont="1" applyFill="1" applyAlignment="1">
      <alignment vertical="center"/>
    </xf>
    <xf numFmtId="0" fontId="27" fillId="0" borderId="0" xfId="0" applyFont="1" applyFill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14" fillId="0" borderId="2" xfId="0" applyFont="1" applyFill="1" applyBorder="1" applyAlignment="1">
      <alignment horizontal="center" vertical="center"/>
    </xf>
    <xf numFmtId="0" fontId="19" fillId="0" borderId="2" xfId="0" applyFont="1" applyFill="1" applyBorder="1" applyAlignment="1" applyProtection="1">
      <alignment vertical="center" wrapText="1"/>
      <protection locked="0"/>
    </xf>
    <xf numFmtId="49" fontId="28" fillId="0" borderId="2" xfId="0" applyNumberFormat="1" applyFont="1" applyFill="1" applyBorder="1" applyAlignment="1" applyProtection="1">
      <alignment horizontal="center" vertical="center" wrapText="1"/>
      <protection locked="0"/>
    </xf>
    <xf numFmtId="164" fontId="19" fillId="0" borderId="2" xfId="1" applyNumberFormat="1" applyFont="1" applyFill="1" applyBorder="1" applyAlignment="1" applyProtection="1">
      <alignment horizontal="right" vertical="center" wrapText="1"/>
    </xf>
    <xf numFmtId="10" fontId="14" fillId="0" borderId="2" xfId="2" applyNumberFormat="1" applyFont="1" applyFill="1" applyBorder="1" applyAlignment="1">
      <alignment horizontal="right" vertical="center" wrapText="1"/>
    </xf>
    <xf numFmtId="0" fontId="23" fillId="0" borderId="2" xfId="0" applyFont="1" applyFill="1" applyBorder="1" applyAlignment="1">
      <alignment horizontal="center" vertical="center"/>
    </xf>
    <xf numFmtId="0" fontId="16" fillId="0" borderId="2" xfId="0" applyFont="1" applyFill="1" applyBorder="1" applyAlignment="1" applyProtection="1">
      <alignment vertical="center" wrapText="1"/>
      <protection locked="0"/>
    </xf>
    <xf numFmtId="49" fontId="31" fillId="0" borderId="2" xfId="0" applyNumberFormat="1" applyFont="1" applyFill="1" applyBorder="1" applyAlignment="1" applyProtection="1">
      <alignment horizontal="center" vertical="center" wrapText="1"/>
      <protection locked="0"/>
    </xf>
    <xf numFmtId="164" fontId="16" fillId="0" borderId="2" xfId="1" applyNumberFormat="1" applyFont="1" applyFill="1" applyBorder="1" applyAlignment="1" applyProtection="1">
      <alignment horizontal="right" vertical="center" wrapText="1"/>
    </xf>
    <xf numFmtId="0" fontId="23" fillId="0" borderId="0" xfId="0" applyFont="1" applyFill="1" applyAlignment="1">
      <alignment vertical="center"/>
    </xf>
    <xf numFmtId="0" fontId="27" fillId="0" borderId="2" xfId="0" applyFont="1" applyFill="1" applyBorder="1" applyAlignment="1">
      <alignment horizontal="center" vertical="center"/>
    </xf>
    <xf numFmtId="0" fontId="28" fillId="0" borderId="2" xfId="0" applyFont="1" applyFill="1" applyBorder="1" applyAlignment="1" applyProtection="1">
      <alignment vertical="center" wrapText="1"/>
      <protection locked="0"/>
    </xf>
    <xf numFmtId="0" fontId="27" fillId="0" borderId="0" xfId="0" applyFont="1" applyFill="1" applyAlignment="1">
      <alignment vertical="center"/>
    </xf>
    <xf numFmtId="49" fontId="28" fillId="0" borderId="2" xfId="8" applyNumberFormat="1" applyFont="1" applyFill="1" applyBorder="1" applyAlignment="1" applyProtection="1">
      <alignment horizontal="center" vertical="center" wrapText="1"/>
      <protection locked="0"/>
    </xf>
    <xf numFmtId="164" fontId="19" fillId="0" borderId="2" xfId="1" quotePrefix="1" applyNumberFormat="1" applyFont="1" applyFill="1" applyBorder="1" applyAlignment="1" applyProtection="1">
      <alignment horizontal="right" vertical="center" wrapText="1"/>
    </xf>
    <xf numFmtId="49" fontId="31" fillId="0" borderId="2" xfId="8" applyNumberFormat="1" applyFont="1" applyFill="1" applyBorder="1" applyAlignment="1" applyProtection="1">
      <alignment horizontal="center" vertical="center" wrapText="1"/>
      <protection locked="0"/>
    </xf>
    <xf numFmtId="0" fontId="32" fillId="0" borderId="0" xfId="0" applyFont="1" applyFill="1" applyBorder="1" applyAlignment="1">
      <alignment horizontal="center" vertical="center"/>
    </xf>
    <xf numFmtId="0" fontId="33" fillId="0" borderId="0" xfId="0" applyFont="1" applyFill="1" applyAlignment="1">
      <alignment vertical="center"/>
    </xf>
    <xf numFmtId="0" fontId="4" fillId="0" borderId="0" xfId="0" applyFont="1" applyFill="1" applyBorder="1"/>
    <xf numFmtId="10" fontId="4" fillId="0" borderId="0" xfId="0" applyNumberFormat="1" applyFont="1" applyFill="1" applyBorder="1"/>
    <xf numFmtId="0" fontId="9" fillId="0" borderId="9" xfId="3" applyFont="1" applyFill="1" applyBorder="1" applyAlignment="1" applyProtection="1">
      <alignment horizontal="center" vertical="center"/>
      <protection locked="0"/>
    </xf>
    <xf numFmtId="0" fontId="10" fillId="3" borderId="4" xfId="3" applyFont="1" applyFill="1" applyBorder="1" applyAlignment="1" applyProtection="1">
      <alignment horizontal="center" vertical="center"/>
      <protection locked="0"/>
    </xf>
    <xf numFmtId="0" fontId="10" fillId="3" borderId="5" xfId="3" applyFont="1" applyFill="1" applyBorder="1" applyAlignment="1" applyProtection="1">
      <alignment horizontal="center" vertical="center"/>
      <protection locked="0"/>
    </xf>
    <xf numFmtId="0" fontId="9" fillId="0" borderId="5" xfId="3" applyFont="1" applyFill="1" applyBorder="1" applyAlignment="1" applyProtection="1">
      <alignment horizontal="center" vertical="center"/>
      <protection locked="0"/>
    </xf>
    <xf numFmtId="0" fontId="10" fillId="0" borderId="5" xfId="3" applyFont="1" applyFill="1" applyBorder="1" applyAlignment="1" applyProtection="1">
      <alignment horizontal="center" vertical="center"/>
      <protection locked="0"/>
    </xf>
    <xf numFmtId="0" fontId="9" fillId="0" borderId="2" xfId="3" applyFont="1" applyFill="1" applyBorder="1" applyAlignment="1" applyProtection="1">
      <alignment horizontal="left" vertical="center"/>
      <protection locked="0"/>
    </xf>
    <xf numFmtId="43" fontId="14" fillId="0" borderId="2" xfId="1" applyNumberFormat="1" applyFont="1" applyBorder="1" applyProtection="1">
      <protection locked="0"/>
    </xf>
    <xf numFmtId="43" fontId="9" fillId="0" borderId="2" xfId="1" applyNumberFormat="1" applyFont="1" applyFill="1" applyBorder="1" applyAlignment="1" applyProtection="1">
      <alignment horizontal="center" vertical="center" wrapText="1"/>
      <protection locked="0"/>
    </xf>
    <xf numFmtId="0" fontId="10" fillId="3" borderId="2" xfId="0" applyFont="1" applyFill="1" applyBorder="1" applyAlignment="1" applyProtection="1">
      <alignment horizontal="left" vertical="center"/>
      <protection locked="0"/>
    </xf>
    <xf numFmtId="43" fontId="4" fillId="0" borderId="2" xfId="1" applyFont="1" applyBorder="1" applyAlignment="1">
      <alignment horizontal="right" vertical="center" wrapText="1"/>
    </xf>
    <xf numFmtId="43" fontId="4" fillId="4" borderId="2" xfId="1" applyFont="1" applyFill="1" applyBorder="1" applyAlignment="1">
      <alignment horizontal="right" vertical="center"/>
    </xf>
    <xf numFmtId="0" fontId="9" fillId="0" borderId="2" xfId="0" applyFont="1" applyFill="1" applyBorder="1" applyAlignment="1" applyProtection="1">
      <alignment horizontal="left" vertical="center"/>
      <protection locked="0"/>
    </xf>
    <xf numFmtId="43" fontId="6" fillId="0" borderId="2" xfId="1" applyFont="1" applyBorder="1" applyAlignment="1">
      <alignment horizontal="right" vertical="center" wrapText="1"/>
    </xf>
    <xf numFmtId="0" fontId="10" fillId="0" borderId="2" xfId="0" applyFont="1" applyFill="1" applyBorder="1" applyAlignment="1" applyProtection="1">
      <alignment horizontal="left" vertical="center"/>
      <protection locked="0"/>
    </xf>
    <xf numFmtId="43" fontId="6" fillId="0" borderId="2" xfId="1" applyFont="1" applyBorder="1" applyAlignment="1">
      <alignment horizontal="right" vertical="center"/>
    </xf>
    <xf numFmtId="43" fontId="4" fillId="0" borderId="2" xfId="1" applyFont="1" applyBorder="1" applyAlignment="1">
      <alignment horizontal="right" vertical="center"/>
    </xf>
    <xf numFmtId="4" fontId="4" fillId="0" borderId="2" xfId="1" applyNumberFormat="1" applyFont="1" applyBorder="1" applyAlignment="1">
      <alignment horizontal="right" vertical="center" wrapText="1"/>
    </xf>
    <xf numFmtId="3" fontId="14" fillId="0" borderId="2" xfId="1" applyNumberFormat="1" applyFont="1" applyFill="1" applyBorder="1" applyAlignment="1">
      <alignment horizontal="right" vertical="center" wrapText="1"/>
    </xf>
    <xf numFmtId="3" fontId="23" fillId="0" borderId="2" xfId="1" applyNumberFormat="1" applyFont="1" applyFill="1" applyBorder="1" applyAlignment="1">
      <alignment horizontal="right" vertical="center" wrapText="1"/>
    </xf>
    <xf numFmtId="0" fontId="9" fillId="0" borderId="7" xfId="0" applyFont="1" applyFill="1" applyBorder="1" applyAlignment="1" applyProtection="1">
      <alignment horizontal="center" vertical="center" wrapText="1"/>
      <protection locked="0"/>
    </xf>
    <xf numFmtId="0" fontId="9" fillId="0" borderId="2" xfId="0" applyFont="1" applyFill="1" applyBorder="1" applyAlignment="1" applyProtection="1">
      <alignment horizontal="center" vertical="center" wrapText="1"/>
      <protection locked="0"/>
    </xf>
    <xf numFmtId="0" fontId="6" fillId="0" borderId="2" xfId="0" applyNumberFormat="1" applyFont="1" applyFill="1" applyBorder="1" applyAlignment="1">
      <alignment horizontal="center" vertical="center" wrapText="1"/>
    </xf>
    <xf numFmtId="0" fontId="16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Fill="1" applyBorder="1" applyAlignment="1" applyProtection="1">
      <alignment vertical="center" wrapText="1"/>
      <protection locked="0"/>
    </xf>
    <xf numFmtId="49" fontId="6" fillId="0" borderId="2" xfId="0" applyNumberFormat="1" applyFont="1" applyFill="1" applyBorder="1" applyAlignment="1">
      <alignment horizontal="center" vertical="center" wrapText="1"/>
    </xf>
    <xf numFmtId="0" fontId="23" fillId="0" borderId="2" xfId="0" applyFont="1" applyFill="1" applyBorder="1" applyAlignment="1" applyProtection="1">
      <alignment horizontal="center" vertical="center" wrapText="1"/>
      <protection locked="0"/>
    </xf>
    <xf numFmtId="0" fontId="23" fillId="0" borderId="2" xfId="0" applyFont="1" applyFill="1" applyBorder="1" applyAlignment="1" applyProtection="1">
      <alignment vertical="center" wrapText="1"/>
      <protection locked="0"/>
    </xf>
    <xf numFmtId="49" fontId="20" fillId="0" borderId="2" xfId="5" applyNumberFormat="1" applyFill="1" applyBorder="1" applyAlignment="1" applyProtection="1">
      <alignment horizontal="center"/>
      <protection locked="0"/>
    </xf>
    <xf numFmtId="0" fontId="14" fillId="0" borderId="2" xfId="0" applyFont="1" applyFill="1" applyBorder="1" applyAlignment="1" applyProtection="1">
      <alignment horizontal="center" vertical="center" wrapText="1"/>
      <protection locked="0"/>
    </xf>
    <xf numFmtId="0" fontId="14" fillId="0" borderId="2" xfId="0" applyFont="1" applyFill="1" applyBorder="1" applyAlignment="1" applyProtection="1">
      <alignment vertical="center" wrapText="1"/>
      <protection locked="0"/>
    </xf>
    <xf numFmtId="49" fontId="14" fillId="0" borderId="2" xfId="5" applyNumberFormat="1" applyFont="1" applyFill="1" applyBorder="1" applyAlignment="1" applyProtection="1">
      <alignment horizontal="center"/>
      <protection locked="0"/>
    </xf>
    <xf numFmtId="0" fontId="24" fillId="0" borderId="2" xfId="0" applyFont="1" applyFill="1" applyBorder="1" applyAlignment="1" applyProtection="1">
      <alignment horizontal="center" vertical="center" wrapText="1"/>
      <protection locked="0"/>
    </xf>
    <xf numFmtId="49" fontId="0" fillId="0" borderId="2" xfId="0" applyNumberFormat="1" applyFill="1" applyBorder="1" applyAlignment="1">
      <alignment horizontal="center"/>
    </xf>
    <xf numFmtId="49" fontId="14" fillId="0" borderId="2" xfId="0" applyNumberFormat="1" applyFont="1" applyFill="1" applyBorder="1" applyAlignment="1">
      <alignment horizontal="center"/>
    </xf>
    <xf numFmtId="0" fontId="9" fillId="0" borderId="2" xfId="0" applyFont="1" applyFill="1" applyBorder="1" applyAlignment="1" applyProtection="1">
      <alignment horizontal="center" vertical="center"/>
      <protection locked="0"/>
    </xf>
    <xf numFmtId="0" fontId="9" fillId="0" borderId="2" xfId="8" applyNumberFormat="1" applyFont="1" applyFill="1" applyBorder="1" applyAlignment="1" applyProtection="1">
      <alignment horizontal="center" vertical="center" wrapText="1"/>
      <protection locked="0"/>
    </xf>
    <xf numFmtId="0" fontId="14" fillId="0" borderId="2" xfId="0" applyFont="1" applyFill="1" applyBorder="1" applyAlignment="1" applyProtection="1">
      <alignment horizontal="center" vertical="center"/>
      <protection locked="0"/>
    </xf>
    <xf numFmtId="164" fontId="29" fillId="0" borderId="2" xfId="1" applyNumberFormat="1" applyFont="1" applyFill="1" applyBorder="1" applyAlignment="1">
      <alignment horizontal="left" vertical="center"/>
    </xf>
    <xf numFmtId="164" fontId="14" fillId="0" borderId="2" xfId="1" applyNumberFormat="1" applyFont="1" applyFill="1" applyBorder="1" applyAlignment="1">
      <alignment horizontal="left" vertical="center" wrapText="1"/>
    </xf>
    <xf numFmtId="0" fontId="23" fillId="0" borderId="2" xfId="0" applyFont="1" applyFill="1" applyBorder="1" applyAlignment="1" applyProtection="1">
      <alignment horizontal="center" vertical="center"/>
      <protection locked="0"/>
    </xf>
    <xf numFmtId="0" fontId="27" fillId="0" borderId="2" xfId="0" applyFont="1" applyFill="1" applyBorder="1" applyAlignment="1" applyProtection="1">
      <alignment horizontal="center" vertical="center"/>
      <protection locked="0"/>
    </xf>
    <xf numFmtId="0" fontId="0" fillId="6" borderId="0" xfId="0" applyFill="1" applyProtection="1">
      <protection locked="0"/>
    </xf>
    <xf numFmtId="0" fontId="8" fillId="6" borderId="0" xfId="0" applyFont="1" applyFill="1" applyProtection="1">
      <protection locked="0"/>
    </xf>
    <xf numFmtId="0" fontId="0" fillId="6" borderId="0" xfId="0" applyFont="1" applyFill="1" applyProtection="1">
      <protection locked="0"/>
    </xf>
    <xf numFmtId="167" fontId="0" fillId="6" borderId="0" xfId="0" applyNumberFormat="1" applyFill="1" applyProtection="1">
      <protection locked="0"/>
    </xf>
    <xf numFmtId="43" fontId="0" fillId="6" borderId="0" xfId="0" applyNumberFormat="1" applyFill="1" applyProtection="1">
      <protection locked="0"/>
    </xf>
    <xf numFmtId="0" fontId="13" fillId="6" borderId="0" xfId="0" applyFont="1" applyFill="1" applyProtection="1">
      <protection locked="0"/>
    </xf>
    <xf numFmtId="168" fontId="0" fillId="6" borderId="0" xfId="0" applyNumberFormat="1" applyFill="1" applyProtection="1">
      <protection locked="0"/>
    </xf>
    <xf numFmtId="169" fontId="0" fillId="6" borderId="0" xfId="0" applyNumberFormat="1" applyFill="1" applyProtection="1"/>
    <xf numFmtId="0" fontId="0" fillId="6" borderId="0" xfId="0" applyFill="1" applyAlignment="1" applyProtection="1">
      <alignment horizontal="center"/>
      <protection locked="0"/>
    </xf>
    <xf numFmtId="166" fontId="14" fillId="6" borderId="0" xfId="1" applyNumberFormat="1" applyFont="1" applyFill="1" applyProtection="1">
      <protection locked="0"/>
    </xf>
    <xf numFmtId="0" fontId="25" fillId="6" borderId="0" xfId="0" applyFont="1" applyFill="1" applyAlignment="1" applyProtection="1">
      <alignment horizontal="center"/>
      <protection locked="0"/>
    </xf>
    <xf numFmtId="166" fontId="25" fillId="6" borderId="0" xfId="1" applyNumberFormat="1" applyFont="1" applyFill="1" applyAlignment="1" applyProtection="1">
      <alignment horizontal="center"/>
    </xf>
    <xf numFmtId="0" fontId="26" fillId="6" borderId="0" xfId="0" applyFont="1" applyFill="1" applyProtection="1">
      <protection locked="0"/>
    </xf>
    <xf numFmtId="0" fontId="16" fillId="0" borderId="2" xfId="0" applyFont="1" applyFill="1" applyBorder="1" applyAlignment="1">
      <alignment horizontal="center" vertical="center" wrapText="1"/>
    </xf>
    <xf numFmtId="3" fontId="29" fillId="0" borderId="2" xfId="1" applyNumberFormat="1" applyFont="1" applyFill="1" applyBorder="1" applyAlignment="1">
      <alignment horizontal="right" vertical="center" wrapText="1"/>
    </xf>
    <xf numFmtId="0" fontId="35" fillId="0" borderId="2" xfId="0" applyFont="1" applyFill="1" applyBorder="1" applyAlignment="1" applyProtection="1">
      <alignment vertical="center" wrapText="1"/>
      <protection locked="0"/>
    </xf>
    <xf numFmtId="0" fontId="34" fillId="0" borderId="2" xfId="0" applyFont="1" applyFill="1" applyBorder="1" applyAlignment="1" applyProtection="1">
      <alignment horizontal="center" vertical="center" wrapText="1"/>
      <protection locked="0"/>
    </xf>
    <xf numFmtId="0" fontId="34" fillId="0" borderId="2" xfId="0" applyFont="1" applyFill="1" applyBorder="1" applyAlignment="1" applyProtection="1">
      <alignment vertical="center" wrapText="1"/>
      <protection locked="0"/>
    </xf>
    <xf numFmtId="0" fontId="19" fillId="0" borderId="2" xfId="0" applyFont="1" applyFill="1" applyBorder="1" applyAlignment="1" applyProtection="1">
      <alignment horizontal="center" vertical="center" wrapText="1"/>
      <protection locked="0"/>
    </xf>
    <xf numFmtId="49" fontId="19" fillId="0" borderId="2" xfId="5" applyNumberFormat="1" applyFont="1" applyFill="1" applyBorder="1" applyAlignment="1" applyProtection="1">
      <alignment horizontal="center"/>
      <protection locked="0"/>
    </xf>
    <xf numFmtId="3" fontId="19" fillId="0" borderId="2" xfId="1" applyNumberFormat="1" applyFont="1" applyFill="1" applyBorder="1" applyAlignment="1">
      <alignment horizontal="right" vertical="center" wrapText="1"/>
    </xf>
    <xf numFmtId="0" fontId="25" fillId="6" borderId="0" xfId="0" applyFont="1" applyFill="1" applyAlignment="1" applyProtection="1">
      <alignment horizontal="left"/>
      <protection locked="0"/>
    </xf>
    <xf numFmtId="0" fontId="28" fillId="0" borderId="0" xfId="0" applyFont="1" applyFill="1" applyBorder="1" applyAlignment="1">
      <alignment horizontal="center" vertical="center"/>
    </xf>
    <xf numFmtId="164" fontId="16" fillId="0" borderId="0" xfId="2" applyNumberFormat="1" applyFont="1" applyFill="1" applyBorder="1"/>
    <xf numFmtId="164" fontId="19" fillId="0" borderId="0" xfId="2" applyNumberFormat="1" applyFont="1" applyFill="1" applyBorder="1"/>
    <xf numFmtId="0" fontId="19" fillId="0" borderId="0" xfId="0" applyFont="1" applyFill="1" applyBorder="1" applyAlignment="1">
      <alignment horizontal="left"/>
    </xf>
    <xf numFmtId="0" fontId="16" fillId="0" borderId="0" xfId="0" applyFont="1" applyFill="1" applyBorder="1" applyAlignment="1">
      <alignment horizontal="left"/>
    </xf>
    <xf numFmtId="0" fontId="14" fillId="0" borderId="0" xfId="0" applyFont="1" applyFill="1" applyBorder="1" applyAlignment="1">
      <alignment horizontal="left"/>
    </xf>
    <xf numFmtId="0" fontId="36" fillId="0" borderId="0" xfId="0" applyFont="1" applyFill="1" applyBorder="1" applyAlignment="1">
      <alignment horizontal="left"/>
    </xf>
    <xf numFmtId="0" fontId="27" fillId="0" borderId="0" xfId="0" applyFont="1" applyFill="1" applyBorder="1" applyAlignment="1">
      <alignment horizontal="center" vertical="center"/>
    </xf>
    <xf numFmtId="164" fontId="36" fillId="0" borderId="0" xfId="2" applyNumberFormat="1" applyFont="1" applyFill="1" applyBorder="1"/>
    <xf numFmtId="0" fontId="23" fillId="0" borderId="0" xfId="0" applyFont="1" applyFill="1" applyBorder="1" applyAlignment="1">
      <alignment horizontal="left"/>
    </xf>
    <xf numFmtId="170" fontId="14" fillId="0" borderId="0" xfId="2" applyNumberFormat="1" applyFont="1" applyFill="1" applyBorder="1"/>
    <xf numFmtId="0" fontId="23" fillId="0" borderId="0" xfId="0" applyFont="1" applyFill="1" applyBorder="1"/>
    <xf numFmtId="0" fontId="23" fillId="5" borderId="0" xfId="0" applyFont="1" applyFill="1" applyBorder="1"/>
    <xf numFmtId="0" fontId="37" fillId="5" borderId="0" xfId="0" applyFont="1" applyFill="1" applyBorder="1" applyAlignment="1">
      <alignment horizontal="center" vertical="center"/>
    </xf>
    <xf numFmtId="171" fontId="23" fillId="5" borderId="0" xfId="2" quotePrefix="1" applyNumberFormat="1" applyFont="1" applyFill="1" applyBorder="1" applyAlignment="1">
      <alignment horizontal="center"/>
    </xf>
    <xf numFmtId="0" fontId="14" fillId="0" borderId="0" xfId="0" applyFont="1" applyFill="1" applyBorder="1"/>
    <xf numFmtId="10" fontId="14" fillId="0" borderId="0" xfId="2" applyNumberFormat="1" applyFont="1" applyFill="1" applyBorder="1"/>
    <xf numFmtId="0" fontId="23" fillId="5" borderId="0" xfId="0" applyFont="1" applyFill="1" applyBorder="1" applyAlignment="1">
      <alignment horizontal="left"/>
    </xf>
    <xf numFmtId="0" fontId="23" fillId="5" borderId="0" xfId="1" applyNumberFormat="1" applyFont="1" applyFill="1" applyBorder="1" applyAlignment="1">
      <alignment horizontal="center"/>
    </xf>
    <xf numFmtId="0" fontId="19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2" xfId="0" applyBorder="1"/>
    <xf numFmtId="164" fontId="0" fillId="0" borderId="2" xfId="1" applyNumberFormat="1" applyFont="1" applyBorder="1"/>
    <xf numFmtId="0" fontId="32" fillId="0" borderId="1" xfId="0" applyFont="1" applyFill="1" applyBorder="1" applyAlignment="1">
      <alignment horizontal="right" vertical="center"/>
    </xf>
    <xf numFmtId="164" fontId="38" fillId="0" borderId="0" xfId="0" applyNumberFormat="1" applyFont="1" applyAlignment="1">
      <alignment horizontal="left" vertical="center"/>
    </xf>
    <xf numFmtId="14" fontId="38" fillId="0" borderId="0" xfId="0" applyNumberFormat="1" applyFont="1" applyAlignment="1">
      <alignment horizontal="left" vertical="center"/>
    </xf>
    <xf numFmtId="0" fontId="0" fillId="2" borderId="0" xfId="0" applyFill="1" applyBorder="1" applyAlignment="1">
      <alignment vertical="center" wrapText="1"/>
    </xf>
    <xf numFmtId="164" fontId="0" fillId="0" borderId="0" xfId="0" applyNumberFormat="1" applyBorder="1"/>
    <xf numFmtId="49" fontId="0" fillId="2" borderId="0" xfId="0" applyNumberFormat="1" applyFill="1" applyBorder="1" applyAlignment="1">
      <alignment horizontal="center"/>
    </xf>
    <xf numFmtId="0" fontId="0" fillId="0" borderId="0" xfId="0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49" fontId="0" fillId="0" borderId="0" xfId="0" applyNumberFormat="1" applyFill="1" applyBorder="1" applyAlignment="1">
      <alignment horizontal="center"/>
    </xf>
    <xf numFmtId="0" fontId="38" fillId="2" borderId="0" xfId="0" applyFont="1" applyFill="1" applyBorder="1" applyAlignment="1">
      <alignment horizontal="right" vertical="center"/>
    </xf>
    <xf numFmtId="0" fontId="38" fillId="0" borderId="0" xfId="0" applyFont="1" applyBorder="1" applyAlignment="1">
      <alignment horizontal="right" vertical="center" wrapText="1"/>
    </xf>
    <xf numFmtId="0" fontId="38" fillId="0" borderId="0" xfId="0" applyFont="1" applyBorder="1" applyAlignment="1">
      <alignment horizontal="right" vertical="center"/>
    </xf>
    <xf numFmtId="49" fontId="38" fillId="0" borderId="0" xfId="0" applyNumberFormat="1" applyFont="1" applyAlignment="1">
      <alignment horizontal="left" vertical="center"/>
    </xf>
    <xf numFmtId="0" fontId="39" fillId="0" borderId="0" xfId="0" applyFont="1"/>
    <xf numFmtId="0" fontId="8" fillId="0" borderId="0" xfId="0" applyFont="1"/>
    <xf numFmtId="0" fontId="0" fillId="0" borderId="0" xfId="0" quotePrefix="1"/>
    <xf numFmtId="0" fontId="7" fillId="0" borderId="0" xfId="0" applyFont="1" applyAlignment="1"/>
    <xf numFmtId="0" fontId="40" fillId="0" borderId="0" xfId="0" applyFont="1"/>
    <xf numFmtId="0" fontId="5" fillId="0" borderId="0" xfId="0" applyFont="1" applyFill="1" applyAlignment="1">
      <alignment horizontal="centerContinuous" vertical="center"/>
    </xf>
    <xf numFmtId="0" fontId="2" fillId="0" borderId="0" xfId="0" applyFont="1" applyAlignment="1"/>
    <xf numFmtId="0" fontId="0" fillId="0" borderId="0" xfId="0" applyAlignment="1"/>
    <xf numFmtId="0" fontId="30" fillId="0" borderId="0" xfId="0" applyFont="1" applyFill="1" applyAlignment="1">
      <alignment horizontal="center" vertical="center"/>
    </xf>
    <xf numFmtId="0" fontId="4" fillId="0" borderId="1" xfId="0" applyFont="1" applyFill="1" applyBorder="1" applyAlignment="1">
      <alignment horizontal="right" vertical="center"/>
    </xf>
    <xf numFmtId="0" fontId="16" fillId="0" borderId="6" xfId="0" applyFont="1" applyFill="1" applyBorder="1" applyAlignment="1">
      <alignment horizontal="center" vertical="center"/>
    </xf>
    <xf numFmtId="0" fontId="16" fillId="0" borderId="3" xfId="0" applyFont="1" applyFill="1" applyBorder="1" applyAlignment="1">
      <alignment horizontal="center" vertical="center"/>
    </xf>
    <xf numFmtId="0" fontId="16" fillId="0" borderId="6" xfId="8" applyNumberFormat="1" applyFont="1" applyFill="1" applyBorder="1" applyAlignment="1">
      <alignment horizontal="center" vertical="center" wrapText="1"/>
    </xf>
    <xf numFmtId="0" fontId="16" fillId="0" borderId="3" xfId="8" applyNumberFormat="1" applyFont="1" applyFill="1" applyBorder="1" applyAlignment="1">
      <alignment horizontal="center" vertical="center" wrapText="1"/>
    </xf>
    <xf numFmtId="0" fontId="16" fillId="0" borderId="6" xfId="8" quotePrefix="1" applyNumberFormat="1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 wrapText="1"/>
    </xf>
    <xf numFmtId="0" fontId="16" fillId="0" borderId="8" xfId="0" applyFont="1" applyFill="1" applyBorder="1" applyAlignment="1">
      <alignment horizontal="center" vertical="center" wrapText="1"/>
    </xf>
    <xf numFmtId="0" fontId="15" fillId="0" borderId="0" xfId="0" applyFont="1" applyBorder="1" applyAlignment="1" applyProtection="1">
      <alignment horizontal="center" vertical="center" wrapText="1"/>
      <protection locked="0"/>
    </xf>
    <xf numFmtId="0" fontId="23" fillId="0" borderId="2" xfId="0" applyFont="1" applyFill="1" applyBorder="1" applyAlignment="1" applyProtection="1">
      <alignment horizontal="left" vertical="center" wrapText="1"/>
      <protection locked="0"/>
    </xf>
    <xf numFmtId="0" fontId="23" fillId="0" borderId="2" xfId="0" applyFont="1" applyFill="1" applyBorder="1" applyAlignment="1" applyProtection="1">
      <alignment horizontal="center" vertical="center" wrapText="1"/>
      <protection locked="0"/>
    </xf>
    <xf numFmtId="0" fontId="22" fillId="0" borderId="1" xfId="0" applyFont="1" applyFill="1" applyBorder="1" applyAlignment="1" applyProtection="1">
      <alignment horizontal="center"/>
      <protection locked="0"/>
    </xf>
    <xf numFmtId="0" fontId="22" fillId="0" borderId="1" xfId="0" applyFont="1" applyFill="1" applyBorder="1" applyAlignment="1" applyProtection="1">
      <alignment horizontal="center" vertical="center"/>
      <protection locked="0"/>
    </xf>
  </cellXfs>
  <cellStyles count="9">
    <cellStyle name="Comma" xfId="1" builtinId="3"/>
    <cellStyle name="Comma 7" xfId="4"/>
    <cellStyle name="Normal" xfId="0" builtinId="0"/>
    <cellStyle name="Normal 2" xfId="5"/>
    <cellStyle name="Normal 3" xfId="6"/>
    <cellStyle name="Normal 4" xfId="7"/>
    <cellStyle name="Normal 9" xfId="3"/>
    <cellStyle name="Normal_KTGIATHANH 2" xfId="8"/>
    <cellStyle name="Percent" xfId="2" builtinId="5"/>
  </cellStyles>
  <dxfs count="0"/>
  <tableStyles count="0" defaultTableStyle="TableStyleMedium2" defaultPivotStyle="PivotStyleLight16"/>
  <colors>
    <mruColors>
      <color rgb="FFFFFFEB"/>
      <color rgb="FFFFFFCC"/>
      <color rgb="FFA2DAA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TONGHOP!$G$4" fmlaRange="TONGHOP!$F$5:$F$6" noThreeD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104774</xdr:colOff>
      <xdr:row>20</xdr:row>
      <xdr:rowOff>123824</xdr:rowOff>
    </xdr:from>
    <xdr:to>
      <xdr:col>8</xdr:col>
      <xdr:colOff>381000</xdr:colOff>
      <xdr:row>24</xdr:row>
      <xdr:rowOff>19049</xdr:rowOff>
    </xdr:to>
    <xdr:sp macro="[0]!XuatFile" textlink="">
      <xdr:nvSpPr>
        <xdr:cNvPr id="3" name="Rounded Rectangle 2"/>
        <xdr:cNvSpPr/>
      </xdr:nvSpPr>
      <xdr:spPr>
        <a:xfrm>
          <a:off x="3152774" y="4086224"/>
          <a:ext cx="2105026" cy="657225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Xuất ra file excel để import vào APC</a:t>
          </a:r>
        </a:p>
      </xdr:txBody>
    </xdr:sp>
    <xdr:clientData/>
  </xdr:twoCellAnchor>
  <xdr:twoCellAnchor>
    <xdr:from>
      <xdr:col>0</xdr:col>
      <xdr:colOff>85726</xdr:colOff>
      <xdr:row>17</xdr:row>
      <xdr:rowOff>9525</xdr:rowOff>
    </xdr:from>
    <xdr:to>
      <xdr:col>2</xdr:col>
      <xdr:colOff>603886</xdr:colOff>
      <xdr:row>19</xdr:row>
      <xdr:rowOff>177165</xdr:rowOff>
    </xdr:to>
    <xdr:sp macro="[0]!Sheet_BC_NHANH" textlink="">
      <xdr:nvSpPr>
        <xdr:cNvPr id="4" name="Rounded Rectangle 3"/>
        <xdr:cNvSpPr/>
      </xdr:nvSpPr>
      <xdr:spPr>
        <a:xfrm>
          <a:off x="85726" y="3400425"/>
          <a:ext cx="1737360" cy="54864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Nhập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 thủ công </a:t>
          </a:r>
        </a:p>
        <a:p>
          <a:pPr algn="ctr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BC NHANH</a:t>
          </a:r>
        </a:p>
      </xdr:txBody>
    </xdr:sp>
    <xdr:clientData/>
  </xdr:twoCellAnchor>
  <xdr:twoCellAnchor>
    <xdr:from>
      <xdr:col>3</xdr:col>
      <xdr:colOff>95249</xdr:colOff>
      <xdr:row>17</xdr:row>
      <xdr:rowOff>19050</xdr:rowOff>
    </xdr:from>
    <xdr:to>
      <xdr:col>6</xdr:col>
      <xdr:colOff>3809</xdr:colOff>
      <xdr:row>19</xdr:row>
      <xdr:rowOff>186690</xdr:rowOff>
    </xdr:to>
    <xdr:sp macro="[0]!Sao_chep_N" textlink="">
      <xdr:nvSpPr>
        <xdr:cNvPr id="5" name="Rounded Rectangle 4"/>
        <xdr:cNvSpPr/>
      </xdr:nvSpPr>
      <xdr:spPr>
        <a:xfrm>
          <a:off x="1924049" y="3409950"/>
          <a:ext cx="1737360" cy="54864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Chọn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 file </a:t>
          </a:r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BCTC năm gần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 nhất (năm N)</a:t>
          </a:r>
          <a:endParaRPr lang="en-US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133350</xdr:colOff>
      <xdr:row>17</xdr:row>
      <xdr:rowOff>19051</xdr:rowOff>
    </xdr:from>
    <xdr:to>
      <xdr:col>9</xdr:col>
      <xdr:colOff>41910</xdr:colOff>
      <xdr:row>19</xdr:row>
      <xdr:rowOff>186691</xdr:rowOff>
    </xdr:to>
    <xdr:sp macro="[0]!Sao_chep_N1" textlink="">
      <xdr:nvSpPr>
        <xdr:cNvPr id="6" name="Rounded Rectangle 5"/>
        <xdr:cNvSpPr/>
      </xdr:nvSpPr>
      <xdr:spPr>
        <a:xfrm>
          <a:off x="3790950" y="3409951"/>
          <a:ext cx="1737360" cy="54864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Chọn</a:t>
          </a:r>
          <a:r>
            <a:rPr lang="en-US" sz="12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file </a:t>
          </a:r>
          <a:r>
            <a:rPr lang="en-US" sz="12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BCTC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Năm</a:t>
          </a:r>
          <a:r>
            <a:rPr lang="en-US" sz="12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N-1</a:t>
          </a:r>
          <a:endParaRPr lang="en-US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171450</xdr:colOff>
      <xdr:row>17</xdr:row>
      <xdr:rowOff>19051</xdr:rowOff>
    </xdr:from>
    <xdr:to>
      <xdr:col>12</xdr:col>
      <xdr:colOff>80010</xdr:colOff>
      <xdr:row>19</xdr:row>
      <xdr:rowOff>186691</xdr:rowOff>
    </xdr:to>
    <xdr:sp macro="[0]!Sao_chep_N2" textlink="">
      <xdr:nvSpPr>
        <xdr:cNvPr id="7" name="Rounded Rectangle 6"/>
        <xdr:cNvSpPr/>
      </xdr:nvSpPr>
      <xdr:spPr>
        <a:xfrm>
          <a:off x="5657850" y="3409951"/>
          <a:ext cx="1737360" cy="54864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eaLnBrk="1" fontAlgn="auto" latinLnBrk="0" hangingPunct="1"/>
          <a:r>
            <a:rPr lang="en-US" sz="12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Chọn</a:t>
          </a:r>
          <a:r>
            <a:rPr lang="en-US" sz="12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file </a:t>
          </a:r>
          <a:r>
            <a:rPr lang="en-US" sz="12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BCTC </a:t>
          </a:r>
        </a:p>
        <a:p>
          <a:pPr algn="ctr" eaLnBrk="1" fontAlgn="auto" latinLnBrk="0" hangingPunct="1"/>
          <a:r>
            <a:rPr lang="en-US" sz="12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Năm</a:t>
          </a:r>
          <a:r>
            <a:rPr lang="en-US" sz="12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N-2</a:t>
          </a:r>
          <a:endParaRPr lang="en-US" sz="12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6</xdr:col>
      <xdr:colOff>552450</xdr:colOff>
      <xdr:row>0</xdr:row>
      <xdr:rowOff>76200</xdr:rowOff>
    </xdr:from>
    <xdr:to>
      <xdr:col>13</xdr:col>
      <xdr:colOff>332873</xdr:colOff>
      <xdr:row>2</xdr:row>
      <xdr:rowOff>66627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10050" y="76200"/>
          <a:ext cx="4019048" cy="3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15</xdr:row>
          <xdr:rowOff>0</xdr:rowOff>
        </xdr:from>
        <xdr:to>
          <xdr:col>5</xdr:col>
          <xdr:colOff>438150</xdr:colOff>
          <xdr:row>16</xdr:row>
          <xdr:rowOff>47625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12</xdr:col>
      <xdr:colOff>152400</xdr:colOff>
      <xdr:row>17</xdr:row>
      <xdr:rowOff>19051</xdr:rowOff>
    </xdr:from>
    <xdr:to>
      <xdr:col>13</xdr:col>
      <xdr:colOff>466725</xdr:colOff>
      <xdr:row>19</xdr:row>
      <xdr:rowOff>186691</xdr:rowOff>
    </xdr:to>
    <xdr:sp macro="[0]!XoaBCTC" textlink="">
      <xdr:nvSpPr>
        <xdr:cNvPr id="9" name="Rounded Rectangle 8"/>
        <xdr:cNvSpPr/>
      </xdr:nvSpPr>
      <xdr:spPr>
        <a:xfrm>
          <a:off x="7467600" y="3409951"/>
          <a:ext cx="895350" cy="54864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eaLnBrk="1" fontAlgn="auto" latinLnBrk="0" hangingPunct="1"/>
          <a:r>
            <a:rPr lang="en-US" sz="12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Xóa</a:t>
          </a:r>
          <a:r>
            <a:rPr lang="en-US" sz="12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dữ liệu</a:t>
          </a:r>
          <a:endParaRPr lang="en-US" sz="12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38100</xdr:colOff>
      <xdr:row>0</xdr:row>
      <xdr:rowOff>38100</xdr:rowOff>
    </xdr:from>
    <xdr:to>
      <xdr:col>6</xdr:col>
      <xdr:colOff>228599</xdr:colOff>
      <xdr:row>2</xdr:row>
      <xdr:rowOff>123825</xdr:rowOff>
    </xdr:to>
    <xdr:sp macro="[0]!Sheet_MENU" textlink="">
      <xdr:nvSpPr>
        <xdr:cNvPr id="5" name="Rounded Rectangle 4"/>
        <xdr:cNvSpPr/>
      </xdr:nvSpPr>
      <xdr:spPr>
        <a:xfrm>
          <a:off x="6924675" y="38100"/>
          <a:ext cx="1171574" cy="5048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 fPrintsWithSheet="0"/>
  </xdr:twoCellAnchor>
  <xdr:twoCellAnchor editAs="absolute">
    <xdr:from>
      <xdr:col>5</xdr:col>
      <xdr:colOff>38100</xdr:colOff>
      <xdr:row>2</xdr:row>
      <xdr:rowOff>190500</xdr:rowOff>
    </xdr:from>
    <xdr:to>
      <xdr:col>6</xdr:col>
      <xdr:colOff>228599</xdr:colOff>
      <xdr:row>5</xdr:row>
      <xdr:rowOff>95250</xdr:rowOff>
    </xdr:to>
    <xdr:sp macro="[0]!Xoa_o.Xoa_o" textlink="">
      <xdr:nvSpPr>
        <xdr:cNvPr id="10" name="Rounded Rectangle 9"/>
        <xdr:cNvSpPr/>
      </xdr:nvSpPr>
      <xdr:spPr>
        <a:xfrm>
          <a:off x="6924675" y="609600"/>
          <a:ext cx="1171574" cy="5048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Arial" panose="020B0604020202020204" pitchFamily="34" charset="0"/>
              <a:cs typeface="Arial" panose="020B0604020202020204" pitchFamily="34" charset="0"/>
            </a:rPr>
            <a:t>Xóa</a:t>
          </a:r>
          <a:r>
            <a:rPr lang="en-US" sz="1200" b="1" baseline="0">
              <a:latin typeface="Arial" panose="020B0604020202020204" pitchFamily="34" charset="0"/>
              <a:cs typeface="Arial" panose="020B0604020202020204" pitchFamily="34" charset="0"/>
            </a:rPr>
            <a:t> nhập lại</a:t>
          </a:r>
          <a:endParaRPr lang="en-US" sz="12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25</xdr:row>
      <xdr:rowOff>161925</xdr:rowOff>
    </xdr:from>
    <xdr:to>
      <xdr:col>2</xdr:col>
      <xdr:colOff>2924175</xdr:colOff>
      <xdr:row>25</xdr:row>
      <xdr:rowOff>161927</xdr:rowOff>
    </xdr:to>
    <xdr:cxnSp macro="">
      <xdr:nvCxnSpPr>
        <xdr:cNvPr id="3" name="Straight Connector 2"/>
        <xdr:cNvCxnSpPr/>
      </xdr:nvCxnSpPr>
      <xdr:spPr>
        <a:xfrm flipV="1">
          <a:off x="571500" y="5410200"/>
          <a:ext cx="2905125" cy="2"/>
        </a:xfrm>
        <a:prstGeom prst="line">
          <a:avLst/>
        </a:prstGeom>
        <a:ln w="19050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31</xdr:row>
      <xdr:rowOff>180975</xdr:rowOff>
    </xdr:from>
    <xdr:to>
      <xdr:col>2</xdr:col>
      <xdr:colOff>2914650</xdr:colOff>
      <xdr:row>31</xdr:row>
      <xdr:rowOff>180977</xdr:rowOff>
    </xdr:to>
    <xdr:cxnSp macro="">
      <xdr:nvCxnSpPr>
        <xdr:cNvPr id="4" name="Straight Connector 3"/>
        <xdr:cNvCxnSpPr/>
      </xdr:nvCxnSpPr>
      <xdr:spPr>
        <a:xfrm flipV="1">
          <a:off x="561975" y="6619875"/>
          <a:ext cx="2905125" cy="2"/>
        </a:xfrm>
        <a:prstGeom prst="line">
          <a:avLst/>
        </a:prstGeom>
        <a:ln w="19050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276225</xdr:colOff>
      <xdr:row>0</xdr:row>
      <xdr:rowOff>47625</xdr:rowOff>
    </xdr:from>
    <xdr:to>
      <xdr:col>8</xdr:col>
      <xdr:colOff>190499</xdr:colOff>
      <xdr:row>2</xdr:row>
      <xdr:rowOff>38099</xdr:rowOff>
    </xdr:to>
    <xdr:sp macro="[0]!Sheet_MENU" textlink="">
      <xdr:nvSpPr>
        <xdr:cNvPr id="7" name="Rounded Rectangle 6"/>
        <xdr:cNvSpPr/>
      </xdr:nvSpPr>
      <xdr:spPr>
        <a:xfrm>
          <a:off x="5362575" y="47625"/>
          <a:ext cx="1171574" cy="3714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3731559</xdr:colOff>
      <xdr:row>0</xdr:row>
      <xdr:rowOff>56030</xdr:rowOff>
    </xdr:from>
    <xdr:to>
      <xdr:col>7</xdr:col>
      <xdr:colOff>252692</xdr:colOff>
      <xdr:row>2</xdr:row>
      <xdr:rowOff>46504</xdr:rowOff>
    </xdr:to>
    <xdr:sp macro="[0]!Sheet_MENU" textlink="">
      <xdr:nvSpPr>
        <xdr:cNvPr id="3" name="Rounded Rectangle 2"/>
        <xdr:cNvSpPr/>
      </xdr:nvSpPr>
      <xdr:spPr>
        <a:xfrm>
          <a:off x="10432677" y="56030"/>
          <a:ext cx="1171574" cy="3714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885264</xdr:colOff>
      <xdr:row>0</xdr:row>
      <xdr:rowOff>33618</xdr:rowOff>
    </xdr:from>
    <xdr:to>
      <xdr:col>7</xdr:col>
      <xdr:colOff>263897</xdr:colOff>
      <xdr:row>2</xdr:row>
      <xdr:rowOff>24092</xdr:rowOff>
    </xdr:to>
    <xdr:sp macro="[0]!Sheet_MENU" textlink="">
      <xdr:nvSpPr>
        <xdr:cNvPr id="3" name="Rounded Rectangle 2"/>
        <xdr:cNvSpPr/>
      </xdr:nvSpPr>
      <xdr:spPr>
        <a:xfrm>
          <a:off x="6062382" y="33618"/>
          <a:ext cx="1171574" cy="3714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han%20tich%20tai%20chinh%20doanh%20nghiep\T&#7843;i%20file%20l&#224;m%20k&#7871;%20to&#225;n%20s&#7917;%20d&#7909;ng%20Excel%20theo%20th&#244;ng%20t&#432;%20200_2014_TT-BTC\PM%20EXCEL%20201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ar"/>
      <sheetName val="ThongtinDN"/>
      <sheetName val="MENU"/>
      <sheetName val="NKC"/>
      <sheetName val="Nhap-Xuat"/>
      <sheetName val="Tổng hợp NXT"/>
      <sheetName val="DANHKHACHHANG"/>
      <sheetName val="CDPS"/>
      <sheetName val="CDKT"/>
      <sheetName val="BCKQKD"/>
      <sheetName val="KQHĐSXKD"/>
      <sheetName val="LCTTTT"/>
      <sheetName val="TMBCTC"/>
      <sheetName val="lc tte"/>
      <sheetName val="so chi tiet"/>
      <sheetName val="Phieu nhap"/>
      <sheetName val="Phieu xuat"/>
      <sheetName val="Thẻ kho"/>
      <sheetName val="SQTM111"/>
      <sheetName val="TGNH112"/>
      <sheetName val=" PhieuThu-Chi"/>
      <sheetName val="Phieuhoachtoan"/>
      <sheetName val="Sổ chi tiết.131"/>
      <sheetName val="Sổ chi tiết.331"/>
      <sheetName val="Sổ chi tiết.154"/>
      <sheetName val="dthu-cp"/>
      <sheetName val="Phan bo khau hao"/>
      <sheetName val="QTTNDN năm"/>
      <sheetName val="03-1A_TNDN"/>
      <sheetName val="03-2A_TNDN"/>
      <sheetName val="Bankechiphixuatoan"/>
      <sheetName val="03-3A_TNDN"/>
      <sheetName val="Sheet1"/>
    </sheetNames>
    <sheetDataSet>
      <sheetData sheetId="0"/>
      <sheetData sheetId="1">
        <row r="16">
          <cell r="D16" t="str">
            <v>01/1/2014</v>
          </cell>
        </row>
        <row r="17">
          <cell r="D17" t="str">
            <v>31/12/2014</v>
          </cell>
        </row>
      </sheetData>
      <sheetData sheetId="2"/>
      <sheetData sheetId="3"/>
      <sheetData sheetId="4"/>
      <sheetData sheetId="5"/>
      <sheetData sheetId="6"/>
      <sheetData sheetId="7">
        <row r="11">
          <cell r="E11">
            <v>0</v>
          </cell>
          <cell r="F11">
            <v>0</v>
          </cell>
          <cell r="I11">
            <v>16444200000</v>
          </cell>
          <cell r="J11">
            <v>0</v>
          </cell>
        </row>
        <row r="12">
          <cell r="B12" t="str">
            <v>111</v>
          </cell>
          <cell r="E12">
            <v>0</v>
          </cell>
          <cell r="F12">
            <v>0</v>
          </cell>
          <cell r="I12">
            <v>16444200000</v>
          </cell>
          <cell r="J12">
            <v>0</v>
          </cell>
        </row>
        <row r="13">
          <cell r="B13" t="str">
            <v>111</v>
          </cell>
          <cell r="E13">
            <v>0</v>
          </cell>
          <cell r="F13">
            <v>0</v>
          </cell>
          <cell r="I13">
            <v>0</v>
          </cell>
          <cell r="J13">
            <v>0</v>
          </cell>
        </row>
        <row r="14">
          <cell r="B14" t="str">
            <v>111</v>
          </cell>
          <cell r="E14">
            <v>0</v>
          </cell>
          <cell r="F14">
            <v>0</v>
          </cell>
          <cell r="I14">
            <v>0</v>
          </cell>
          <cell r="J14">
            <v>0</v>
          </cell>
        </row>
        <row r="15">
          <cell r="E15">
            <v>0</v>
          </cell>
          <cell r="F15">
            <v>0</v>
          </cell>
          <cell r="I15">
            <v>1600000000</v>
          </cell>
          <cell r="J15">
            <v>0</v>
          </cell>
        </row>
        <row r="16">
          <cell r="B16" t="str">
            <v>111</v>
          </cell>
          <cell r="E16">
            <v>0</v>
          </cell>
          <cell r="F16">
            <v>0</v>
          </cell>
          <cell r="I16">
            <v>1600000000</v>
          </cell>
          <cell r="J16">
            <v>0</v>
          </cell>
        </row>
        <row r="17">
          <cell r="B17" t="str">
            <v>111</v>
          </cell>
          <cell r="E17">
            <v>0</v>
          </cell>
          <cell r="F17">
            <v>0</v>
          </cell>
          <cell r="I17">
            <v>0</v>
          </cell>
          <cell r="J17">
            <v>0</v>
          </cell>
        </row>
        <row r="18">
          <cell r="B18" t="str">
            <v>111</v>
          </cell>
          <cell r="E18">
            <v>0</v>
          </cell>
          <cell r="F18">
            <v>0</v>
          </cell>
          <cell r="I18">
            <v>0</v>
          </cell>
          <cell r="J18">
            <v>0</v>
          </cell>
        </row>
        <row r="19">
          <cell r="E19">
            <v>0</v>
          </cell>
          <cell r="F19">
            <v>0</v>
          </cell>
          <cell r="I19">
            <v>0</v>
          </cell>
          <cell r="J19">
            <v>0</v>
          </cell>
        </row>
        <row r="20">
          <cell r="B20" t="str">
            <v>111</v>
          </cell>
          <cell r="E20">
            <v>0</v>
          </cell>
          <cell r="F20">
            <v>0</v>
          </cell>
          <cell r="I20">
            <v>0</v>
          </cell>
          <cell r="J20">
            <v>0</v>
          </cell>
        </row>
        <row r="21">
          <cell r="B21" t="str">
            <v>111</v>
          </cell>
          <cell r="E21">
            <v>0</v>
          </cell>
          <cell r="F21">
            <v>0</v>
          </cell>
          <cell r="I21">
            <v>0</v>
          </cell>
          <cell r="J21">
            <v>0</v>
          </cell>
        </row>
        <row r="22">
          <cell r="E22">
            <v>0</v>
          </cell>
          <cell r="F22">
            <v>0</v>
          </cell>
          <cell r="I22">
            <v>0</v>
          </cell>
          <cell r="J22">
            <v>0</v>
          </cell>
        </row>
        <row r="23">
          <cell r="B23">
            <v>121</v>
          </cell>
          <cell r="E23">
            <v>0</v>
          </cell>
          <cell r="F23">
            <v>0</v>
          </cell>
          <cell r="I23">
            <v>0</v>
          </cell>
          <cell r="J23">
            <v>0</v>
          </cell>
        </row>
        <row r="24">
          <cell r="B24">
            <v>121</v>
          </cell>
          <cell r="E24">
            <v>0</v>
          </cell>
          <cell r="F24">
            <v>0</v>
          </cell>
          <cell r="I24">
            <v>0</v>
          </cell>
          <cell r="J24">
            <v>0</v>
          </cell>
        </row>
        <row r="25">
          <cell r="B25">
            <v>121</v>
          </cell>
          <cell r="E25">
            <v>0</v>
          </cell>
          <cell r="F25">
            <v>0</v>
          </cell>
          <cell r="I25">
            <v>0</v>
          </cell>
          <cell r="J25">
            <v>0</v>
          </cell>
        </row>
        <row r="26">
          <cell r="E26">
            <v>0</v>
          </cell>
          <cell r="F26">
            <v>0</v>
          </cell>
          <cell r="I26">
            <v>0</v>
          </cell>
          <cell r="J26">
            <v>0</v>
          </cell>
        </row>
        <row r="27">
          <cell r="B27">
            <v>123</v>
          </cell>
          <cell r="E27">
            <v>0</v>
          </cell>
          <cell r="F27">
            <v>0</v>
          </cell>
          <cell r="I27">
            <v>0</v>
          </cell>
          <cell r="J27">
            <v>0</v>
          </cell>
        </row>
        <row r="28">
          <cell r="B28">
            <v>123</v>
          </cell>
          <cell r="E28">
            <v>0</v>
          </cell>
          <cell r="F28">
            <v>0</v>
          </cell>
          <cell r="I28">
            <v>0</v>
          </cell>
          <cell r="J28">
            <v>0</v>
          </cell>
        </row>
        <row r="29">
          <cell r="B29">
            <v>135</v>
          </cell>
          <cell r="E29">
            <v>0</v>
          </cell>
          <cell r="F29">
            <v>0</v>
          </cell>
          <cell r="I29">
            <v>0</v>
          </cell>
          <cell r="J29">
            <v>0</v>
          </cell>
        </row>
        <row r="30">
          <cell r="B30">
            <v>123</v>
          </cell>
          <cell r="E30">
            <v>0</v>
          </cell>
          <cell r="F30">
            <v>0</v>
          </cell>
          <cell r="I30">
            <v>0</v>
          </cell>
          <cell r="J30">
            <v>0</v>
          </cell>
        </row>
        <row r="31">
          <cell r="B31">
            <v>131</v>
          </cell>
          <cell r="E31">
            <v>0</v>
          </cell>
          <cell r="F31">
            <v>0</v>
          </cell>
          <cell r="I31">
            <v>0</v>
          </cell>
          <cell r="J31">
            <v>0</v>
          </cell>
        </row>
        <row r="32">
          <cell r="E32">
            <v>0</v>
          </cell>
          <cell r="F32">
            <v>0</v>
          </cell>
          <cell r="I32">
            <v>259300000</v>
          </cell>
          <cell r="J32">
            <v>0</v>
          </cell>
        </row>
        <row r="33">
          <cell r="B33">
            <v>152</v>
          </cell>
          <cell r="E33">
            <v>0</v>
          </cell>
          <cell r="F33">
            <v>0</v>
          </cell>
          <cell r="I33">
            <v>259300000</v>
          </cell>
          <cell r="J33">
            <v>0</v>
          </cell>
        </row>
        <row r="34">
          <cell r="B34">
            <v>152</v>
          </cell>
          <cell r="E34">
            <v>0</v>
          </cell>
          <cell r="F34">
            <v>0</v>
          </cell>
          <cell r="I34">
            <v>0</v>
          </cell>
          <cell r="J34">
            <v>0</v>
          </cell>
        </row>
        <row r="35">
          <cell r="E35">
            <v>0</v>
          </cell>
          <cell r="F35">
            <v>0</v>
          </cell>
          <cell r="I35">
            <v>0</v>
          </cell>
          <cell r="J35">
            <v>0</v>
          </cell>
        </row>
        <row r="36">
          <cell r="B36">
            <v>133</v>
          </cell>
          <cell r="E36">
            <v>0</v>
          </cell>
          <cell r="F36">
            <v>0</v>
          </cell>
          <cell r="I36">
            <v>0</v>
          </cell>
          <cell r="J36">
            <v>0</v>
          </cell>
        </row>
        <row r="37">
          <cell r="B37">
            <v>133</v>
          </cell>
          <cell r="E37">
            <v>0</v>
          </cell>
          <cell r="F37">
            <v>0</v>
          </cell>
          <cell r="I37">
            <v>0</v>
          </cell>
          <cell r="J37">
            <v>0</v>
          </cell>
        </row>
        <row r="38">
          <cell r="B38">
            <v>133</v>
          </cell>
          <cell r="E38">
            <v>0</v>
          </cell>
          <cell r="F38">
            <v>0</v>
          </cell>
          <cell r="I38">
            <v>0</v>
          </cell>
          <cell r="J38">
            <v>0</v>
          </cell>
        </row>
        <row r="39">
          <cell r="B39">
            <v>133</v>
          </cell>
          <cell r="E39">
            <v>0</v>
          </cell>
          <cell r="F39">
            <v>0</v>
          </cell>
          <cell r="I39">
            <v>0</v>
          </cell>
          <cell r="J39">
            <v>0</v>
          </cell>
        </row>
        <row r="40">
          <cell r="E40">
            <v>0</v>
          </cell>
          <cell r="F40">
            <v>0</v>
          </cell>
          <cell r="I40">
            <v>0</v>
          </cell>
          <cell r="J40">
            <v>0</v>
          </cell>
        </row>
        <row r="41">
          <cell r="B41">
            <v>137</v>
          </cell>
          <cell r="E41">
            <v>0</v>
          </cell>
          <cell r="F41">
            <v>0</v>
          </cell>
          <cell r="I41">
            <v>0</v>
          </cell>
          <cell r="J41">
            <v>0</v>
          </cell>
        </row>
        <row r="42">
          <cell r="B42">
            <v>136</v>
          </cell>
          <cell r="E42">
            <v>0</v>
          </cell>
          <cell r="F42">
            <v>0</v>
          </cell>
          <cell r="I42">
            <v>0</v>
          </cell>
          <cell r="J42">
            <v>0</v>
          </cell>
        </row>
        <row r="43">
          <cell r="B43">
            <v>136</v>
          </cell>
          <cell r="E43">
            <v>0</v>
          </cell>
          <cell r="F43">
            <v>0</v>
          </cell>
          <cell r="I43">
            <v>0</v>
          </cell>
          <cell r="J43">
            <v>0</v>
          </cell>
        </row>
        <row r="44">
          <cell r="B44">
            <v>136</v>
          </cell>
          <cell r="E44">
            <v>0</v>
          </cell>
          <cell r="F44">
            <v>0</v>
          </cell>
          <cell r="I44">
            <v>0</v>
          </cell>
          <cell r="J44">
            <v>0</v>
          </cell>
        </row>
        <row r="45">
          <cell r="B45">
            <v>141</v>
          </cell>
          <cell r="E45">
            <v>0</v>
          </cell>
          <cell r="F45">
            <v>0</v>
          </cell>
          <cell r="I45">
            <v>0</v>
          </cell>
          <cell r="J45">
            <v>0</v>
          </cell>
        </row>
        <row r="46">
          <cell r="B46">
            <v>141</v>
          </cell>
          <cell r="E46">
            <v>0</v>
          </cell>
          <cell r="F46">
            <v>0</v>
          </cell>
          <cell r="I46">
            <v>0</v>
          </cell>
          <cell r="J46">
            <v>0</v>
          </cell>
        </row>
        <row r="47">
          <cell r="E47">
            <v>0</v>
          </cell>
          <cell r="F47">
            <v>0</v>
          </cell>
          <cell r="I47">
            <v>0</v>
          </cell>
          <cell r="J47">
            <v>0</v>
          </cell>
        </row>
        <row r="48">
          <cell r="B48">
            <v>141</v>
          </cell>
          <cell r="E48">
            <v>0</v>
          </cell>
          <cell r="F48">
            <v>0</v>
          </cell>
          <cell r="I48">
            <v>0</v>
          </cell>
          <cell r="J48">
            <v>0</v>
          </cell>
        </row>
        <row r="49">
          <cell r="B49">
            <v>141</v>
          </cell>
          <cell r="E49">
            <v>0</v>
          </cell>
          <cell r="F49">
            <v>0</v>
          </cell>
          <cell r="I49">
            <v>0</v>
          </cell>
          <cell r="J49">
            <v>0</v>
          </cell>
        </row>
        <row r="50">
          <cell r="B50">
            <v>141</v>
          </cell>
          <cell r="E50">
            <v>0</v>
          </cell>
          <cell r="F50">
            <v>0</v>
          </cell>
          <cell r="I50">
            <v>0</v>
          </cell>
          <cell r="J50">
            <v>0</v>
          </cell>
        </row>
        <row r="51">
          <cell r="B51">
            <v>141</v>
          </cell>
          <cell r="E51">
            <v>0</v>
          </cell>
          <cell r="F51">
            <v>0</v>
          </cell>
          <cell r="I51">
            <v>0</v>
          </cell>
          <cell r="J51">
            <v>0</v>
          </cell>
        </row>
        <row r="52">
          <cell r="B52">
            <v>141</v>
          </cell>
          <cell r="E52">
            <v>0</v>
          </cell>
          <cell r="F52">
            <v>0</v>
          </cell>
          <cell r="I52">
            <v>33361111</v>
          </cell>
          <cell r="J52">
            <v>0</v>
          </cell>
        </row>
        <row r="53">
          <cell r="E53">
            <v>0</v>
          </cell>
          <cell r="F53">
            <v>0</v>
          </cell>
          <cell r="I53">
            <v>0</v>
          </cell>
          <cell r="J53">
            <v>0</v>
          </cell>
        </row>
        <row r="54">
          <cell r="B54">
            <v>141</v>
          </cell>
          <cell r="E54">
            <v>0</v>
          </cell>
          <cell r="F54">
            <v>0</v>
          </cell>
          <cell r="I54">
            <v>0</v>
          </cell>
          <cell r="J54">
            <v>0</v>
          </cell>
        </row>
        <row r="55">
          <cell r="B55">
            <v>141</v>
          </cell>
          <cell r="E55">
            <v>0</v>
          </cell>
          <cell r="F55">
            <v>0</v>
          </cell>
          <cell r="I55">
            <v>0</v>
          </cell>
          <cell r="J55">
            <v>0</v>
          </cell>
        </row>
        <row r="56">
          <cell r="E56">
            <v>0</v>
          </cell>
          <cell r="F56">
            <v>0</v>
          </cell>
          <cell r="I56">
            <v>0</v>
          </cell>
          <cell r="J56">
            <v>0</v>
          </cell>
        </row>
        <row r="57">
          <cell r="B57">
            <v>141</v>
          </cell>
          <cell r="E57">
            <v>0</v>
          </cell>
          <cell r="F57">
            <v>0</v>
          </cell>
          <cell r="I57">
            <v>0</v>
          </cell>
          <cell r="J57">
            <v>0</v>
          </cell>
        </row>
        <row r="58">
          <cell r="B58">
            <v>141</v>
          </cell>
          <cell r="E58">
            <v>0</v>
          </cell>
          <cell r="F58">
            <v>0</v>
          </cell>
          <cell r="I58">
            <v>0</v>
          </cell>
          <cell r="J58">
            <v>0</v>
          </cell>
        </row>
        <row r="59">
          <cell r="B59">
            <v>141</v>
          </cell>
          <cell r="E59">
            <v>0</v>
          </cell>
          <cell r="F59">
            <v>0</v>
          </cell>
          <cell r="I59">
            <v>0</v>
          </cell>
          <cell r="J59">
            <v>0</v>
          </cell>
        </row>
        <row r="60">
          <cell r="B60">
            <v>141</v>
          </cell>
          <cell r="E60">
            <v>0</v>
          </cell>
          <cell r="F60">
            <v>0</v>
          </cell>
          <cell r="I60">
            <v>0</v>
          </cell>
          <cell r="J60">
            <v>0</v>
          </cell>
        </row>
        <row r="61">
          <cell r="B61">
            <v>141</v>
          </cell>
          <cell r="E61">
            <v>0</v>
          </cell>
          <cell r="F61">
            <v>0</v>
          </cell>
          <cell r="I61">
            <v>0</v>
          </cell>
          <cell r="J61">
            <v>0</v>
          </cell>
        </row>
        <row r="62">
          <cell r="B62" t="str">
            <v>154</v>
          </cell>
          <cell r="E62">
            <v>0</v>
          </cell>
          <cell r="F62">
            <v>0</v>
          </cell>
          <cell r="I62">
            <v>0</v>
          </cell>
          <cell r="J62">
            <v>0</v>
          </cell>
        </row>
        <row r="63">
          <cell r="E63">
            <v>0</v>
          </cell>
          <cell r="F63">
            <v>0</v>
          </cell>
          <cell r="I63">
            <v>2500000000</v>
          </cell>
          <cell r="J63">
            <v>0</v>
          </cell>
        </row>
        <row r="64">
          <cell r="B64">
            <v>222</v>
          </cell>
          <cell r="E64">
            <v>0</v>
          </cell>
          <cell r="F64">
            <v>0</v>
          </cell>
          <cell r="I64">
            <v>0</v>
          </cell>
          <cell r="J64">
            <v>0</v>
          </cell>
        </row>
        <row r="65">
          <cell r="B65">
            <v>222</v>
          </cell>
          <cell r="E65">
            <v>0</v>
          </cell>
          <cell r="F65">
            <v>0</v>
          </cell>
          <cell r="I65">
            <v>0</v>
          </cell>
          <cell r="J65">
            <v>0</v>
          </cell>
        </row>
        <row r="66">
          <cell r="B66">
            <v>222</v>
          </cell>
          <cell r="E66">
            <v>0</v>
          </cell>
          <cell r="F66">
            <v>0</v>
          </cell>
          <cell r="I66">
            <v>2500000000</v>
          </cell>
          <cell r="J66">
            <v>0</v>
          </cell>
        </row>
        <row r="67">
          <cell r="B67">
            <v>222</v>
          </cell>
          <cell r="E67">
            <v>0</v>
          </cell>
          <cell r="F67">
            <v>0</v>
          </cell>
          <cell r="I67">
            <v>0</v>
          </cell>
          <cell r="J67">
            <v>0</v>
          </cell>
        </row>
        <row r="68">
          <cell r="B68">
            <v>222</v>
          </cell>
          <cell r="E68">
            <v>0</v>
          </cell>
          <cell r="F68">
            <v>0</v>
          </cell>
          <cell r="I68">
            <v>0</v>
          </cell>
          <cell r="J68">
            <v>0</v>
          </cell>
        </row>
        <row r="69">
          <cell r="B69">
            <v>222</v>
          </cell>
          <cell r="E69">
            <v>0</v>
          </cell>
          <cell r="F69">
            <v>0</v>
          </cell>
          <cell r="I69">
            <v>0</v>
          </cell>
          <cell r="J69">
            <v>0</v>
          </cell>
        </row>
        <row r="70">
          <cell r="E70">
            <v>0</v>
          </cell>
          <cell r="F70">
            <v>0</v>
          </cell>
          <cell r="I70">
            <v>0</v>
          </cell>
          <cell r="J70">
            <v>0</v>
          </cell>
        </row>
        <row r="71">
          <cell r="B71" t="str">
            <v>225</v>
          </cell>
          <cell r="E71">
            <v>0</v>
          </cell>
          <cell r="F71">
            <v>0</v>
          </cell>
          <cell r="I71">
            <v>0</v>
          </cell>
          <cell r="J71">
            <v>0</v>
          </cell>
        </row>
        <row r="72">
          <cell r="B72" t="str">
            <v>225</v>
          </cell>
          <cell r="E72">
            <v>0</v>
          </cell>
          <cell r="F72">
            <v>0</v>
          </cell>
          <cell r="I72">
            <v>0</v>
          </cell>
          <cell r="J72">
            <v>0</v>
          </cell>
        </row>
        <row r="73">
          <cell r="E73">
            <v>0</v>
          </cell>
          <cell r="F73">
            <v>0</v>
          </cell>
          <cell r="I73">
            <v>0</v>
          </cell>
          <cell r="J73">
            <v>0</v>
          </cell>
        </row>
        <row r="74">
          <cell r="B74">
            <v>228</v>
          </cell>
          <cell r="E74">
            <v>0</v>
          </cell>
          <cell r="F74">
            <v>0</v>
          </cell>
          <cell r="I74">
            <v>0</v>
          </cell>
          <cell r="J74">
            <v>0</v>
          </cell>
        </row>
        <row r="75">
          <cell r="B75">
            <v>228</v>
          </cell>
          <cell r="E75">
            <v>0</v>
          </cell>
          <cell r="F75">
            <v>0</v>
          </cell>
          <cell r="I75">
            <v>0</v>
          </cell>
          <cell r="J75">
            <v>0</v>
          </cell>
        </row>
        <row r="76">
          <cell r="B76">
            <v>228</v>
          </cell>
          <cell r="E76">
            <v>0</v>
          </cell>
          <cell r="F76">
            <v>0</v>
          </cell>
          <cell r="I76">
            <v>0</v>
          </cell>
          <cell r="J76">
            <v>0</v>
          </cell>
        </row>
        <row r="77">
          <cell r="B77">
            <v>228</v>
          </cell>
          <cell r="E77">
            <v>0</v>
          </cell>
          <cell r="F77">
            <v>0</v>
          </cell>
          <cell r="I77">
            <v>0</v>
          </cell>
          <cell r="J77">
            <v>0</v>
          </cell>
        </row>
        <row r="78">
          <cell r="B78">
            <v>228</v>
          </cell>
          <cell r="E78">
            <v>0</v>
          </cell>
          <cell r="F78">
            <v>0</v>
          </cell>
          <cell r="I78">
            <v>0</v>
          </cell>
          <cell r="J78">
            <v>0</v>
          </cell>
        </row>
        <row r="79">
          <cell r="B79">
            <v>228</v>
          </cell>
          <cell r="E79">
            <v>0</v>
          </cell>
          <cell r="F79">
            <v>0</v>
          </cell>
          <cell r="I79">
            <v>0</v>
          </cell>
          <cell r="J79">
            <v>0</v>
          </cell>
        </row>
        <row r="80">
          <cell r="B80">
            <v>228</v>
          </cell>
          <cell r="E80">
            <v>0</v>
          </cell>
          <cell r="F80">
            <v>0</v>
          </cell>
          <cell r="I80">
            <v>0</v>
          </cell>
          <cell r="J80">
            <v>0</v>
          </cell>
        </row>
        <row r="81">
          <cell r="E81">
            <v>0</v>
          </cell>
          <cell r="F81">
            <v>0</v>
          </cell>
          <cell r="I81">
            <v>0</v>
          </cell>
          <cell r="J81">
            <v>41666667</v>
          </cell>
        </row>
        <row r="82">
          <cell r="B82">
            <v>223</v>
          </cell>
          <cell r="E82">
            <v>0</v>
          </cell>
          <cell r="F82">
            <v>0</v>
          </cell>
          <cell r="I82">
            <v>0</v>
          </cell>
          <cell r="J82">
            <v>41666667</v>
          </cell>
        </row>
        <row r="83">
          <cell r="B83">
            <v>226</v>
          </cell>
          <cell r="E83">
            <v>0</v>
          </cell>
          <cell r="F83">
            <v>0</v>
          </cell>
          <cell r="I83">
            <v>0</v>
          </cell>
          <cell r="J83">
            <v>0</v>
          </cell>
        </row>
        <row r="84">
          <cell r="B84">
            <v>229</v>
          </cell>
          <cell r="E84">
            <v>0</v>
          </cell>
          <cell r="F84">
            <v>0</v>
          </cell>
          <cell r="I84">
            <v>0</v>
          </cell>
          <cell r="J84">
            <v>0</v>
          </cell>
        </row>
        <row r="85">
          <cell r="B85" t="str">
            <v>232</v>
          </cell>
          <cell r="E85">
            <v>0</v>
          </cell>
          <cell r="F85">
            <v>0</v>
          </cell>
          <cell r="I85">
            <v>0</v>
          </cell>
          <cell r="J85">
            <v>0</v>
          </cell>
        </row>
        <row r="86">
          <cell r="B86" t="str">
            <v>231</v>
          </cell>
          <cell r="E86">
            <v>0</v>
          </cell>
          <cell r="F86">
            <v>0</v>
          </cell>
          <cell r="I86">
            <v>0</v>
          </cell>
          <cell r="J86">
            <v>0</v>
          </cell>
        </row>
        <row r="87">
          <cell r="B87">
            <v>251</v>
          </cell>
          <cell r="E87">
            <v>0</v>
          </cell>
          <cell r="F87">
            <v>0</v>
          </cell>
          <cell r="I87">
            <v>0</v>
          </cell>
          <cell r="J87">
            <v>0</v>
          </cell>
        </row>
        <row r="88">
          <cell r="B88">
            <v>252</v>
          </cell>
          <cell r="E88">
            <v>0</v>
          </cell>
          <cell r="F88">
            <v>0</v>
          </cell>
          <cell r="I88">
            <v>0</v>
          </cell>
          <cell r="J88">
            <v>0</v>
          </cell>
        </row>
        <row r="89">
          <cell r="E89">
            <v>0</v>
          </cell>
          <cell r="F89">
            <v>0</v>
          </cell>
          <cell r="I89">
            <v>0</v>
          </cell>
          <cell r="J89">
            <v>0</v>
          </cell>
        </row>
        <row r="90">
          <cell r="B90">
            <v>253</v>
          </cell>
          <cell r="E90">
            <v>0</v>
          </cell>
          <cell r="F90">
            <v>0</v>
          </cell>
          <cell r="I90">
            <v>0</v>
          </cell>
          <cell r="J90">
            <v>0</v>
          </cell>
        </row>
        <row r="91">
          <cell r="B91" t="str">
            <v>155</v>
          </cell>
          <cell r="E91">
            <v>0</v>
          </cell>
          <cell r="F91">
            <v>0</v>
          </cell>
          <cell r="I91">
            <v>0</v>
          </cell>
          <cell r="J91">
            <v>0</v>
          </cell>
        </row>
        <row r="92">
          <cell r="E92">
            <v>0</v>
          </cell>
          <cell r="F92">
            <v>0</v>
          </cell>
          <cell r="I92">
            <v>0</v>
          </cell>
          <cell r="J92">
            <v>0</v>
          </cell>
        </row>
        <row r="93">
          <cell r="B93">
            <v>122</v>
          </cell>
          <cell r="E93">
            <v>0</v>
          </cell>
          <cell r="F93">
            <v>0</v>
          </cell>
          <cell r="I93">
            <v>0</v>
          </cell>
          <cell r="J93">
            <v>0</v>
          </cell>
        </row>
        <row r="94">
          <cell r="B94">
            <v>254</v>
          </cell>
          <cell r="E94">
            <v>0</v>
          </cell>
          <cell r="F94">
            <v>0</v>
          </cell>
          <cell r="I94">
            <v>0</v>
          </cell>
          <cell r="J94">
            <v>0</v>
          </cell>
        </row>
        <row r="95">
          <cell r="B95">
            <v>139</v>
          </cell>
          <cell r="E95">
            <v>0</v>
          </cell>
          <cell r="F95">
            <v>0</v>
          </cell>
          <cell r="I95">
            <v>0</v>
          </cell>
          <cell r="J95">
            <v>0</v>
          </cell>
        </row>
        <row r="96">
          <cell r="B96">
            <v>149</v>
          </cell>
          <cell r="E96">
            <v>0</v>
          </cell>
          <cell r="F96">
            <v>0</v>
          </cell>
          <cell r="I96">
            <v>0</v>
          </cell>
          <cell r="J96">
            <v>0</v>
          </cell>
        </row>
        <row r="97">
          <cell r="E97">
            <v>0</v>
          </cell>
          <cell r="F97">
            <v>0</v>
          </cell>
          <cell r="I97">
            <v>0</v>
          </cell>
          <cell r="J97">
            <v>0</v>
          </cell>
        </row>
        <row r="98">
          <cell r="B98" t="str">
            <v>242</v>
          </cell>
          <cell r="E98">
            <v>0</v>
          </cell>
          <cell r="F98">
            <v>0</v>
          </cell>
          <cell r="I98">
            <v>0</v>
          </cell>
          <cell r="J98">
            <v>0</v>
          </cell>
        </row>
        <row r="99">
          <cell r="B99" t="str">
            <v>242</v>
          </cell>
          <cell r="E99">
            <v>0</v>
          </cell>
          <cell r="F99">
            <v>0</v>
          </cell>
          <cell r="I99">
            <v>0</v>
          </cell>
          <cell r="J99">
            <v>0</v>
          </cell>
        </row>
        <row r="100">
          <cell r="B100" t="str">
            <v>242</v>
          </cell>
          <cell r="E100">
            <v>0</v>
          </cell>
          <cell r="F100">
            <v>0</v>
          </cell>
          <cell r="I100">
            <v>0</v>
          </cell>
          <cell r="J100">
            <v>0</v>
          </cell>
        </row>
        <row r="101">
          <cell r="E101">
            <v>0</v>
          </cell>
          <cell r="F101">
            <v>0</v>
          </cell>
          <cell r="I101">
            <v>59055556</v>
          </cell>
          <cell r="J101">
            <v>0</v>
          </cell>
        </row>
        <row r="102">
          <cell r="B102">
            <v>151</v>
          </cell>
          <cell r="E102">
            <v>0</v>
          </cell>
          <cell r="F102">
            <v>0</v>
          </cell>
          <cell r="I102">
            <v>8166667</v>
          </cell>
          <cell r="J102">
            <v>0</v>
          </cell>
        </row>
        <row r="103">
          <cell r="B103">
            <v>261</v>
          </cell>
          <cell r="E103">
            <v>0</v>
          </cell>
          <cell r="F103">
            <v>0</v>
          </cell>
          <cell r="I103">
            <v>50888889</v>
          </cell>
          <cell r="J103">
            <v>0</v>
          </cell>
        </row>
        <row r="104">
          <cell r="B104">
            <v>262</v>
          </cell>
          <cell r="E104">
            <v>0</v>
          </cell>
          <cell r="F104">
            <v>0</v>
          </cell>
          <cell r="I104">
            <v>0</v>
          </cell>
          <cell r="J104">
            <v>0</v>
          </cell>
        </row>
        <row r="105">
          <cell r="B105">
            <v>216</v>
          </cell>
          <cell r="E105">
            <v>0</v>
          </cell>
          <cell r="F105">
            <v>0</v>
          </cell>
          <cell r="I105">
            <v>0</v>
          </cell>
          <cell r="J105">
            <v>0</v>
          </cell>
        </row>
        <row r="106">
          <cell r="B106">
            <v>311</v>
          </cell>
          <cell r="E106">
            <v>0</v>
          </cell>
          <cell r="F106">
            <v>0</v>
          </cell>
          <cell r="I106">
            <v>0</v>
          </cell>
          <cell r="J106">
            <v>1877500000</v>
          </cell>
        </row>
        <row r="107">
          <cell r="E107">
            <v>0</v>
          </cell>
          <cell r="F107">
            <v>0</v>
          </cell>
          <cell r="I107">
            <v>0</v>
          </cell>
          <cell r="J107">
            <v>2000000</v>
          </cell>
        </row>
        <row r="108">
          <cell r="B108" t="str">
            <v>313</v>
          </cell>
          <cell r="E108">
            <v>0</v>
          </cell>
          <cell r="F108">
            <v>0</v>
          </cell>
          <cell r="I108">
            <v>0</v>
          </cell>
          <cell r="J108">
            <v>2000000</v>
          </cell>
        </row>
        <row r="109">
          <cell r="B109" t="str">
            <v>313</v>
          </cell>
          <cell r="E109">
            <v>0</v>
          </cell>
          <cell r="F109">
            <v>0</v>
          </cell>
          <cell r="I109">
            <v>0</v>
          </cell>
          <cell r="J109">
            <v>0</v>
          </cell>
        </row>
        <row r="110">
          <cell r="B110" t="str">
            <v>313</v>
          </cell>
          <cell r="E110">
            <v>0</v>
          </cell>
          <cell r="F110">
            <v>0</v>
          </cell>
          <cell r="I110">
            <v>0</v>
          </cell>
          <cell r="J110">
            <v>0</v>
          </cell>
        </row>
        <row r="111">
          <cell r="B111" t="str">
            <v>313</v>
          </cell>
          <cell r="E111">
            <v>0</v>
          </cell>
          <cell r="F111">
            <v>0</v>
          </cell>
          <cell r="I111">
            <v>0</v>
          </cell>
          <cell r="J111">
            <v>0</v>
          </cell>
        </row>
        <row r="112">
          <cell r="B112" t="str">
            <v>313</v>
          </cell>
          <cell r="E112">
            <v>0</v>
          </cell>
          <cell r="F112">
            <v>0</v>
          </cell>
          <cell r="I112">
            <v>0</v>
          </cell>
          <cell r="J112">
            <v>0</v>
          </cell>
        </row>
        <row r="113">
          <cell r="B113" t="str">
            <v>313</v>
          </cell>
          <cell r="I113">
            <v>0</v>
          </cell>
          <cell r="J113">
            <v>0</v>
          </cell>
        </row>
        <row r="114">
          <cell r="B114" t="str">
            <v>313</v>
          </cell>
          <cell r="I114">
            <v>0</v>
          </cell>
          <cell r="J114">
            <v>0</v>
          </cell>
        </row>
        <row r="115">
          <cell r="B115" t="str">
            <v>313</v>
          </cell>
          <cell r="I115">
            <v>0</v>
          </cell>
          <cell r="J115">
            <v>0</v>
          </cell>
        </row>
        <row r="116">
          <cell r="B116" t="str">
            <v>313</v>
          </cell>
          <cell r="I116">
            <v>0</v>
          </cell>
          <cell r="J116">
            <v>0</v>
          </cell>
        </row>
        <row r="117">
          <cell r="B117" t="str">
            <v>313</v>
          </cell>
          <cell r="I117">
            <v>0</v>
          </cell>
          <cell r="J117">
            <v>0</v>
          </cell>
        </row>
        <row r="118">
          <cell r="E118">
            <v>0</v>
          </cell>
          <cell r="F118">
            <v>0</v>
          </cell>
          <cell r="I118">
            <v>0</v>
          </cell>
          <cell r="J118">
            <v>0</v>
          </cell>
        </row>
        <row r="119">
          <cell r="B119" t="str">
            <v>314</v>
          </cell>
          <cell r="E119">
            <v>0</v>
          </cell>
          <cell r="F119">
            <v>0</v>
          </cell>
          <cell r="I119">
            <v>0</v>
          </cell>
          <cell r="J119">
            <v>0</v>
          </cell>
        </row>
        <row r="120">
          <cell r="B120" t="str">
            <v>314</v>
          </cell>
          <cell r="E120">
            <v>0</v>
          </cell>
          <cell r="F120">
            <v>0</v>
          </cell>
          <cell r="I120">
            <v>0</v>
          </cell>
          <cell r="J120">
            <v>0</v>
          </cell>
        </row>
        <row r="121">
          <cell r="B121" t="str">
            <v>315</v>
          </cell>
          <cell r="E121">
            <v>0</v>
          </cell>
          <cell r="F121">
            <v>0</v>
          </cell>
          <cell r="I121">
            <v>0</v>
          </cell>
          <cell r="J121">
            <v>0</v>
          </cell>
        </row>
        <row r="122">
          <cell r="E122">
            <v>0</v>
          </cell>
          <cell r="F122">
            <v>0</v>
          </cell>
          <cell r="I122">
            <v>0</v>
          </cell>
          <cell r="J122">
            <v>0</v>
          </cell>
        </row>
        <row r="123">
          <cell r="B123" t="str">
            <v>334</v>
          </cell>
          <cell r="I123">
            <v>0</v>
          </cell>
          <cell r="J123">
            <v>0</v>
          </cell>
        </row>
        <row r="124">
          <cell r="B124" t="str">
            <v>316</v>
          </cell>
          <cell r="I124">
            <v>0</v>
          </cell>
          <cell r="J124">
            <v>0</v>
          </cell>
        </row>
        <row r="125">
          <cell r="B125" t="str">
            <v>316</v>
          </cell>
          <cell r="I125">
            <v>0</v>
          </cell>
          <cell r="J125">
            <v>0</v>
          </cell>
        </row>
        <row r="126">
          <cell r="B126" t="str">
            <v>316</v>
          </cell>
          <cell r="I126">
            <v>0</v>
          </cell>
          <cell r="J126">
            <v>0</v>
          </cell>
        </row>
        <row r="127">
          <cell r="B127" t="str">
            <v>317</v>
          </cell>
          <cell r="I127">
            <v>0</v>
          </cell>
          <cell r="J127">
            <v>0</v>
          </cell>
        </row>
        <row r="128">
          <cell r="E128">
            <v>0</v>
          </cell>
          <cell r="F128">
            <v>0</v>
          </cell>
          <cell r="I128">
            <v>0</v>
          </cell>
          <cell r="J128">
            <v>0</v>
          </cell>
        </row>
        <row r="129">
          <cell r="B129" t="str">
            <v>319</v>
          </cell>
          <cell r="I129">
            <v>0</v>
          </cell>
          <cell r="J129">
            <v>0</v>
          </cell>
        </row>
        <row r="130">
          <cell r="B130" t="str">
            <v>319</v>
          </cell>
          <cell r="I130">
            <v>0</v>
          </cell>
          <cell r="J130">
            <v>0</v>
          </cell>
        </row>
        <row r="131">
          <cell r="B131" t="str">
            <v>319</v>
          </cell>
          <cell r="I131">
            <v>0</v>
          </cell>
          <cell r="J131">
            <v>0</v>
          </cell>
        </row>
        <row r="132">
          <cell r="B132" t="str">
            <v>319</v>
          </cell>
          <cell r="I132">
            <v>0</v>
          </cell>
          <cell r="J132">
            <v>0</v>
          </cell>
        </row>
        <row r="133">
          <cell r="B133" t="str">
            <v>319</v>
          </cell>
          <cell r="I133">
            <v>0</v>
          </cell>
          <cell r="J133">
            <v>0</v>
          </cell>
        </row>
        <row r="134">
          <cell r="B134" t="str">
            <v>319</v>
          </cell>
          <cell r="I134">
            <v>0</v>
          </cell>
          <cell r="J134">
            <v>0</v>
          </cell>
        </row>
        <row r="135">
          <cell r="B135" t="str">
            <v>318</v>
          </cell>
          <cell r="I135">
            <v>0</v>
          </cell>
          <cell r="J135">
            <v>0</v>
          </cell>
        </row>
        <row r="136">
          <cell r="B136" t="str">
            <v>319</v>
          </cell>
          <cell r="I136">
            <v>0</v>
          </cell>
          <cell r="J136">
            <v>0</v>
          </cell>
        </row>
        <row r="137">
          <cell r="E137">
            <v>0</v>
          </cell>
          <cell r="F137">
            <v>0</v>
          </cell>
          <cell r="I137">
            <v>0</v>
          </cell>
          <cell r="J137">
            <v>0</v>
          </cell>
        </row>
        <row r="138">
          <cell r="B138" t="str">
            <v>320</v>
          </cell>
          <cell r="I138">
            <v>0</v>
          </cell>
          <cell r="J138">
            <v>0</v>
          </cell>
        </row>
        <row r="139">
          <cell r="B139" t="str">
            <v>320</v>
          </cell>
          <cell r="I139">
            <v>0</v>
          </cell>
          <cell r="J139">
            <v>0</v>
          </cell>
        </row>
        <row r="140">
          <cell r="E140">
            <v>0</v>
          </cell>
          <cell r="F140">
            <v>0</v>
          </cell>
          <cell r="I140">
            <v>0</v>
          </cell>
          <cell r="J140">
            <v>0</v>
          </cell>
        </row>
        <row r="141">
          <cell r="B141" t="str">
            <v>320</v>
          </cell>
          <cell r="I141">
            <v>0</v>
          </cell>
          <cell r="J141">
            <v>0</v>
          </cell>
        </row>
        <row r="142">
          <cell r="B142" t="str">
            <v>320</v>
          </cell>
          <cell r="I142">
            <v>0</v>
          </cell>
          <cell r="J142">
            <v>0</v>
          </cell>
        </row>
        <row r="143">
          <cell r="B143" t="str">
            <v>338</v>
          </cell>
          <cell r="I143">
            <v>0</v>
          </cell>
          <cell r="J143">
            <v>0</v>
          </cell>
        </row>
        <row r="144">
          <cell r="B144" t="str">
            <v>339</v>
          </cell>
          <cell r="I144">
            <v>0</v>
          </cell>
          <cell r="J144">
            <v>0</v>
          </cell>
        </row>
        <row r="145">
          <cell r="B145" t="str">
            <v>319</v>
          </cell>
          <cell r="I145">
            <v>0</v>
          </cell>
          <cell r="J145">
            <v>0</v>
          </cell>
        </row>
        <row r="146">
          <cell r="B146" t="str">
            <v>341</v>
          </cell>
          <cell r="I146">
            <v>0</v>
          </cell>
          <cell r="J146">
            <v>0</v>
          </cell>
        </row>
        <row r="147">
          <cell r="E147">
            <v>0</v>
          </cell>
          <cell r="F147">
            <v>0</v>
          </cell>
          <cell r="I147">
            <v>0</v>
          </cell>
          <cell r="J147">
            <v>0</v>
          </cell>
        </row>
        <row r="148">
          <cell r="B148" t="str">
            <v>321</v>
          </cell>
          <cell r="I148">
            <v>0</v>
          </cell>
          <cell r="J148">
            <v>0</v>
          </cell>
        </row>
        <row r="149">
          <cell r="B149" t="str">
            <v>321</v>
          </cell>
          <cell r="I149">
            <v>0</v>
          </cell>
          <cell r="J149">
            <v>0</v>
          </cell>
        </row>
        <row r="150">
          <cell r="B150" t="str">
            <v>321</v>
          </cell>
          <cell r="I150">
            <v>0</v>
          </cell>
          <cell r="J150">
            <v>0</v>
          </cell>
        </row>
        <row r="151">
          <cell r="B151" t="str">
            <v>321</v>
          </cell>
          <cell r="I151">
            <v>0</v>
          </cell>
          <cell r="J151">
            <v>0</v>
          </cell>
        </row>
        <row r="152">
          <cell r="E152">
            <v>0</v>
          </cell>
          <cell r="F152">
            <v>0</v>
          </cell>
          <cell r="I152">
            <v>0</v>
          </cell>
          <cell r="J152">
            <v>0</v>
          </cell>
        </row>
        <row r="153">
          <cell r="B153" t="str">
            <v>322</v>
          </cell>
          <cell r="I153">
            <v>0</v>
          </cell>
          <cell r="J153">
            <v>0</v>
          </cell>
        </row>
        <row r="154">
          <cell r="B154" t="str">
            <v>322</v>
          </cell>
          <cell r="I154">
            <v>0</v>
          </cell>
          <cell r="J154">
            <v>0</v>
          </cell>
        </row>
        <row r="155">
          <cell r="B155" t="str">
            <v>322</v>
          </cell>
          <cell r="I155">
            <v>0</v>
          </cell>
          <cell r="J155">
            <v>0</v>
          </cell>
        </row>
        <row r="156">
          <cell r="B156" t="str">
            <v>322</v>
          </cell>
          <cell r="I156">
            <v>0</v>
          </cell>
          <cell r="J156">
            <v>0</v>
          </cell>
        </row>
        <row r="157">
          <cell r="E157">
            <v>0</v>
          </cell>
          <cell r="F157">
            <v>0</v>
          </cell>
          <cell r="I157">
            <v>0</v>
          </cell>
          <cell r="J157">
            <v>0</v>
          </cell>
        </row>
        <row r="158">
          <cell r="B158" t="str">
            <v>343</v>
          </cell>
          <cell r="I158">
            <v>0</v>
          </cell>
          <cell r="J158">
            <v>0</v>
          </cell>
        </row>
        <row r="159">
          <cell r="B159" t="str">
            <v>343</v>
          </cell>
          <cell r="I159">
            <v>0</v>
          </cell>
          <cell r="J159">
            <v>0</v>
          </cell>
        </row>
        <row r="160">
          <cell r="B160" t="str">
            <v>323</v>
          </cell>
          <cell r="I160">
            <v>0</v>
          </cell>
          <cell r="J160">
            <v>0</v>
          </cell>
        </row>
        <row r="161">
          <cell r="E161">
            <v>0</v>
          </cell>
          <cell r="F161">
            <v>0</v>
          </cell>
          <cell r="I161">
            <v>0</v>
          </cell>
          <cell r="J161">
            <v>19000000000</v>
          </cell>
        </row>
        <row r="162">
          <cell r="B162">
            <v>411</v>
          </cell>
          <cell r="I162">
            <v>0</v>
          </cell>
          <cell r="J162">
            <v>19000000000</v>
          </cell>
        </row>
        <row r="163">
          <cell r="B163">
            <v>412</v>
          </cell>
          <cell r="I163">
            <v>0</v>
          </cell>
          <cell r="J163">
            <v>0</v>
          </cell>
        </row>
        <row r="164">
          <cell r="B164">
            <v>413</v>
          </cell>
          <cell r="I164">
            <v>0</v>
          </cell>
          <cell r="J164">
            <v>0</v>
          </cell>
        </row>
        <row r="165">
          <cell r="B165">
            <v>414</v>
          </cell>
          <cell r="I165">
            <v>0</v>
          </cell>
          <cell r="J165">
            <v>0</v>
          </cell>
        </row>
        <row r="166">
          <cell r="B166">
            <v>416</v>
          </cell>
          <cell r="E166">
            <v>0</v>
          </cell>
          <cell r="F166">
            <v>0</v>
          </cell>
          <cell r="I166">
            <v>0</v>
          </cell>
          <cell r="J166">
            <v>0</v>
          </cell>
        </row>
        <row r="167">
          <cell r="E167">
            <v>0</v>
          </cell>
          <cell r="F167">
            <v>0</v>
          </cell>
          <cell r="I167">
            <v>0</v>
          </cell>
          <cell r="J167">
            <v>0</v>
          </cell>
        </row>
        <row r="168">
          <cell r="B168">
            <v>417</v>
          </cell>
          <cell r="I168">
            <v>0</v>
          </cell>
          <cell r="J168">
            <v>0</v>
          </cell>
        </row>
        <row r="169">
          <cell r="B169">
            <v>417</v>
          </cell>
          <cell r="I169">
            <v>0</v>
          </cell>
          <cell r="J169">
            <v>0</v>
          </cell>
        </row>
        <row r="170">
          <cell r="B170" t="str">
            <v>418</v>
          </cell>
          <cell r="I170">
            <v>0</v>
          </cell>
          <cell r="J170">
            <v>0</v>
          </cell>
        </row>
        <row r="171">
          <cell r="B171">
            <v>419</v>
          </cell>
          <cell r="I171">
            <v>0</v>
          </cell>
          <cell r="J171">
            <v>0</v>
          </cell>
        </row>
        <row r="172">
          <cell r="B172">
            <v>420</v>
          </cell>
          <cell r="I172">
            <v>0</v>
          </cell>
          <cell r="J172">
            <v>0</v>
          </cell>
        </row>
        <row r="173">
          <cell r="B173">
            <v>415</v>
          </cell>
          <cell r="I173">
            <v>0</v>
          </cell>
          <cell r="J173">
            <v>0</v>
          </cell>
        </row>
        <row r="174">
          <cell r="E174">
            <v>0</v>
          </cell>
          <cell r="F174">
            <v>0</v>
          </cell>
          <cell r="I174">
            <v>25250000</v>
          </cell>
          <cell r="J174">
            <v>0</v>
          </cell>
        </row>
        <row r="175">
          <cell r="B175" t="str">
            <v>421a</v>
          </cell>
          <cell r="I175">
            <v>0</v>
          </cell>
          <cell r="J175">
            <v>0</v>
          </cell>
        </row>
        <row r="176">
          <cell r="B176" t="str">
            <v>421b</v>
          </cell>
          <cell r="I176">
            <v>25250000</v>
          </cell>
          <cell r="J176">
            <v>0</v>
          </cell>
        </row>
        <row r="177">
          <cell r="B177">
            <v>422</v>
          </cell>
          <cell r="I177">
            <v>0</v>
          </cell>
          <cell r="J177">
            <v>0</v>
          </cell>
        </row>
        <row r="178">
          <cell r="E178">
            <v>0</v>
          </cell>
          <cell r="F178">
            <v>0</v>
          </cell>
          <cell r="I178">
            <v>0</v>
          </cell>
          <cell r="J178">
            <v>0</v>
          </cell>
        </row>
        <row r="179">
          <cell r="I179">
            <v>0</v>
          </cell>
          <cell r="J179">
            <v>0</v>
          </cell>
        </row>
        <row r="180">
          <cell r="I180">
            <v>0</v>
          </cell>
          <cell r="J180">
            <v>0</v>
          </cell>
        </row>
        <row r="181">
          <cell r="I181">
            <v>0</v>
          </cell>
          <cell r="J181">
            <v>0</v>
          </cell>
        </row>
        <row r="182">
          <cell r="I182">
            <v>0</v>
          </cell>
          <cell r="J182">
            <v>0</v>
          </cell>
        </row>
        <row r="183">
          <cell r="I183">
            <v>0</v>
          </cell>
          <cell r="J183">
            <v>0</v>
          </cell>
        </row>
        <row r="184">
          <cell r="I184">
            <v>0</v>
          </cell>
          <cell r="J184">
            <v>0</v>
          </cell>
        </row>
        <row r="185">
          <cell r="I185">
            <v>0</v>
          </cell>
          <cell r="J185">
            <v>0</v>
          </cell>
        </row>
        <row r="186">
          <cell r="E186">
            <v>0</v>
          </cell>
          <cell r="F186">
            <v>0</v>
          </cell>
          <cell r="I186">
            <v>0</v>
          </cell>
          <cell r="J186">
            <v>0</v>
          </cell>
        </row>
        <row r="187">
          <cell r="I187">
            <v>0</v>
          </cell>
          <cell r="J187">
            <v>0</v>
          </cell>
        </row>
        <row r="188">
          <cell r="I188">
            <v>0</v>
          </cell>
          <cell r="J188">
            <v>0</v>
          </cell>
        </row>
        <row r="189">
          <cell r="I189">
            <v>0</v>
          </cell>
          <cell r="J189">
            <v>0</v>
          </cell>
        </row>
        <row r="190">
          <cell r="I190">
            <v>0</v>
          </cell>
          <cell r="J190">
            <v>0</v>
          </cell>
        </row>
        <row r="191">
          <cell r="I191">
            <v>0</v>
          </cell>
          <cell r="J191">
            <v>0</v>
          </cell>
        </row>
        <row r="192">
          <cell r="E192">
            <v>0</v>
          </cell>
          <cell r="F192">
            <v>0</v>
          </cell>
          <cell r="I192">
            <v>0</v>
          </cell>
          <cell r="J192">
            <v>0</v>
          </cell>
        </row>
        <row r="193">
          <cell r="I193">
            <v>0</v>
          </cell>
          <cell r="J193">
            <v>0</v>
          </cell>
        </row>
        <row r="194">
          <cell r="I194">
            <v>0</v>
          </cell>
          <cell r="J194">
            <v>0</v>
          </cell>
        </row>
        <row r="195">
          <cell r="I195">
            <v>0</v>
          </cell>
          <cell r="J195">
            <v>0</v>
          </cell>
        </row>
        <row r="196">
          <cell r="I196">
            <v>0</v>
          </cell>
          <cell r="J196">
            <v>0</v>
          </cell>
        </row>
        <row r="197">
          <cell r="E197">
            <v>0</v>
          </cell>
          <cell r="F197">
            <v>0</v>
          </cell>
          <cell r="I197">
            <v>0</v>
          </cell>
          <cell r="J197">
            <v>0</v>
          </cell>
        </row>
        <row r="198">
          <cell r="I198">
            <v>0</v>
          </cell>
          <cell r="J198">
            <v>0</v>
          </cell>
        </row>
        <row r="199">
          <cell r="I199">
            <v>0</v>
          </cell>
          <cell r="J199">
            <v>0</v>
          </cell>
        </row>
        <row r="200">
          <cell r="I200">
            <v>0</v>
          </cell>
          <cell r="J200">
            <v>0</v>
          </cell>
        </row>
        <row r="201">
          <cell r="I201">
            <v>0</v>
          </cell>
          <cell r="J201">
            <v>0</v>
          </cell>
        </row>
        <row r="202">
          <cell r="I202">
            <v>0</v>
          </cell>
          <cell r="J202">
            <v>0</v>
          </cell>
        </row>
        <row r="203">
          <cell r="I203">
            <v>0</v>
          </cell>
          <cell r="J203">
            <v>0</v>
          </cell>
        </row>
        <row r="204">
          <cell r="I204">
            <v>0</v>
          </cell>
          <cell r="J204">
            <v>0</v>
          </cell>
        </row>
        <row r="205">
          <cell r="E205">
            <v>0</v>
          </cell>
          <cell r="F205">
            <v>0</v>
          </cell>
          <cell r="I205">
            <v>0</v>
          </cell>
          <cell r="J205">
            <v>0</v>
          </cell>
        </row>
        <row r="206">
          <cell r="I206">
            <v>0</v>
          </cell>
          <cell r="J206">
            <v>0</v>
          </cell>
        </row>
        <row r="207">
          <cell r="I207">
            <v>0</v>
          </cell>
          <cell r="J207">
            <v>0</v>
          </cell>
        </row>
        <row r="208">
          <cell r="I208">
            <v>0</v>
          </cell>
          <cell r="J208">
            <v>0</v>
          </cell>
        </row>
        <row r="209">
          <cell r="I209">
            <v>0</v>
          </cell>
          <cell r="J209">
            <v>0</v>
          </cell>
        </row>
        <row r="210">
          <cell r="I210">
            <v>0</v>
          </cell>
          <cell r="J210">
            <v>0</v>
          </cell>
        </row>
        <row r="211">
          <cell r="I211">
            <v>0</v>
          </cell>
          <cell r="J211">
            <v>0</v>
          </cell>
        </row>
        <row r="212">
          <cell r="I212">
            <v>0</v>
          </cell>
          <cell r="J212">
            <v>0</v>
          </cell>
        </row>
        <row r="213">
          <cell r="I213">
            <v>0</v>
          </cell>
          <cell r="J213">
            <v>0</v>
          </cell>
        </row>
        <row r="214">
          <cell r="I214">
            <v>0</v>
          </cell>
          <cell r="J214">
            <v>0</v>
          </cell>
        </row>
        <row r="215">
          <cell r="I215">
            <v>0</v>
          </cell>
          <cell r="J215">
            <v>0</v>
          </cell>
        </row>
        <row r="216">
          <cell r="E216">
            <v>0</v>
          </cell>
          <cell r="F216">
            <v>0</v>
          </cell>
          <cell r="I216">
            <v>0</v>
          </cell>
          <cell r="J216">
            <v>0</v>
          </cell>
        </row>
        <row r="217">
          <cell r="E217">
            <v>0</v>
          </cell>
          <cell r="F217">
            <v>0</v>
          </cell>
          <cell r="I217">
            <v>0</v>
          </cell>
          <cell r="J217">
            <v>0</v>
          </cell>
        </row>
        <row r="218">
          <cell r="E218">
            <v>0</v>
          </cell>
          <cell r="F218">
            <v>0</v>
          </cell>
          <cell r="I218">
            <v>0</v>
          </cell>
          <cell r="J218">
            <v>0</v>
          </cell>
        </row>
        <row r="219">
          <cell r="E219">
            <v>0</v>
          </cell>
          <cell r="F219">
            <v>0</v>
          </cell>
          <cell r="I219">
            <v>0</v>
          </cell>
          <cell r="J219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XFC105"/>
  <sheetViews>
    <sheetView showGridLines="0" tabSelected="1" zoomScaleNormal="100" workbookViewId="0">
      <selection activeCell="I14" sqref="I14"/>
    </sheetView>
  </sheetViews>
  <sheetFormatPr defaultColWidth="0" defaultRowHeight="15" zeroHeight="1"/>
  <cols>
    <col min="1" max="12" width="9.140625" customWidth="1"/>
    <col min="13" max="13" width="8.7109375" customWidth="1"/>
    <col min="14" max="14" width="9.140625" customWidth="1"/>
    <col min="15" max="16383" width="9.140625" hidden="1"/>
    <col min="16384" max="16384" width="3.7109375" hidden="1"/>
  </cols>
  <sheetData>
    <row r="1" spans="1:2"/>
    <row r="2" spans="1:2" ht="15.75">
      <c r="A2" s="174" t="s">
        <v>285</v>
      </c>
    </row>
    <row r="3" spans="1:2" ht="15.75">
      <c r="A3" s="177" t="s">
        <v>286</v>
      </c>
    </row>
    <row r="4" spans="1:2" ht="15.75">
      <c r="A4" s="19" t="s">
        <v>287</v>
      </c>
    </row>
    <row r="5" spans="1:2" ht="15.75">
      <c r="A5" s="19" t="s">
        <v>279</v>
      </c>
    </row>
    <row r="6" spans="1:2" ht="15.75">
      <c r="A6" s="19" t="s">
        <v>280</v>
      </c>
      <c r="B6" s="175"/>
    </row>
    <row r="7" spans="1:2" ht="15.75">
      <c r="A7" s="19" t="s">
        <v>281</v>
      </c>
      <c r="B7" s="175"/>
    </row>
    <row r="8" spans="1:2" ht="15.75">
      <c r="A8" s="19" t="s">
        <v>292</v>
      </c>
    </row>
    <row r="9" spans="1:2" ht="15.75">
      <c r="A9" s="19" t="s">
        <v>289</v>
      </c>
    </row>
    <row r="10" spans="1:2" ht="15.75">
      <c r="A10" s="19" t="s">
        <v>293</v>
      </c>
    </row>
    <row r="11" spans="1:2" ht="15.75">
      <c r="A11" s="19" t="s">
        <v>282</v>
      </c>
    </row>
    <row r="12" spans="1:2" ht="15.75">
      <c r="A12" s="19" t="s">
        <v>283</v>
      </c>
    </row>
    <row r="13" spans="1:2" ht="15.75">
      <c r="A13" s="176" t="s">
        <v>290</v>
      </c>
    </row>
    <row r="14" spans="1:2" ht="15.75">
      <c r="A14" s="176" t="s">
        <v>291</v>
      </c>
    </row>
    <row r="15" spans="1:2" ht="15.75">
      <c r="A15" s="19" t="s">
        <v>284</v>
      </c>
    </row>
    <row r="16" spans="1:2" ht="15.75">
      <c r="A16" s="173" t="s">
        <v>288</v>
      </c>
    </row>
    <row r="17" spans="1:1" ht="15.75">
      <c r="A17" s="19"/>
    </row>
    <row r="18" spans="1:1"/>
    <row r="19" spans="1:1"/>
    <row r="20" spans="1:1"/>
    <row r="21" spans="1:1"/>
    <row r="22" spans="1:1"/>
    <row r="23" spans="1:1"/>
    <row r="24" spans="1:1"/>
    <row r="25" spans="1:1"/>
    <row r="26" spans="1:1" hidden="1"/>
    <row r="27" spans="1:1" hidden="1"/>
    <row r="28" spans="1:1" hidden="1"/>
    <row r="29" spans="1:1" hidden="1"/>
    <row r="30" spans="1:1" hidden="1"/>
    <row r="31" spans="1:1" hidden="1"/>
    <row r="32" spans="1:1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/>
    <row r="84"/>
    <row r="85"/>
    <row r="86"/>
    <row r="87"/>
    <row r="88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4</xdr:col>
                    <xdr:colOff>152400</xdr:colOff>
                    <xdr:row>15</xdr:row>
                    <xdr:rowOff>0</xdr:rowOff>
                  </from>
                  <to>
                    <xdr:col>5</xdr:col>
                    <xdr:colOff>438150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5"/>
  <sheetViews>
    <sheetView workbookViewId="0">
      <selection activeCell="F12" sqref="F12"/>
    </sheetView>
  </sheetViews>
  <sheetFormatPr defaultRowHeight="15"/>
  <cols>
    <col min="1" max="1" width="5.140625" bestFit="1" customWidth="1"/>
    <col min="2" max="2" width="62.140625" bestFit="1" customWidth="1"/>
    <col min="3" max="3" width="17.7109375" customWidth="1"/>
    <col min="6" max="6" width="14.7109375" customWidth="1"/>
    <col min="7" max="7" width="14.28515625" bestFit="1" customWidth="1"/>
  </cols>
  <sheetData>
    <row r="1" spans="1:7" ht="16.5" customHeight="1">
      <c r="A1" s="178" t="s">
        <v>122</v>
      </c>
      <c r="B1" s="178"/>
      <c r="C1" s="178"/>
    </row>
    <row r="2" spans="1:7" ht="16.5">
      <c r="A2" s="9"/>
      <c r="B2" s="9" t="s">
        <v>123</v>
      </c>
      <c r="C2" s="13" t="s">
        <v>124</v>
      </c>
    </row>
    <row r="3" spans="1:7" ht="15.75">
      <c r="A3" s="10"/>
      <c r="B3" s="11"/>
      <c r="C3" s="160" t="str">
        <f>"Đơn vị: "&amp;IF(TONGHOP!G4=1,"Triệu đồng","đồng")</f>
        <v>Đơn vị: Triệu đồng</v>
      </c>
    </row>
    <row r="4" spans="1:7" ht="15.75">
      <c r="A4" s="12" t="s">
        <v>125</v>
      </c>
      <c r="B4" s="12" t="s">
        <v>109</v>
      </c>
      <c r="C4" s="12" t="s">
        <v>110</v>
      </c>
    </row>
    <row r="5" spans="1:7" ht="15.75">
      <c r="A5" s="20" t="s">
        <v>111</v>
      </c>
      <c r="B5" s="21" t="s">
        <v>112</v>
      </c>
      <c r="C5" s="22"/>
      <c r="G5" s="5"/>
    </row>
    <row r="6" spans="1:7" ht="15.75">
      <c r="A6" s="20">
        <v>1</v>
      </c>
      <c r="B6" s="21" t="s">
        <v>47</v>
      </c>
      <c r="C6" s="22"/>
      <c r="G6" s="5"/>
    </row>
    <row r="7" spans="1:7" ht="15.75">
      <c r="A7" s="23" t="s">
        <v>113</v>
      </c>
      <c r="B7" s="24" t="s">
        <v>114</v>
      </c>
      <c r="C7" s="22"/>
      <c r="G7" s="5"/>
    </row>
    <row r="8" spans="1:7" ht="15.75">
      <c r="A8" s="23" t="s">
        <v>113</v>
      </c>
      <c r="B8" s="24" t="s">
        <v>54</v>
      </c>
      <c r="C8" s="22"/>
      <c r="G8" s="5"/>
    </row>
    <row r="9" spans="1:7" ht="15.75">
      <c r="A9" s="20">
        <v>2</v>
      </c>
      <c r="B9" s="21" t="s">
        <v>56</v>
      </c>
      <c r="C9" s="22"/>
      <c r="G9" s="5"/>
    </row>
    <row r="10" spans="1:7" ht="15.75">
      <c r="A10" s="23" t="s">
        <v>113</v>
      </c>
      <c r="B10" s="24" t="s">
        <v>128</v>
      </c>
      <c r="C10" s="22"/>
      <c r="G10" s="5"/>
    </row>
    <row r="11" spans="1:7" ht="15.75">
      <c r="A11" s="23" t="s">
        <v>113</v>
      </c>
      <c r="B11" s="24" t="s">
        <v>115</v>
      </c>
      <c r="C11" s="22"/>
      <c r="G11" s="5"/>
    </row>
    <row r="12" spans="1:7" ht="15.75">
      <c r="A12" s="20">
        <v>3</v>
      </c>
      <c r="B12" s="21" t="s">
        <v>62</v>
      </c>
      <c r="C12" s="22"/>
      <c r="G12" s="5"/>
    </row>
    <row r="13" spans="1:7" ht="15.75">
      <c r="A13" s="23"/>
      <c r="B13" s="24" t="s">
        <v>129</v>
      </c>
      <c r="C13" s="22"/>
      <c r="G13" s="5"/>
    </row>
    <row r="14" spans="1:7" ht="15.75">
      <c r="A14" s="23"/>
      <c r="B14" s="24" t="s">
        <v>130</v>
      </c>
      <c r="C14" s="22"/>
      <c r="G14" s="5"/>
    </row>
    <row r="15" spans="1:7" ht="15.75">
      <c r="A15" s="20">
        <v>4</v>
      </c>
      <c r="B15" s="21" t="s">
        <v>67</v>
      </c>
      <c r="C15" s="22"/>
      <c r="G15" s="5"/>
    </row>
    <row r="16" spans="1:7" ht="15.75">
      <c r="A16" s="23" t="s">
        <v>116</v>
      </c>
      <c r="B16" s="24" t="s">
        <v>68</v>
      </c>
      <c r="C16" s="22"/>
      <c r="G16" s="5"/>
    </row>
    <row r="17" spans="1:3" ht="15.75">
      <c r="A17" s="20">
        <v>5</v>
      </c>
      <c r="B17" s="21" t="s">
        <v>117</v>
      </c>
      <c r="C17" s="22"/>
    </row>
    <row r="18" spans="1:3" ht="15.75">
      <c r="A18" s="23"/>
      <c r="B18" s="24" t="s">
        <v>126</v>
      </c>
      <c r="C18" s="22"/>
    </row>
    <row r="19" spans="1:3" ht="15.75">
      <c r="A19" s="20" t="s">
        <v>118</v>
      </c>
      <c r="B19" s="21" t="s">
        <v>119</v>
      </c>
      <c r="C19" s="22"/>
    </row>
    <row r="20" spans="1:3" ht="15.75">
      <c r="A20" s="25"/>
      <c r="B20" s="26" t="s">
        <v>120</v>
      </c>
      <c r="C20" s="22"/>
    </row>
    <row r="21" spans="1:3" ht="15.75">
      <c r="A21" s="23">
        <v>1</v>
      </c>
      <c r="B21" s="28" t="s">
        <v>72</v>
      </c>
      <c r="C21" s="22"/>
    </row>
    <row r="22" spans="1:3" ht="15.75">
      <c r="A22" s="23">
        <v>2</v>
      </c>
      <c r="B22" s="24" t="s">
        <v>74</v>
      </c>
      <c r="C22" s="22"/>
    </row>
    <row r="23" spans="1:3" ht="15.75">
      <c r="A23" s="23">
        <v>3</v>
      </c>
      <c r="B23" s="24" t="s">
        <v>121</v>
      </c>
      <c r="C23" s="22"/>
    </row>
    <row r="25" spans="1:3">
      <c r="A25" s="27" t="s">
        <v>127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00"/>
  <sheetViews>
    <sheetView workbookViewId="0">
      <selection sqref="A1:H300"/>
    </sheetView>
  </sheetViews>
  <sheetFormatPr defaultRowHeight="15"/>
  <cols>
    <col min="1" max="1" width="78.28515625" bestFit="1" customWidth="1"/>
    <col min="2" max="2" width="10.7109375" bestFit="1" customWidth="1"/>
    <col min="3" max="3" width="14.28515625" customWidth="1"/>
    <col min="6" max="6" width="9.28515625" customWidth="1"/>
  </cols>
  <sheetData>
    <row r="1" spans="1:8" ht="21">
      <c r="A1" s="179"/>
      <c r="B1" s="180"/>
      <c r="C1" s="180"/>
      <c r="D1" s="180"/>
      <c r="E1" s="180"/>
      <c r="F1" s="180"/>
      <c r="G1" s="180"/>
      <c r="H1" s="180"/>
    </row>
    <row r="2" spans="1:8">
      <c r="B2" s="1"/>
      <c r="C2" s="2"/>
    </row>
    <row r="3" spans="1:8">
      <c r="A3" s="3"/>
      <c r="B3" s="1"/>
      <c r="C3" s="2"/>
    </row>
    <row r="4" spans="1:8">
      <c r="B4" s="1"/>
      <c r="C4" s="2"/>
    </row>
    <row r="5" spans="1:8">
      <c r="B5" s="1"/>
      <c r="C5" s="2"/>
    </row>
    <row r="6" spans="1:8">
      <c r="B6" s="1"/>
      <c r="C6" s="2"/>
    </row>
    <row r="7" spans="1:8">
      <c r="B7" s="1"/>
      <c r="C7" s="2"/>
    </row>
    <row r="8" spans="1:8">
      <c r="B8" s="1"/>
      <c r="C8" s="2"/>
    </row>
    <row r="9" spans="1:8">
      <c r="B9" s="1"/>
      <c r="C9" s="2"/>
    </row>
    <row r="10" spans="1:8">
      <c r="B10" s="1"/>
      <c r="C10" s="2"/>
    </row>
    <row r="11" spans="1:8">
      <c r="B11" s="1"/>
      <c r="C11" s="2"/>
    </row>
    <row r="12" spans="1:8">
      <c r="B12" s="1"/>
      <c r="C12" s="2"/>
    </row>
    <row r="13" spans="1:8">
      <c r="A13" s="3"/>
      <c r="B13" s="1"/>
      <c r="C13" s="2"/>
    </row>
    <row r="14" spans="1:8">
      <c r="B14" s="1"/>
      <c r="C14" s="2"/>
    </row>
    <row r="15" spans="1:8">
      <c r="A15" s="3"/>
      <c r="B15" s="1"/>
      <c r="C15" s="2"/>
    </row>
    <row r="16" spans="1:8">
      <c r="A16" s="3"/>
      <c r="B16" s="1"/>
      <c r="C16" s="2"/>
    </row>
    <row r="17" spans="1:3">
      <c r="B17" s="1"/>
      <c r="C17" s="2"/>
    </row>
    <row r="18" spans="1:3">
      <c r="B18" s="1"/>
      <c r="C18" s="2"/>
    </row>
    <row r="19" spans="1:3">
      <c r="A19" s="3"/>
      <c r="B19" s="1"/>
      <c r="C19" s="2"/>
    </row>
    <row r="20" spans="1:3">
      <c r="B20" s="1"/>
      <c r="C20" s="2"/>
    </row>
    <row r="21" spans="1:3">
      <c r="B21" s="1"/>
      <c r="C21" s="2"/>
    </row>
    <row r="22" spans="1:3">
      <c r="B22" s="1"/>
      <c r="C22" s="2"/>
    </row>
    <row r="23" spans="1:3">
      <c r="A23" s="3"/>
      <c r="B23" s="1"/>
      <c r="C23" s="2"/>
    </row>
    <row r="24" spans="1:3">
      <c r="B24" s="1"/>
      <c r="C24" s="2"/>
    </row>
    <row r="25" spans="1:3">
      <c r="B25" s="1"/>
      <c r="C25" s="2"/>
    </row>
    <row r="26" spans="1:3">
      <c r="B26" s="1"/>
      <c r="C26" s="2"/>
    </row>
    <row r="27" spans="1:3">
      <c r="B27" s="1"/>
      <c r="C27" s="2"/>
    </row>
    <row r="28" spans="1:3">
      <c r="B28" s="1"/>
      <c r="C28" s="2"/>
    </row>
    <row r="29" spans="1:3">
      <c r="B29" s="1"/>
      <c r="C29" s="2"/>
    </row>
    <row r="30" spans="1:3">
      <c r="B30" s="1"/>
      <c r="C30" s="2"/>
    </row>
    <row r="31" spans="1:3">
      <c r="B31" s="1"/>
      <c r="C31" s="2"/>
    </row>
    <row r="32" spans="1:3">
      <c r="A32" s="3"/>
      <c r="B32" s="1"/>
      <c r="C32" s="2"/>
    </row>
    <row r="33" spans="1:3">
      <c r="B33" s="1"/>
      <c r="C33" s="2"/>
    </row>
    <row r="34" spans="1:3">
      <c r="B34" s="1"/>
      <c r="C34" s="2"/>
    </row>
    <row r="35" spans="1:3">
      <c r="A35" s="3"/>
      <c r="B35" s="1"/>
      <c r="C35" s="2"/>
    </row>
    <row r="36" spans="1:3">
      <c r="B36" s="1"/>
      <c r="C36" s="2"/>
    </row>
    <row r="37" spans="1:3">
      <c r="B37" s="1"/>
      <c r="C37" s="2"/>
    </row>
    <row r="38" spans="1:3">
      <c r="B38" s="1"/>
      <c r="C38" s="2"/>
    </row>
    <row r="39" spans="1:3">
      <c r="B39" s="1"/>
      <c r="C39" s="2"/>
    </row>
    <row r="40" spans="1:3">
      <c r="B40" s="1"/>
      <c r="C40" s="2"/>
    </row>
    <row r="41" spans="1:3">
      <c r="A41" s="3"/>
      <c r="B41" s="1"/>
      <c r="C41" s="2"/>
    </row>
    <row r="42" spans="1:3">
      <c r="A42" s="3"/>
      <c r="B42" s="1"/>
      <c r="C42" s="2"/>
    </row>
    <row r="43" spans="1:3">
      <c r="B43" s="1"/>
      <c r="C43" s="2"/>
    </row>
    <row r="44" spans="1:3">
      <c r="B44" s="1"/>
      <c r="C44" s="2"/>
    </row>
    <row r="45" spans="1:3">
      <c r="B45" s="1"/>
      <c r="C45" s="2"/>
    </row>
    <row r="46" spans="1:3">
      <c r="B46" s="1"/>
      <c r="C46" s="2"/>
    </row>
    <row r="47" spans="1:3">
      <c r="B47" s="1"/>
      <c r="C47" s="2"/>
    </row>
    <row r="48" spans="1:3">
      <c r="B48" s="1"/>
      <c r="C48" s="2"/>
    </row>
    <row r="49" spans="1:3">
      <c r="B49" s="1"/>
      <c r="C49" s="2"/>
    </row>
    <row r="50" spans="1:3">
      <c r="A50" s="3"/>
      <c r="B50" s="1"/>
      <c r="C50" s="2"/>
    </row>
    <row r="51" spans="1:3">
      <c r="B51" s="1"/>
      <c r="C51" s="2"/>
    </row>
    <row r="52" spans="1:3">
      <c r="B52" s="1"/>
      <c r="C52" s="2"/>
    </row>
    <row r="53" spans="1:3">
      <c r="B53" s="1"/>
      <c r="C53" s="2"/>
    </row>
    <row r="54" spans="1:3">
      <c r="B54" s="1"/>
      <c r="C54" s="2"/>
    </row>
    <row r="55" spans="1:3">
      <c r="B55" s="1"/>
      <c r="C55" s="2"/>
    </row>
    <row r="56" spans="1:3">
      <c r="B56" s="1"/>
      <c r="C56" s="2"/>
    </row>
    <row r="57" spans="1:3">
      <c r="B57" s="1"/>
      <c r="C57" s="2"/>
    </row>
    <row r="58" spans="1:3">
      <c r="B58" s="1"/>
      <c r="C58" s="2"/>
    </row>
    <row r="59" spans="1:3">
      <c r="B59" s="1"/>
      <c r="C59" s="2"/>
    </row>
    <row r="60" spans="1:3">
      <c r="A60" s="3"/>
      <c r="B60" s="1"/>
      <c r="C60" s="2"/>
    </row>
    <row r="61" spans="1:3">
      <c r="B61" s="1"/>
      <c r="C61" s="2"/>
    </row>
    <row r="62" spans="1:3">
      <c r="B62" s="1"/>
      <c r="C62" s="2"/>
    </row>
    <row r="63" spans="1:3">
      <c r="A63" s="3"/>
      <c r="B63" s="1"/>
      <c r="C63" s="2"/>
    </row>
    <row r="64" spans="1:3">
      <c r="B64" s="1"/>
      <c r="C64" s="2"/>
    </row>
    <row r="65" spans="1:3">
      <c r="B65" s="1"/>
      <c r="C65" s="2"/>
    </row>
    <row r="66" spans="1:3">
      <c r="A66" s="3"/>
      <c r="B66" s="1"/>
      <c r="C66" s="2"/>
    </row>
    <row r="67" spans="1:3">
      <c r="B67" s="1"/>
      <c r="C67" s="2"/>
    </row>
    <row r="68" spans="1:3">
      <c r="B68" s="1"/>
      <c r="C68" s="2"/>
    </row>
    <row r="69" spans="1:3">
      <c r="B69" s="1"/>
      <c r="C69" s="2"/>
    </row>
    <row r="70" spans="1:3">
      <c r="B70" s="1"/>
      <c r="C70" s="2"/>
    </row>
    <row r="71" spans="1:3">
      <c r="B71" s="1"/>
      <c r="C71" s="2"/>
    </row>
    <row r="72" spans="1:3">
      <c r="A72" s="3"/>
      <c r="B72" s="1"/>
      <c r="C72" s="2"/>
    </row>
    <row r="73" spans="1:3">
      <c r="B73" s="1"/>
      <c r="C73" s="2"/>
    </row>
    <row r="74" spans="1:3">
      <c r="B74" s="1"/>
      <c r="C74" s="2"/>
    </row>
    <row r="75" spans="1:3">
      <c r="B75" s="1"/>
      <c r="C75" s="2"/>
    </row>
    <row r="76" spans="1:3">
      <c r="B76" s="1"/>
      <c r="C76" s="2"/>
    </row>
    <row r="77" spans="1:3">
      <c r="B77" s="1"/>
      <c r="C77" s="2"/>
    </row>
    <row r="78" spans="1:3">
      <c r="A78" s="3"/>
      <c r="B78" s="1"/>
      <c r="C78" s="2"/>
    </row>
    <row r="79" spans="1:3">
      <c r="A79" s="3"/>
      <c r="B79" s="1"/>
      <c r="C79" s="2"/>
    </row>
    <row r="80" spans="1:3">
      <c r="A80" s="3"/>
      <c r="B80" s="1"/>
      <c r="C80" s="2"/>
    </row>
    <row r="81" spans="1:3">
      <c r="B81" s="1"/>
      <c r="C81" s="2"/>
    </row>
    <row r="82" spans="1:3">
      <c r="B82" s="1"/>
      <c r="C82" s="2"/>
    </row>
    <row r="83" spans="1:3">
      <c r="B83" s="1"/>
      <c r="C83" s="2"/>
    </row>
    <row r="84" spans="1:3">
      <c r="B84" s="1"/>
      <c r="C84" s="2"/>
    </row>
    <row r="85" spans="1:3">
      <c r="B85" s="1"/>
      <c r="C85" s="2"/>
    </row>
    <row r="86" spans="1:3">
      <c r="B86" s="1"/>
      <c r="C86" s="2"/>
    </row>
    <row r="87" spans="1:3">
      <c r="B87" s="1"/>
      <c r="C87" s="2"/>
    </row>
    <row r="88" spans="1:3">
      <c r="B88" s="1"/>
      <c r="C88" s="2"/>
    </row>
    <row r="89" spans="1:3">
      <c r="B89" s="1"/>
      <c r="C89" s="2"/>
    </row>
    <row r="90" spans="1:3">
      <c r="B90" s="1"/>
      <c r="C90" s="2"/>
    </row>
    <row r="91" spans="1:3">
      <c r="B91" s="1"/>
      <c r="C91" s="2"/>
    </row>
    <row r="92" spans="1:3">
      <c r="B92" s="1"/>
      <c r="C92" s="2"/>
    </row>
    <row r="93" spans="1:3">
      <c r="B93" s="1"/>
      <c r="C93" s="2"/>
    </row>
    <row r="94" spans="1:3">
      <c r="B94" s="1"/>
      <c r="C94" s="2"/>
    </row>
    <row r="95" spans="1:3">
      <c r="A95" s="3"/>
      <c r="B95" s="1"/>
      <c r="C95" s="2"/>
    </row>
    <row r="96" spans="1:3">
      <c r="B96" s="1"/>
      <c r="C96" s="2"/>
    </row>
    <row r="97" spans="1:3">
      <c r="B97" s="1"/>
      <c r="C97" s="2"/>
    </row>
    <row r="98" spans="1:3">
      <c r="B98" s="1"/>
      <c r="C98" s="2"/>
    </row>
    <row r="99" spans="1:3">
      <c r="B99" s="1"/>
      <c r="C99" s="2"/>
    </row>
    <row r="100" spans="1:3">
      <c r="B100" s="1"/>
      <c r="C100" s="2"/>
    </row>
    <row r="101" spans="1:3">
      <c r="B101" s="1"/>
      <c r="C101" s="2"/>
    </row>
    <row r="102" spans="1:3">
      <c r="B102" s="1"/>
      <c r="C102" s="2"/>
    </row>
    <row r="103" spans="1:3">
      <c r="B103" s="1"/>
      <c r="C103" s="2"/>
    </row>
    <row r="104" spans="1:3">
      <c r="B104" s="1"/>
      <c r="C104" s="2"/>
    </row>
    <row r="105" spans="1:3">
      <c r="B105" s="1"/>
      <c r="C105" s="2"/>
    </row>
    <row r="106" spans="1:3">
      <c r="B106" s="1"/>
      <c r="C106" s="2"/>
    </row>
    <row r="107" spans="1:3">
      <c r="B107" s="1"/>
      <c r="C107" s="2"/>
    </row>
    <row r="108" spans="1:3">
      <c r="B108" s="1"/>
      <c r="C108" s="2"/>
    </row>
    <row r="109" spans="1:3">
      <c r="A109" s="3"/>
      <c r="B109" s="1"/>
      <c r="C109" s="2"/>
    </row>
    <row r="110" spans="1:3">
      <c r="A110" s="3"/>
      <c r="B110" s="1"/>
      <c r="C110" s="2"/>
    </row>
    <row r="111" spans="1:3">
      <c r="B111" s="1"/>
      <c r="C111" s="2"/>
    </row>
    <row r="112" spans="1:3">
      <c r="B112" s="1"/>
      <c r="C112" s="2"/>
    </row>
    <row r="113" spans="1:3">
      <c r="B113" s="1"/>
      <c r="C113" s="2"/>
    </row>
    <row r="114" spans="1:3">
      <c r="B114" s="1"/>
      <c r="C114" s="2"/>
    </row>
    <row r="115" spans="1:3">
      <c r="B115" s="1"/>
      <c r="C115" s="2"/>
    </row>
    <row r="116" spans="1:3">
      <c r="B116" s="1"/>
      <c r="C116" s="2"/>
    </row>
    <row r="117" spans="1:3">
      <c r="B117" s="1"/>
      <c r="C117" s="2"/>
    </row>
    <row r="118" spans="1:3">
      <c r="B118" s="1"/>
      <c r="C118" s="2"/>
    </row>
    <row r="119" spans="1:3">
      <c r="B119" s="1"/>
      <c r="C119" s="2"/>
    </row>
    <row r="120" spans="1:3">
      <c r="B120" s="1"/>
      <c r="C120" s="2"/>
    </row>
    <row r="121" spans="1:3">
      <c r="B121" s="1"/>
      <c r="C121" s="2"/>
    </row>
    <row r="122" spans="1:3">
      <c r="B122" s="1"/>
      <c r="C122" s="2"/>
    </row>
    <row r="123" spans="1:3">
      <c r="B123" s="1"/>
      <c r="C123" s="2"/>
    </row>
    <row r="124" spans="1:3">
      <c r="B124" s="1"/>
      <c r="C124" s="2"/>
    </row>
    <row r="125" spans="1:3">
      <c r="B125" s="1"/>
      <c r="C125" s="2"/>
    </row>
    <row r="126" spans="1:3">
      <c r="B126" s="1"/>
      <c r="C126" s="2"/>
    </row>
    <row r="127" spans="1:3">
      <c r="B127" s="1"/>
      <c r="C127" s="2"/>
    </row>
    <row r="128" spans="1:3">
      <c r="A128" s="3"/>
      <c r="B128" s="1"/>
      <c r="C128" s="2"/>
    </row>
    <row r="129" spans="1:3">
      <c r="B129" s="1"/>
      <c r="C129" s="2"/>
    </row>
    <row r="130" spans="1:3">
      <c r="B130" s="1"/>
      <c r="C130" s="2"/>
    </row>
    <row r="131" spans="1:3">
      <c r="A131" s="3"/>
      <c r="B131" s="1"/>
      <c r="C131" s="2"/>
    </row>
    <row r="132" spans="1:3">
      <c r="B132" s="1"/>
      <c r="C132" s="2"/>
    </row>
    <row r="133" spans="1:3">
      <c r="A133" s="3"/>
      <c r="B133" s="1"/>
      <c r="C133" s="2"/>
    </row>
    <row r="134" spans="1:3">
      <c r="B134" s="1"/>
      <c r="C134" s="2"/>
    </row>
    <row r="135" spans="1:3">
      <c r="B135" s="1"/>
      <c r="C135" s="2"/>
    </row>
    <row r="136" spans="1:3">
      <c r="B136" s="1"/>
      <c r="C136" s="2"/>
    </row>
    <row r="137" spans="1:3">
      <c r="B137" s="1"/>
      <c r="C137" s="2"/>
    </row>
    <row r="138" spans="1:3">
      <c r="B138" s="1"/>
      <c r="C138" s="2"/>
    </row>
    <row r="139" spans="1:3">
      <c r="B139" s="1"/>
      <c r="C139" s="2"/>
    </row>
    <row r="140" spans="1:3">
      <c r="B140" s="1"/>
      <c r="C140" s="2"/>
    </row>
    <row r="141" spans="1:3">
      <c r="B141" s="1"/>
      <c r="C141" s="2"/>
    </row>
    <row r="142" spans="1:3">
      <c r="B142" s="1"/>
      <c r="C142" s="2"/>
    </row>
    <row r="143" spans="1:3">
      <c r="B143" s="1"/>
      <c r="C143" s="2"/>
    </row>
    <row r="144" spans="1:3">
      <c r="B144" s="1"/>
      <c r="C144" s="2"/>
    </row>
    <row r="145" spans="1:3">
      <c r="B145" s="1"/>
      <c r="C145" s="2"/>
    </row>
    <row r="146" spans="1:3">
      <c r="B146" s="1"/>
      <c r="C146" s="2"/>
    </row>
    <row r="147" spans="1:3">
      <c r="B147" s="1"/>
      <c r="C147" s="2"/>
    </row>
    <row r="148" spans="1:3">
      <c r="B148" s="1"/>
      <c r="C148" s="2"/>
    </row>
    <row r="149" spans="1:3">
      <c r="B149" s="1"/>
      <c r="C149" s="2"/>
    </row>
    <row r="150" spans="1:3">
      <c r="B150" s="1"/>
      <c r="C150" s="2"/>
    </row>
    <row r="151" spans="1:3">
      <c r="B151" s="1"/>
      <c r="C151" s="2"/>
    </row>
    <row r="152" spans="1:3">
      <c r="B152" s="1"/>
      <c r="C152" s="2"/>
    </row>
    <row r="153" spans="1:3">
      <c r="B153" s="1"/>
      <c r="C153" s="2"/>
    </row>
    <row r="154" spans="1:3">
      <c r="B154" s="1"/>
      <c r="C154" s="2"/>
    </row>
    <row r="155" spans="1:3">
      <c r="B155" s="1"/>
      <c r="C155" s="2"/>
    </row>
    <row r="156" spans="1:3">
      <c r="B156" s="1"/>
      <c r="C156" s="2"/>
    </row>
    <row r="157" spans="1:3">
      <c r="B157" s="1"/>
      <c r="C157" s="2"/>
    </row>
    <row r="158" spans="1:3">
      <c r="B158" s="1"/>
      <c r="C158" s="2"/>
    </row>
    <row r="159" spans="1:3">
      <c r="A159" s="3"/>
      <c r="B159" s="1"/>
      <c r="C159" s="2"/>
    </row>
    <row r="160" spans="1:3">
      <c r="B160" s="1"/>
      <c r="C160" s="2"/>
    </row>
    <row r="161" spans="1:3">
      <c r="A161" s="3"/>
      <c r="B161" s="1"/>
      <c r="C161" s="2"/>
    </row>
    <row r="162" spans="1:3">
      <c r="B162" s="1"/>
      <c r="C162" s="2"/>
    </row>
    <row r="163" spans="1:3">
      <c r="B163" s="1"/>
      <c r="C163" s="2"/>
    </row>
    <row r="164" spans="1:3">
      <c r="B164" s="1"/>
      <c r="C164" s="2"/>
    </row>
    <row r="165" spans="1:3">
      <c r="B165" s="1"/>
      <c r="C165" s="2"/>
    </row>
    <row r="166" spans="1:3">
      <c r="B166" s="1"/>
      <c r="C166" s="2"/>
    </row>
    <row r="167" spans="1:3">
      <c r="B167" s="1"/>
      <c r="C167" s="2"/>
    </row>
    <row r="168" spans="1:3">
      <c r="B168" s="1"/>
      <c r="C168" s="2"/>
    </row>
    <row r="169" spans="1:3">
      <c r="A169" s="3"/>
      <c r="B169" s="1"/>
      <c r="C169" s="2"/>
    </row>
    <row r="170" spans="1:3">
      <c r="A170" s="3"/>
      <c r="B170" s="1"/>
      <c r="C170" s="2"/>
    </row>
    <row r="171" spans="1:3">
      <c r="B171" s="1"/>
      <c r="C171" s="2"/>
    </row>
    <row r="172" spans="1:3">
      <c r="B172" s="1"/>
      <c r="C172" s="2"/>
    </row>
    <row r="173" spans="1:3">
      <c r="B173" s="1"/>
      <c r="C173" s="2"/>
    </row>
    <row r="174" spans="1:3">
      <c r="B174" s="1"/>
      <c r="C174" s="2"/>
    </row>
    <row r="175" spans="1:3">
      <c r="B175" s="1"/>
      <c r="C175" s="2"/>
    </row>
    <row r="176" spans="1:3">
      <c r="B176" s="1"/>
      <c r="C176" s="2"/>
    </row>
    <row r="177" spans="1:3">
      <c r="B177" s="1"/>
      <c r="C177" s="2"/>
    </row>
    <row r="178" spans="1:3">
      <c r="A178" s="3"/>
      <c r="B178" s="1"/>
      <c r="C178" s="2"/>
    </row>
    <row r="179" spans="1:3">
      <c r="A179" s="3"/>
      <c r="B179" s="1"/>
      <c r="C179" s="2"/>
    </row>
    <row r="180" spans="1:3">
      <c r="B180" s="1"/>
      <c r="C180" s="2"/>
    </row>
    <row r="181" spans="1:3">
      <c r="B181" s="1"/>
      <c r="C181" s="2"/>
    </row>
    <row r="182" spans="1:3">
      <c r="B182" s="1"/>
      <c r="C182" s="2"/>
    </row>
    <row r="183" spans="1:3">
      <c r="B183" s="1"/>
      <c r="C183" s="2"/>
    </row>
    <row r="184" spans="1:3">
      <c r="B184" s="1"/>
      <c r="C184" s="2"/>
    </row>
    <row r="185" spans="1:3">
      <c r="B185" s="1"/>
      <c r="C185" s="2"/>
    </row>
    <row r="186" spans="1:3">
      <c r="A186" s="3"/>
      <c r="B186" s="1"/>
      <c r="C186" s="2"/>
    </row>
    <row r="187" spans="1:3">
      <c r="A187" s="3"/>
      <c r="B187" s="1"/>
      <c r="C187" s="2"/>
    </row>
    <row r="188" spans="1:3">
      <c r="A188" s="3"/>
      <c r="B188" s="1"/>
      <c r="C188" s="2"/>
    </row>
    <row r="189" spans="1:3">
      <c r="B189" s="1"/>
      <c r="C189" s="2"/>
    </row>
    <row r="190" spans="1:3">
      <c r="A190" s="3"/>
      <c r="B190" s="1"/>
      <c r="C190" s="2"/>
    </row>
    <row r="191" spans="1:3">
      <c r="B191" s="1"/>
      <c r="C191" s="2"/>
    </row>
    <row r="192" spans="1:3">
      <c r="A192" s="3"/>
      <c r="B192" s="1"/>
      <c r="C192" s="2"/>
    </row>
    <row r="193" spans="1:3">
      <c r="B193" s="1"/>
      <c r="C193" s="2"/>
    </row>
    <row r="194" spans="1:3">
      <c r="A194" s="3"/>
      <c r="B194" s="1"/>
      <c r="C194" s="2"/>
    </row>
    <row r="195" spans="1:3">
      <c r="A195" s="3"/>
      <c r="B195" s="1"/>
      <c r="C195" s="2"/>
    </row>
    <row r="196" spans="1:3">
      <c r="A196" s="3"/>
      <c r="B196" s="1"/>
      <c r="C196" s="2"/>
    </row>
    <row r="197" spans="1:3">
      <c r="B197" s="1"/>
      <c r="C197" s="2"/>
    </row>
    <row r="198" spans="1:3">
      <c r="B198" s="1"/>
      <c r="C198" s="2"/>
    </row>
    <row r="199" spans="1:3">
      <c r="B199" s="1"/>
      <c r="C199" s="2"/>
    </row>
    <row r="200" spans="1:3">
      <c r="B200" s="1"/>
      <c r="C200" s="2"/>
    </row>
    <row r="201" spans="1:3">
      <c r="B201" s="1"/>
      <c r="C201" s="2"/>
    </row>
    <row r="202" spans="1:3">
      <c r="B202" s="1"/>
      <c r="C202" s="2"/>
    </row>
    <row r="203" spans="1:3">
      <c r="A203" s="3"/>
      <c r="B203" s="1"/>
      <c r="C203" s="2"/>
    </row>
    <row r="204" spans="1:3">
      <c r="B204" s="1"/>
      <c r="C204" s="2"/>
    </row>
    <row r="205" spans="1:3">
      <c r="B205" s="1"/>
      <c r="C205" s="2"/>
    </row>
    <row r="206" spans="1:3">
      <c r="B206" s="1"/>
      <c r="C206" s="2"/>
    </row>
    <row r="207" spans="1:3">
      <c r="B207" s="1"/>
      <c r="C207" s="2"/>
    </row>
    <row r="208" spans="1:3">
      <c r="B208" s="1"/>
      <c r="C208" s="2"/>
    </row>
    <row r="209" spans="1:3">
      <c r="B209" s="1"/>
      <c r="C209" s="2"/>
    </row>
    <row r="210" spans="1:3">
      <c r="B210" s="1"/>
      <c r="C210" s="2"/>
    </row>
    <row r="211" spans="1:3">
      <c r="B211" s="1"/>
      <c r="C211" s="2"/>
    </row>
    <row r="212" spans="1:3">
      <c r="B212" s="1"/>
      <c r="C212" s="2"/>
    </row>
    <row r="213" spans="1:3">
      <c r="A213" s="3"/>
      <c r="B213" s="1"/>
      <c r="C213" s="2"/>
    </row>
    <row r="214" spans="1:3">
      <c r="A214" s="3"/>
      <c r="B214" s="1"/>
      <c r="C214" s="2"/>
    </row>
    <row r="215" spans="1:3">
      <c r="B215" s="1"/>
      <c r="C215" s="2"/>
    </row>
    <row r="216" spans="1:3">
      <c r="B216" s="1"/>
      <c r="C216" s="2"/>
    </row>
    <row r="217" spans="1:3">
      <c r="B217" s="1"/>
      <c r="C217" s="2"/>
    </row>
    <row r="218" spans="1:3">
      <c r="B218" s="1"/>
      <c r="C218" s="2"/>
    </row>
    <row r="219" spans="1:3">
      <c r="B219" s="1"/>
      <c r="C219" s="2"/>
    </row>
    <row r="220" spans="1:3">
      <c r="B220" s="1"/>
      <c r="C220" s="2"/>
    </row>
    <row r="221" spans="1:3">
      <c r="B221" s="1"/>
      <c r="C221" s="2"/>
    </row>
    <row r="222" spans="1:3">
      <c r="A222" s="3"/>
      <c r="B222" s="1"/>
      <c r="C222" s="2"/>
    </row>
    <row r="223" spans="1:3">
      <c r="A223" s="3"/>
      <c r="B223" s="1"/>
      <c r="C223" s="2"/>
    </row>
    <row r="224" spans="1:3">
      <c r="B224" s="1"/>
      <c r="C224" s="2"/>
    </row>
    <row r="225" spans="1:3">
      <c r="B225" s="1"/>
      <c r="C225" s="2"/>
    </row>
    <row r="226" spans="1:3">
      <c r="B226" s="1"/>
      <c r="C226" s="2"/>
    </row>
    <row r="227" spans="1:3">
      <c r="B227" s="1"/>
      <c r="C227" s="2"/>
    </row>
    <row r="228" spans="1:3">
      <c r="B228" s="1"/>
      <c r="C228" s="2"/>
    </row>
    <row r="229" spans="1:3">
      <c r="B229" s="1"/>
      <c r="C229" s="2"/>
    </row>
    <row r="230" spans="1:3">
      <c r="A230" s="3"/>
      <c r="B230" s="1"/>
      <c r="C230" s="2"/>
    </row>
    <row r="231" spans="1:3">
      <c r="A231" s="3"/>
      <c r="B231" s="1"/>
      <c r="C231" s="2"/>
    </row>
    <row r="232" spans="1:3">
      <c r="A232" s="3"/>
      <c r="B232" s="1"/>
      <c r="C232" s="2"/>
    </row>
    <row r="233" spans="1:3">
      <c r="B233" s="1"/>
      <c r="C233" s="2"/>
    </row>
    <row r="234" spans="1:3">
      <c r="A234" s="3"/>
      <c r="B234" s="1"/>
      <c r="C234" s="2"/>
    </row>
    <row r="235" spans="1:3">
      <c r="B235" s="1"/>
      <c r="C235" s="2"/>
    </row>
    <row r="236" spans="1:3">
      <c r="B236" s="1"/>
      <c r="C236" s="2"/>
    </row>
    <row r="237" spans="1:3">
      <c r="B237" s="1"/>
      <c r="C237" s="2"/>
    </row>
    <row r="238" spans="1:3">
      <c r="B238" s="1"/>
      <c r="C238" s="2"/>
    </row>
    <row r="239" spans="1:3">
      <c r="B239" s="1"/>
      <c r="C239" s="2"/>
    </row>
    <row r="240" spans="1:3">
      <c r="B240" s="1"/>
      <c r="C240" s="2"/>
    </row>
    <row r="241" spans="2:3">
      <c r="B241" s="1"/>
      <c r="C241" s="2"/>
    </row>
    <row r="242" spans="2:3">
      <c r="B242" s="1"/>
      <c r="C242" s="2"/>
    </row>
    <row r="243" spans="2:3">
      <c r="B243" s="1"/>
      <c r="C243" s="2"/>
    </row>
    <row r="244" spans="2:3">
      <c r="B244" s="1"/>
      <c r="C244" s="2"/>
    </row>
    <row r="245" spans="2:3">
      <c r="B245" s="1"/>
      <c r="C245" s="2"/>
    </row>
    <row r="246" spans="2:3">
      <c r="B246" s="1"/>
      <c r="C246" s="2"/>
    </row>
    <row r="247" spans="2:3">
      <c r="B247" s="1"/>
      <c r="C247" s="2"/>
    </row>
    <row r="248" spans="2:3">
      <c r="B248" s="1"/>
      <c r="C248" s="2"/>
    </row>
    <row r="249" spans="2:3">
      <c r="B249" s="1"/>
      <c r="C249" s="2"/>
    </row>
    <row r="250" spans="2:3">
      <c r="B250" s="1"/>
      <c r="C250" s="2"/>
    </row>
    <row r="251" spans="2:3">
      <c r="B251" s="1"/>
      <c r="C251" s="2"/>
    </row>
    <row r="252" spans="2:3">
      <c r="B252" s="1"/>
      <c r="C252" s="2"/>
    </row>
    <row r="253" spans="2:3">
      <c r="B253" s="1"/>
      <c r="C253" s="2"/>
    </row>
    <row r="254" spans="2:3">
      <c r="B254" s="1"/>
      <c r="C254" s="2"/>
    </row>
    <row r="255" spans="2:3">
      <c r="B255" s="1"/>
      <c r="C255" s="2"/>
    </row>
    <row r="256" spans="2:3">
      <c r="B256" s="1"/>
      <c r="C256" s="2"/>
    </row>
    <row r="257" spans="2:3">
      <c r="B257" s="1"/>
      <c r="C257" s="2"/>
    </row>
    <row r="258" spans="2:3">
      <c r="B258" s="1"/>
      <c r="C258" s="2"/>
    </row>
    <row r="259" spans="2:3">
      <c r="B259" s="1"/>
      <c r="C259" s="2"/>
    </row>
    <row r="260" spans="2:3">
      <c r="B260" s="1"/>
      <c r="C260" s="2"/>
    </row>
    <row r="261" spans="2:3">
      <c r="B261" s="1"/>
      <c r="C261" s="2"/>
    </row>
    <row r="262" spans="2:3">
      <c r="B262" s="1"/>
      <c r="C262" s="2"/>
    </row>
    <row r="263" spans="2:3">
      <c r="B263" s="1"/>
      <c r="C263" s="2"/>
    </row>
    <row r="264" spans="2:3">
      <c r="B264" s="1"/>
      <c r="C264" s="2"/>
    </row>
    <row r="265" spans="2:3">
      <c r="B265" s="1"/>
      <c r="C265" s="2"/>
    </row>
    <row r="266" spans="2:3">
      <c r="B266" s="1"/>
      <c r="C266" s="2"/>
    </row>
    <row r="267" spans="2:3">
      <c r="B267" s="1"/>
      <c r="C267" s="2"/>
    </row>
    <row r="268" spans="2:3">
      <c r="B268" s="1"/>
      <c r="C268" s="2"/>
    </row>
    <row r="269" spans="2:3">
      <c r="B269" s="1"/>
      <c r="C269" s="2"/>
    </row>
    <row r="270" spans="2:3">
      <c r="B270" s="1"/>
      <c r="C270" s="2"/>
    </row>
    <row r="271" spans="2:3">
      <c r="B271" s="1"/>
      <c r="C271" s="2"/>
    </row>
    <row r="272" spans="2:3">
      <c r="B272" s="1"/>
      <c r="C272" s="2"/>
    </row>
    <row r="273" spans="2:3">
      <c r="B273" s="1"/>
      <c r="C273" s="2"/>
    </row>
    <row r="274" spans="2:3">
      <c r="B274" s="1"/>
      <c r="C274" s="2"/>
    </row>
    <row r="275" spans="2:3">
      <c r="B275" s="1"/>
      <c r="C275" s="2"/>
    </row>
    <row r="276" spans="2:3">
      <c r="B276" s="1"/>
      <c r="C276" s="2"/>
    </row>
    <row r="277" spans="2:3">
      <c r="B277" s="1"/>
      <c r="C277" s="2"/>
    </row>
    <row r="278" spans="2:3">
      <c r="B278" s="1"/>
      <c r="C278" s="2"/>
    </row>
    <row r="279" spans="2:3">
      <c r="B279" s="1"/>
      <c r="C279" s="2"/>
    </row>
    <row r="280" spans="2:3">
      <c r="B280" s="1"/>
      <c r="C280" s="2"/>
    </row>
    <row r="281" spans="2:3">
      <c r="B281" s="1"/>
      <c r="C281" s="2"/>
    </row>
    <row r="282" spans="2:3">
      <c r="B282" s="1"/>
      <c r="C282" s="2"/>
    </row>
    <row r="283" spans="2:3">
      <c r="B283" s="1"/>
      <c r="C283" s="2"/>
    </row>
    <row r="284" spans="2:3">
      <c r="B284" s="1"/>
      <c r="C284" s="2"/>
    </row>
    <row r="285" spans="2:3">
      <c r="B285" s="1"/>
      <c r="C285" s="2"/>
    </row>
    <row r="286" spans="2:3">
      <c r="B286" s="1"/>
      <c r="C286" s="2"/>
    </row>
    <row r="287" spans="2:3">
      <c r="B287" s="1"/>
      <c r="C287" s="2"/>
    </row>
    <row r="288" spans="2:3">
      <c r="B288" s="1"/>
      <c r="C288" s="2"/>
    </row>
    <row r="289" spans="2:3">
      <c r="B289" s="1"/>
      <c r="C289" s="2"/>
    </row>
    <row r="290" spans="2:3">
      <c r="B290" s="1"/>
      <c r="C290" s="2"/>
    </row>
    <row r="291" spans="2:3">
      <c r="B291" s="1"/>
      <c r="C291" s="2"/>
    </row>
    <row r="292" spans="2:3">
      <c r="B292" s="1"/>
      <c r="C292" s="2"/>
    </row>
    <row r="293" spans="2:3">
      <c r="B293" s="1"/>
      <c r="C293" s="2"/>
    </row>
    <row r="294" spans="2:3">
      <c r="B294" s="1"/>
      <c r="C294" s="2"/>
    </row>
    <row r="295" spans="2:3">
      <c r="B295" s="1"/>
      <c r="C295" s="2"/>
    </row>
    <row r="296" spans="2:3">
      <c r="B296" s="1"/>
      <c r="C296" s="2"/>
    </row>
    <row r="297" spans="2:3">
      <c r="B297" s="1"/>
      <c r="C297" s="2"/>
    </row>
    <row r="298" spans="2:3">
      <c r="B298" s="1"/>
      <c r="C298" s="2"/>
    </row>
    <row r="299" spans="2:3">
      <c r="B299" s="1"/>
      <c r="C299" s="2"/>
    </row>
    <row r="300" spans="2:3">
      <c r="B300" s="1"/>
      <c r="C300" s="2"/>
    </row>
    <row r="301" spans="2:3">
      <c r="B301" s="1"/>
      <c r="C301" s="2"/>
    </row>
    <row r="302" spans="2:3">
      <c r="B302" s="1"/>
      <c r="C302" s="2"/>
    </row>
    <row r="303" spans="2:3">
      <c r="B303" s="1"/>
      <c r="C303" s="2"/>
    </row>
    <row r="304" spans="2:3">
      <c r="B304" s="1"/>
      <c r="C304" s="2"/>
    </row>
    <row r="305" spans="2:3">
      <c r="B305" s="1"/>
      <c r="C305" s="2"/>
    </row>
    <row r="306" spans="2:3">
      <c r="B306" s="1"/>
      <c r="C306" s="2"/>
    </row>
    <row r="307" spans="2:3">
      <c r="B307" s="1"/>
      <c r="C307" s="2"/>
    </row>
    <row r="308" spans="2:3">
      <c r="B308" s="1"/>
      <c r="C308" s="2"/>
    </row>
    <row r="309" spans="2:3">
      <c r="B309" s="1"/>
      <c r="C309" s="2"/>
    </row>
    <row r="310" spans="2:3">
      <c r="B310" s="1"/>
      <c r="C310" s="2"/>
    </row>
    <row r="311" spans="2:3">
      <c r="B311" s="1"/>
      <c r="C311" s="2"/>
    </row>
    <row r="312" spans="2:3">
      <c r="B312" s="1"/>
      <c r="C312" s="2"/>
    </row>
    <row r="313" spans="2:3">
      <c r="B313" s="1"/>
      <c r="C313" s="2"/>
    </row>
    <row r="314" spans="2:3">
      <c r="B314" s="1"/>
      <c r="C314" s="2"/>
    </row>
    <row r="315" spans="2:3">
      <c r="B315" s="1"/>
      <c r="C315" s="2"/>
    </row>
    <row r="316" spans="2:3">
      <c r="B316" s="1"/>
      <c r="C316" s="2"/>
    </row>
    <row r="317" spans="2:3">
      <c r="B317" s="1"/>
      <c r="C317" s="2"/>
    </row>
    <row r="318" spans="2:3">
      <c r="B318" s="1"/>
      <c r="C318" s="2"/>
    </row>
    <row r="319" spans="2:3">
      <c r="B319" s="1"/>
      <c r="C319" s="2"/>
    </row>
    <row r="320" spans="2:3">
      <c r="B320" s="1"/>
      <c r="C320" s="2"/>
    </row>
    <row r="321" spans="2:3">
      <c r="B321" s="1"/>
      <c r="C321" s="2"/>
    </row>
    <row r="322" spans="2:3">
      <c r="B322" s="1"/>
      <c r="C322" s="2"/>
    </row>
    <row r="323" spans="2:3">
      <c r="B323" s="1"/>
      <c r="C323" s="2"/>
    </row>
    <row r="324" spans="2:3">
      <c r="B324" s="1"/>
      <c r="C324" s="2"/>
    </row>
    <row r="325" spans="2:3">
      <c r="B325" s="1"/>
      <c r="C325" s="2"/>
    </row>
    <row r="326" spans="2:3">
      <c r="B326" s="1"/>
      <c r="C326" s="2"/>
    </row>
    <row r="327" spans="2:3">
      <c r="B327" s="1"/>
      <c r="C327" s="2"/>
    </row>
    <row r="328" spans="2:3">
      <c r="B328" s="1"/>
      <c r="C328" s="2"/>
    </row>
    <row r="329" spans="2:3">
      <c r="B329" s="1"/>
      <c r="C329" s="2"/>
    </row>
    <row r="330" spans="2:3">
      <c r="B330" s="1"/>
      <c r="C330" s="2"/>
    </row>
    <row r="331" spans="2:3">
      <c r="B331" s="1"/>
      <c r="C331" s="2"/>
    </row>
    <row r="332" spans="2:3">
      <c r="B332" s="1"/>
      <c r="C332" s="2"/>
    </row>
    <row r="333" spans="2:3">
      <c r="B333" s="1"/>
      <c r="C333" s="2"/>
    </row>
    <row r="334" spans="2:3">
      <c r="B334" s="1"/>
      <c r="C334" s="2"/>
    </row>
    <row r="335" spans="2:3">
      <c r="B335" s="1"/>
      <c r="C335" s="2"/>
    </row>
    <row r="336" spans="2:3">
      <c r="B336" s="1"/>
      <c r="C336" s="2"/>
    </row>
    <row r="337" spans="2:3">
      <c r="B337" s="1"/>
      <c r="C337" s="2"/>
    </row>
    <row r="338" spans="2:3">
      <c r="B338" s="1"/>
      <c r="C338" s="2"/>
    </row>
    <row r="339" spans="2:3">
      <c r="B339" s="1"/>
      <c r="C339" s="2"/>
    </row>
    <row r="340" spans="2:3">
      <c r="B340" s="1"/>
      <c r="C340" s="2"/>
    </row>
    <row r="341" spans="2:3">
      <c r="B341" s="1"/>
      <c r="C341" s="2"/>
    </row>
    <row r="342" spans="2:3">
      <c r="B342" s="1"/>
      <c r="C342" s="2"/>
    </row>
    <row r="343" spans="2:3">
      <c r="B343" s="1"/>
      <c r="C343" s="2"/>
    </row>
    <row r="344" spans="2:3">
      <c r="B344" s="1"/>
      <c r="C344" s="2"/>
    </row>
    <row r="345" spans="2:3">
      <c r="B345" s="1"/>
      <c r="C345" s="2"/>
    </row>
    <row r="346" spans="2:3">
      <c r="B346" s="1"/>
      <c r="C346" s="2"/>
    </row>
    <row r="347" spans="2:3">
      <c r="B347" s="1"/>
      <c r="C347" s="2"/>
    </row>
    <row r="348" spans="2:3">
      <c r="B348" s="1"/>
      <c r="C348" s="2"/>
    </row>
    <row r="349" spans="2:3">
      <c r="B349" s="1"/>
      <c r="C349" s="2"/>
    </row>
    <row r="350" spans="2:3">
      <c r="B350" s="1"/>
      <c r="C350" s="2"/>
    </row>
    <row r="351" spans="2:3">
      <c r="B351" s="1"/>
      <c r="C351" s="2"/>
    </row>
    <row r="352" spans="2:3">
      <c r="B352" s="1"/>
      <c r="C352" s="2"/>
    </row>
    <row r="353" spans="2:3">
      <c r="B353" s="1"/>
      <c r="C353" s="2"/>
    </row>
    <row r="354" spans="2:3">
      <c r="B354" s="1"/>
      <c r="C354" s="2"/>
    </row>
    <row r="355" spans="2:3">
      <c r="B355" s="1"/>
      <c r="C355" s="2"/>
    </row>
    <row r="356" spans="2:3">
      <c r="B356" s="1"/>
      <c r="C356" s="2"/>
    </row>
    <row r="357" spans="2:3">
      <c r="B357" s="1"/>
      <c r="C357" s="2"/>
    </row>
    <row r="358" spans="2:3">
      <c r="B358" s="1"/>
      <c r="C358" s="2"/>
    </row>
    <row r="359" spans="2:3">
      <c r="B359" s="1"/>
      <c r="C359" s="2"/>
    </row>
    <row r="360" spans="2:3">
      <c r="B360" s="1"/>
      <c r="C360" s="2"/>
    </row>
    <row r="361" spans="2:3">
      <c r="B361" s="1"/>
      <c r="C361" s="2"/>
    </row>
    <row r="362" spans="2:3">
      <c r="B362" s="1"/>
      <c r="C362" s="2"/>
    </row>
    <row r="363" spans="2:3">
      <c r="B363" s="1"/>
      <c r="C363" s="2"/>
    </row>
    <row r="364" spans="2:3">
      <c r="B364" s="1"/>
      <c r="C364" s="2"/>
    </row>
    <row r="365" spans="2:3">
      <c r="B365" s="1"/>
      <c r="C365" s="2"/>
    </row>
    <row r="366" spans="2:3">
      <c r="B366" s="1"/>
      <c r="C366" s="2"/>
    </row>
    <row r="367" spans="2:3">
      <c r="B367" s="1"/>
      <c r="C367" s="2"/>
    </row>
    <row r="368" spans="2:3">
      <c r="B368" s="1"/>
      <c r="C368" s="2"/>
    </row>
    <row r="369" spans="2:3">
      <c r="B369" s="1"/>
      <c r="C369" s="2"/>
    </row>
    <row r="370" spans="2:3">
      <c r="B370" s="1"/>
      <c r="C370" s="2"/>
    </row>
    <row r="371" spans="2:3">
      <c r="B371" s="1"/>
      <c r="C371" s="2"/>
    </row>
    <row r="372" spans="2:3">
      <c r="B372" s="1"/>
      <c r="C372" s="2"/>
    </row>
    <row r="373" spans="2:3">
      <c r="B373" s="1"/>
      <c r="C373" s="2"/>
    </row>
    <row r="374" spans="2:3">
      <c r="B374" s="1"/>
      <c r="C374" s="2"/>
    </row>
    <row r="375" spans="2:3">
      <c r="B375" s="1"/>
      <c r="C375" s="2"/>
    </row>
    <row r="376" spans="2:3">
      <c r="B376" s="1"/>
      <c r="C376" s="2"/>
    </row>
    <row r="377" spans="2:3">
      <c r="B377" s="1"/>
      <c r="C377" s="2"/>
    </row>
    <row r="378" spans="2:3">
      <c r="B378" s="1"/>
      <c r="C378" s="2"/>
    </row>
    <row r="379" spans="2:3">
      <c r="B379" s="1"/>
      <c r="C379" s="2"/>
    </row>
    <row r="380" spans="2:3">
      <c r="B380" s="1"/>
      <c r="C380" s="2"/>
    </row>
    <row r="381" spans="2:3">
      <c r="B381" s="1"/>
      <c r="C381" s="2"/>
    </row>
    <row r="382" spans="2:3">
      <c r="B382" s="1"/>
      <c r="C382" s="2"/>
    </row>
    <row r="383" spans="2:3">
      <c r="B383" s="1"/>
      <c r="C383" s="2"/>
    </row>
    <row r="384" spans="2:3">
      <c r="B384" s="1"/>
      <c r="C384" s="2"/>
    </row>
    <row r="385" spans="2:3">
      <c r="B385" s="1"/>
      <c r="C385" s="2"/>
    </row>
    <row r="386" spans="2:3">
      <c r="B386" s="1"/>
      <c r="C386" s="2"/>
    </row>
    <row r="387" spans="2:3">
      <c r="B387" s="1"/>
      <c r="C387" s="2"/>
    </row>
    <row r="388" spans="2:3">
      <c r="B388" s="1"/>
      <c r="C388" s="2"/>
    </row>
    <row r="389" spans="2:3">
      <c r="B389" s="1"/>
      <c r="C389" s="2"/>
    </row>
    <row r="390" spans="2:3">
      <c r="B390" s="1"/>
      <c r="C390" s="2"/>
    </row>
    <row r="391" spans="2:3">
      <c r="B391" s="1"/>
      <c r="C391" s="2"/>
    </row>
    <row r="392" spans="2:3">
      <c r="B392" s="1"/>
      <c r="C392" s="2"/>
    </row>
    <row r="393" spans="2:3">
      <c r="B393" s="1"/>
      <c r="C393" s="2"/>
    </row>
    <row r="394" spans="2:3">
      <c r="B394" s="1"/>
      <c r="C394" s="2"/>
    </row>
    <row r="395" spans="2:3">
      <c r="B395" s="1"/>
      <c r="C395" s="2"/>
    </row>
    <row r="396" spans="2:3">
      <c r="B396" s="1"/>
      <c r="C396" s="2"/>
    </row>
    <row r="397" spans="2:3">
      <c r="B397" s="1"/>
      <c r="C397" s="2"/>
    </row>
    <row r="398" spans="2:3">
      <c r="B398" s="1"/>
      <c r="C398" s="2"/>
    </row>
    <row r="399" spans="2:3">
      <c r="B399" s="1"/>
      <c r="C399" s="2"/>
    </row>
    <row r="400" spans="2:3">
      <c r="B400" s="1"/>
      <c r="C400" s="2"/>
    </row>
    <row r="401" spans="2:3">
      <c r="B401" s="1"/>
      <c r="C401" s="2"/>
    </row>
    <row r="402" spans="2:3">
      <c r="B402" s="1"/>
      <c r="C402" s="2"/>
    </row>
    <row r="403" spans="2:3">
      <c r="B403" s="1"/>
      <c r="C403" s="2"/>
    </row>
    <row r="404" spans="2:3">
      <c r="B404" s="1"/>
      <c r="C404" s="2"/>
    </row>
    <row r="405" spans="2:3">
      <c r="B405" s="1"/>
      <c r="C405" s="2"/>
    </row>
    <row r="406" spans="2:3">
      <c r="B406" s="1"/>
      <c r="C406" s="2"/>
    </row>
    <row r="407" spans="2:3">
      <c r="B407" s="1"/>
      <c r="C407" s="2"/>
    </row>
    <row r="408" spans="2:3">
      <c r="B408" s="1"/>
      <c r="C408" s="2"/>
    </row>
    <row r="409" spans="2:3">
      <c r="B409" s="1"/>
      <c r="C409" s="2"/>
    </row>
    <row r="410" spans="2:3">
      <c r="B410" s="1"/>
      <c r="C410" s="2"/>
    </row>
    <row r="411" spans="2:3">
      <c r="B411" s="1"/>
      <c r="C411" s="2"/>
    </row>
    <row r="412" spans="2:3">
      <c r="B412" s="1"/>
      <c r="C412" s="2"/>
    </row>
    <row r="413" spans="2:3">
      <c r="B413" s="1"/>
      <c r="C413" s="2"/>
    </row>
    <row r="414" spans="2:3">
      <c r="B414" s="1"/>
      <c r="C414" s="2"/>
    </row>
    <row r="415" spans="2:3">
      <c r="B415" s="1"/>
      <c r="C415" s="2"/>
    </row>
    <row r="416" spans="2:3">
      <c r="B416" s="1"/>
      <c r="C416" s="2"/>
    </row>
    <row r="417" spans="2:3">
      <c r="B417" s="1"/>
      <c r="C417" s="2"/>
    </row>
    <row r="418" spans="2:3">
      <c r="B418" s="1"/>
      <c r="C418" s="2"/>
    </row>
    <row r="419" spans="2:3">
      <c r="B419" s="1"/>
      <c r="C419" s="2"/>
    </row>
    <row r="420" spans="2:3">
      <c r="B420" s="1"/>
      <c r="C420" s="2"/>
    </row>
    <row r="421" spans="2:3">
      <c r="B421" s="1"/>
      <c r="C421" s="2"/>
    </row>
    <row r="422" spans="2:3">
      <c r="B422" s="1"/>
      <c r="C422" s="2"/>
    </row>
    <row r="423" spans="2:3">
      <c r="B423" s="1"/>
      <c r="C423" s="2"/>
    </row>
    <row r="424" spans="2:3">
      <c r="B424" s="1"/>
      <c r="C424" s="2"/>
    </row>
    <row r="425" spans="2:3">
      <c r="B425" s="1"/>
      <c r="C425" s="2"/>
    </row>
    <row r="426" spans="2:3">
      <c r="B426" s="1"/>
      <c r="C426" s="2"/>
    </row>
    <row r="427" spans="2:3">
      <c r="B427" s="1"/>
      <c r="C427" s="2"/>
    </row>
    <row r="428" spans="2:3">
      <c r="B428" s="1"/>
      <c r="C428" s="2"/>
    </row>
    <row r="429" spans="2:3">
      <c r="B429" s="1"/>
      <c r="C429" s="2"/>
    </row>
    <row r="430" spans="2:3">
      <c r="B430" s="1"/>
      <c r="C430" s="2"/>
    </row>
    <row r="431" spans="2:3">
      <c r="B431" s="1"/>
      <c r="C431" s="2"/>
    </row>
    <row r="432" spans="2:3">
      <c r="B432" s="1"/>
      <c r="C432" s="2"/>
    </row>
    <row r="433" spans="2:3">
      <c r="B433" s="1"/>
      <c r="C433" s="2"/>
    </row>
    <row r="434" spans="2:3">
      <c r="B434" s="1"/>
      <c r="C434" s="2"/>
    </row>
    <row r="435" spans="2:3">
      <c r="B435" s="1"/>
      <c r="C435" s="2"/>
    </row>
    <row r="436" spans="2:3">
      <c r="B436" s="1"/>
      <c r="C436" s="2"/>
    </row>
    <row r="437" spans="2:3">
      <c r="B437" s="1"/>
      <c r="C437" s="2"/>
    </row>
    <row r="438" spans="2:3">
      <c r="B438" s="1"/>
      <c r="C438" s="2"/>
    </row>
    <row r="439" spans="2:3">
      <c r="B439" s="1"/>
      <c r="C439" s="2"/>
    </row>
    <row r="440" spans="2:3">
      <c r="B440" s="1"/>
      <c r="C440" s="2"/>
    </row>
    <row r="441" spans="2:3">
      <c r="B441" s="1"/>
      <c r="C441" s="2"/>
    </row>
    <row r="442" spans="2:3">
      <c r="B442" s="1"/>
      <c r="C442" s="2"/>
    </row>
    <row r="443" spans="2:3">
      <c r="B443" s="1"/>
      <c r="C443" s="2"/>
    </row>
    <row r="444" spans="2:3">
      <c r="B444" s="1"/>
      <c r="C444" s="2"/>
    </row>
    <row r="445" spans="2:3">
      <c r="B445" s="1"/>
      <c r="C445" s="2"/>
    </row>
    <row r="446" spans="2:3">
      <c r="B446" s="1"/>
      <c r="C446" s="2"/>
    </row>
    <row r="447" spans="2:3">
      <c r="B447" s="1"/>
      <c r="C447" s="2"/>
    </row>
    <row r="448" spans="2:3">
      <c r="B448" s="1"/>
      <c r="C448" s="2"/>
    </row>
    <row r="449" spans="2:3">
      <c r="B449" s="1"/>
      <c r="C449" s="2"/>
    </row>
    <row r="450" spans="2:3">
      <c r="B450" s="1"/>
      <c r="C450" s="2"/>
    </row>
    <row r="451" spans="2:3">
      <c r="B451" s="1"/>
      <c r="C451" s="2"/>
    </row>
    <row r="452" spans="2:3">
      <c r="B452" s="1"/>
      <c r="C452" s="2"/>
    </row>
    <row r="453" spans="2:3">
      <c r="B453" s="1"/>
      <c r="C453" s="2"/>
    </row>
    <row r="454" spans="2:3">
      <c r="B454" s="1"/>
      <c r="C454" s="2"/>
    </row>
    <row r="455" spans="2:3">
      <c r="B455" s="1"/>
      <c r="C455" s="2"/>
    </row>
    <row r="456" spans="2:3">
      <c r="B456" s="1"/>
      <c r="C456" s="2"/>
    </row>
    <row r="457" spans="2:3">
      <c r="B457" s="1"/>
      <c r="C457" s="2"/>
    </row>
    <row r="458" spans="2:3">
      <c r="B458" s="1"/>
      <c r="C458" s="2"/>
    </row>
    <row r="459" spans="2:3">
      <c r="B459" s="1"/>
      <c r="C459" s="2"/>
    </row>
    <row r="460" spans="2:3">
      <c r="B460" s="1"/>
      <c r="C460" s="2"/>
    </row>
    <row r="461" spans="2:3">
      <c r="B461" s="1"/>
      <c r="C461" s="2"/>
    </row>
    <row r="462" spans="2:3">
      <c r="B462" s="1"/>
      <c r="C462" s="2"/>
    </row>
    <row r="463" spans="2:3">
      <c r="B463" s="1"/>
      <c r="C463" s="2"/>
    </row>
    <row r="464" spans="2:3">
      <c r="B464" s="1"/>
      <c r="C464" s="2"/>
    </row>
    <row r="465" spans="2:3">
      <c r="B465" s="1"/>
      <c r="C465" s="2"/>
    </row>
    <row r="466" spans="2:3">
      <c r="B466" s="1"/>
      <c r="C466" s="2"/>
    </row>
    <row r="467" spans="2:3">
      <c r="B467" s="1"/>
      <c r="C467" s="2"/>
    </row>
    <row r="468" spans="2:3">
      <c r="B468" s="1"/>
      <c r="C468" s="2"/>
    </row>
    <row r="469" spans="2:3">
      <c r="B469" s="1"/>
      <c r="C469" s="2"/>
    </row>
    <row r="470" spans="2:3">
      <c r="B470" s="1"/>
      <c r="C470" s="2"/>
    </row>
    <row r="471" spans="2:3">
      <c r="B471" s="1"/>
      <c r="C471" s="2"/>
    </row>
    <row r="472" spans="2:3">
      <c r="B472" s="1"/>
      <c r="C472" s="2"/>
    </row>
    <row r="473" spans="2:3">
      <c r="B473" s="1"/>
      <c r="C473" s="2"/>
    </row>
    <row r="474" spans="2:3">
      <c r="B474" s="1"/>
      <c r="C474" s="2"/>
    </row>
    <row r="475" spans="2:3">
      <c r="B475" s="1"/>
      <c r="C475" s="2"/>
    </row>
    <row r="476" spans="2:3">
      <c r="B476" s="1"/>
      <c r="C476" s="2"/>
    </row>
    <row r="477" spans="2:3">
      <c r="B477" s="1"/>
      <c r="C477" s="2"/>
    </row>
    <row r="478" spans="2:3">
      <c r="B478" s="1"/>
      <c r="C478" s="2"/>
    </row>
    <row r="479" spans="2:3">
      <c r="B479" s="1"/>
      <c r="C479" s="2"/>
    </row>
    <row r="480" spans="2:3">
      <c r="B480" s="1"/>
      <c r="C480" s="2"/>
    </row>
    <row r="481" spans="2:3">
      <c r="B481" s="1"/>
      <c r="C481" s="2"/>
    </row>
    <row r="482" spans="2:3">
      <c r="B482" s="1"/>
      <c r="C482" s="2"/>
    </row>
    <row r="483" spans="2:3">
      <c r="B483" s="1"/>
      <c r="C483" s="2"/>
    </row>
    <row r="484" spans="2:3">
      <c r="B484" s="1"/>
      <c r="C484" s="2"/>
    </row>
    <row r="485" spans="2:3">
      <c r="B485" s="1"/>
      <c r="C485" s="2"/>
    </row>
    <row r="486" spans="2:3">
      <c r="B486" s="1"/>
      <c r="C486" s="2"/>
    </row>
    <row r="487" spans="2:3">
      <c r="B487" s="1"/>
      <c r="C487" s="2"/>
    </row>
    <row r="488" spans="2:3">
      <c r="B488" s="1"/>
      <c r="C488" s="2"/>
    </row>
    <row r="489" spans="2:3">
      <c r="B489" s="1"/>
      <c r="C489" s="2"/>
    </row>
    <row r="490" spans="2:3">
      <c r="B490" s="1"/>
      <c r="C490" s="2"/>
    </row>
    <row r="491" spans="2:3">
      <c r="B491" s="1"/>
      <c r="C491" s="2"/>
    </row>
    <row r="492" spans="2:3">
      <c r="B492" s="1"/>
      <c r="C492" s="2"/>
    </row>
    <row r="493" spans="2:3">
      <c r="B493" s="1"/>
      <c r="C493" s="2"/>
    </row>
    <row r="494" spans="2:3">
      <c r="B494" s="1"/>
      <c r="C494" s="2"/>
    </row>
    <row r="495" spans="2:3">
      <c r="B495" s="1"/>
      <c r="C495" s="2"/>
    </row>
    <row r="496" spans="2:3">
      <c r="B496" s="1"/>
      <c r="C496" s="2"/>
    </row>
    <row r="497" spans="2:3">
      <c r="B497" s="1"/>
      <c r="C497" s="2"/>
    </row>
    <row r="498" spans="2:3">
      <c r="B498" s="1"/>
      <c r="C498" s="2"/>
    </row>
    <row r="499" spans="2:3">
      <c r="B499" s="1"/>
      <c r="C499" s="2"/>
    </row>
    <row r="500" spans="2:3">
      <c r="B500" s="1"/>
      <c r="C500" s="2"/>
    </row>
    <row r="501" spans="2:3">
      <c r="B501" s="1"/>
      <c r="C501" s="2"/>
    </row>
    <row r="502" spans="2:3">
      <c r="B502" s="1"/>
      <c r="C502" s="2"/>
    </row>
    <row r="503" spans="2:3">
      <c r="B503" s="1"/>
      <c r="C503" s="2"/>
    </row>
    <row r="504" spans="2:3">
      <c r="B504" s="1"/>
      <c r="C504" s="2"/>
    </row>
    <row r="505" spans="2:3">
      <c r="B505" s="1"/>
      <c r="C505" s="2"/>
    </row>
    <row r="506" spans="2:3">
      <c r="B506" s="1"/>
      <c r="C506" s="2"/>
    </row>
    <row r="507" spans="2:3">
      <c r="B507" s="1"/>
      <c r="C507" s="2"/>
    </row>
    <row r="508" spans="2:3">
      <c r="B508" s="1"/>
      <c r="C508" s="2"/>
    </row>
    <row r="509" spans="2:3">
      <c r="B509" s="1"/>
      <c r="C509" s="2"/>
    </row>
    <row r="510" spans="2:3">
      <c r="B510" s="1"/>
      <c r="C510" s="2"/>
    </row>
    <row r="511" spans="2:3">
      <c r="B511" s="1"/>
      <c r="C511" s="2"/>
    </row>
    <row r="512" spans="2:3">
      <c r="B512" s="1"/>
      <c r="C512" s="2"/>
    </row>
    <row r="513" spans="2:3">
      <c r="B513" s="1"/>
      <c r="C513" s="2"/>
    </row>
    <row r="514" spans="2:3">
      <c r="B514" s="1"/>
      <c r="C514" s="2"/>
    </row>
    <row r="515" spans="2:3">
      <c r="B515" s="1"/>
      <c r="C515" s="2"/>
    </row>
    <row r="516" spans="2:3">
      <c r="B516" s="1"/>
      <c r="C516" s="2"/>
    </row>
    <row r="517" spans="2:3">
      <c r="B517" s="1"/>
      <c r="C517" s="2"/>
    </row>
    <row r="518" spans="2:3">
      <c r="B518" s="1"/>
      <c r="C518" s="2"/>
    </row>
    <row r="519" spans="2:3">
      <c r="B519" s="1"/>
      <c r="C519" s="2"/>
    </row>
    <row r="520" spans="2:3">
      <c r="B520" s="1"/>
      <c r="C520" s="2"/>
    </row>
    <row r="521" spans="2:3">
      <c r="B521" s="1"/>
      <c r="C521" s="2"/>
    </row>
    <row r="522" spans="2:3">
      <c r="B522" s="1"/>
      <c r="C522" s="2"/>
    </row>
    <row r="523" spans="2:3">
      <c r="B523" s="1"/>
      <c r="C523" s="2"/>
    </row>
    <row r="524" spans="2:3">
      <c r="B524" s="1"/>
      <c r="C524" s="2"/>
    </row>
    <row r="525" spans="2:3">
      <c r="B525" s="1"/>
      <c r="C525" s="2"/>
    </row>
    <row r="526" spans="2:3">
      <c r="B526" s="1"/>
      <c r="C526" s="2"/>
    </row>
    <row r="527" spans="2:3">
      <c r="B527" s="1"/>
      <c r="C527" s="2"/>
    </row>
    <row r="528" spans="2:3">
      <c r="B528" s="1"/>
      <c r="C528" s="2"/>
    </row>
    <row r="529" spans="2:3">
      <c r="B529" s="1"/>
      <c r="C529" s="2"/>
    </row>
    <row r="530" spans="2:3">
      <c r="B530" s="1"/>
      <c r="C530" s="2"/>
    </row>
    <row r="531" spans="2:3">
      <c r="B531" s="1"/>
      <c r="C531" s="2"/>
    </row>
    <row r="532" spans="2:3">
      <c r="B532" s="1"/>
      <c r="C532" s="2"/>
    </row>
    <row r="533" spans="2:3">
      <c r="B533" s="1"/>
      <c r="C533" s="2"/>
    </row>
    <row r="534" spans="2:3">
      <c r="B534" s="1"/>
      <c r="C534" s="2"/>
    </row>
    <row r="535" spans="2:3">
      <c r="B535" s="1"/>
      <c r="C535" s="2"/>
    </row>
    <row r="536" spans="2:3">
      <c r="B536" s="1"/>
      <c r="C536" s="2"/>
    </row>
    <row r="537" spans="2:3">
      <c r="B537" s="1"/>
      <c r="C537" s="2"/>
    </row>
    <row r="538" spans="2:3">
      <c r="B538" s="1"/>
      <c r="C538" s="2"/>
    </row>
    <row r="539" spans="2:3">
      <c r="B539" s="1"/>
      <c r="C539" s="2"/>
    </row>
    <row r="540" spans="2:3">
      <c r="B540" s="1"/>
      <c r="C540" s="2"/>
    </row>
    <row r="541" spans="2:3">
      <c r="B541" s="1"/>
      <c r="C541" s="2"/>
    </row>
    <row r="542" spans="2:3">
      <c r="B542" s="1"/>
      <c r="C542" s="2"/>
    </row>
    <row r="543" spans="2:3">
      <c r="B543" s="1"/>
      <c r="C543" s="2"/>
    </row>
    <row r="544" spans="2:3">
      <c r="B544" s="1"/>
      <c r="C544" s="2"/>
    </row>
    <row r="545" spans="2:3">
      <c r="B545" s="1"/>
      <c r="C545" s="2"/>
    </row>
    <row r="546" spans="2:3">
      <c r="B546" s="1"/>
      <c r="C546" s="2"/>
    </row>
    <row r="547" spans="2:3">
      <c r="B547" s="1"/>
      <c r="C547" s="2"/>
    </row>
    <row r="548" spans="2:3">
      <c r="B548" s="1"/>
      <c r="C548" s="2"/>
    </row>
    <row r="549" spans="2:3">
      <c r="B549" s="1"/>
      <c r="C549" s="2"/>
    </row>
    <row r="550" spans="2:3">
      <c r="B550" s="1"/>
      <c r="C550" s="2"/>
    </row>
    <row r="551" spans="2:3">
      <c r="B551" s="1"/>
      <c r="C551" s="2"/>
    </row>
    <row r="552" spans="2:3">
      <c r="B552" s="1"/>
      <c r="C552" s="2"/>
    </row>
    <row r="553" spans="2:3">
      <c r="B553" s="1"/>
      <c r="C553" s="2"/>
    </row>
    <row r="554" spans="2:3">
      <c r="B554" s="1"/>
      <c r="C554" s="2"/>
    </row>
    <row r="555" spans="2:3">
      <c r="B555" s="1"/>
      <c r="C555" s="2"/>
    </row>
    <row r="556" spans="2:3">
      <c r="B556" s="1"/>
      <c r="C556" s="2"/>
    </row>
    <row r="557" spans="2:3">
      <c r="B557" s="1"/>
      <c r="C557" s="2"/>
    </row>
    <row r="558" spans="2:3">
      <c r="B558" s="1"/>
      <c r="C558" s="2"/>
    </row>
    <row r="559" spans="2:3">
      <c r="B559" s="1"/>
      <c r="C559" s="2"/>
    </row>
    <row r="560" spans="2:3">
      <c r="B560" s="1"/>
      <c r="C560" s="2"/>
    </row>
    <row r="561" spans="2:3">
      <c r="B561" s="1"/>
      <c r="C561" s="2"/>
    </row>
    <row r="562" spans="2:3">
      <c r="B562" s="1"/>
      <c r="C562" s="2"/>
    </row>
    <row r="563" spans="2:3">
      <c r="B563" s="1"/>
      <c r="C563" s="2"/>
    </row>
    <row r="564" spans="2:3">
      <c r="B564" s="1"/>
      <c r="C564" s="2"/>
    </row>
    <row r="565" spans="2:3">
      <c r="B565" s="1"/>
      <c r="C565" s="2"/>
    </row>
    <row r="566" spans="2:3">
      <c r="B566" s="1"/>
      <c r="C566" s="2"/>
    </row>
    <row r="567" spans="2:3">
      <c r="B567" s="1"/>
      <c r="C567" s="2"/>
    </row>
    <row r="568" spans="2:3">
      <c r="B568" s="1"/>
      <c r="C568" s="2"/>
    </row>
    <row r="569" spans="2:3">
      <c r="B569" s="1"/>
      <c r="C569" s="2"/>
    </row>
    <row r="570" spans="2:3">
      <c r="B570" s="1"/>
      <c r="C570" s="2"/>
    </row>
    <row r="571" spans="2:3">
      <c r="B571" s="1"/>
      <c r="C571" s="2"/>
    </row>
    <row r="572" spans="2:3">
      <c r="B572" s="1"/>
      <c r="C572" s="2"/>
    </row>
    <row r="573" spans="2:3">
      <c r="B573" s="1"/>
      <c r="C573" s="2"/>
    </row>
    <row r="574" spans="2:3">
      <c r="B574" s="1"/>
      <c r="C574" s="2"/>
    </row>
    <row r="575" spans="2:3">
      <c r="B575" s="1"/>
      <c r="C575" s="2"/>
    </row>
    <row r="576" spans="2:3">
      <c r="B576" s="1"/>
      <c r="C576" s="2"/>
    </row>
    <row r="577" spans="2:3">
      <c r="B577" s="1"/>
      <c r="C577" s="2"/>
    </row>
    <row r="578" spans="2:3">
      <c r="B578" s="1"/>
      <c r="C578" s="2"/>
    </row>
    <row r="579" spans="2:3">
      <c r="B579" s="1"/>
      <c r="C579" s="2"/>
    </row>
    <row r="580" spans="2:3">
      <c r="B580" s="1"/>
      <c r="C580" s="2"/>
    </row>
    <row r="581" spans="2:3">
      <c r="B581" s="1"/>
      <c r="C581" s="2"/>
    </row>
    <row r="582" spans="2:3">
      <c r="B582" s="1"/>
      <c r="C582" s="2"/>
    </row>
    <row r="583" spans="2:3">
      <c r="B583" s="1"/>
      <c r="C583" s="2"/>
    </row>
    <row r="584" spans="2:3">
      <c r="B584" s="1"/>
      <c r="C584" s="2"/>
    </row>
    <row r="585" spans="2:3">
      <c r="B585" s="1"/>
      <c r="C585" s="2"/>
    </row>
    <row r="586" spans="2:3">
      <c r="B586" s="1"/>
      <c r="C586" s="2"/>
    </row>
    <row r="587" spans="2:3">
      <c r="B587" s="1"/>
      <c r="C587" s="2"/>
    </row>
    <row r="588" spans="2:3">
      <c r="B588" s="1"/>
      <c r="C588" s="2"/>
    </row>
    <row r="589" spans="2:3">
      <c r="B589" s="1"/>
      <c r="C589" s="2"/>
    </row>
    <row r="590" spans="2:3">
      <c r="B590" s="1"/>
      <c r="C590" s="2"/>
    </row>
    <row r="591" spans="2:3">
      <c r="B591" s="1"/>
      <c r="C591" s="2"/>
    </row>
    <row r="592" spans="2:3">
      <c r="B592" s="1"/>
      <c r="C592" s="2"/>
    </row>
    <row r="593" spans="2:3">
      <c r="B593" s="1"/>
      <c r="C593" s="2"/>
    </row>
    <row r="594" spans="2:3">
      <c r="B594" s="1"/>
      <c r="C594" s="2"/>
    </row>
    <row r="595" spans="2:3">
      <c r="B595" s="1"/>
      <c r="C595" s="2"/>
    </row>
    <row r="596" spans="2:3">
      <c r="B596" s="1"/>
      <c r="C596" s="2"/>
    </row>
    <row r="597" spans="2:3">
      <c r="B597" s="1"/>
      <c r="C597" s="2"/>
    </row>
    <row r="598" spans="2:3">
      <c r="B598" s="1"/>
      <c r="C598" s="2"/>
    </row>
    <row r="599" spans="2:3">
      <c r="B599" s="1"/>
      <c r="C599" s="2"/>
    </row>
    <row r="600" spans="2:3">
      <c r="B600" s="1"/>
      <c r="C600" s="2"/>
    </row>
    <row r="601" spans="2:3">
      <c r="B601" s="1"/>
      <c r="C601" s="2"/>
    </row>
    <row r="602" spans="2:3">
      <c r="B602" s="1"/>
      <c r="C602" s="2"/>
    </row>
    <row r="603" spans="2:3">
      <c r="B603" s="1"/>
      <c r="C603" s="2"/>
    </row>
    <row r="604" spans="2:3">
      <c r="B604" s="1"/>
      <c r="C604" s="2"/>
    </row>
    <row r="605" spans="2:3">
      <c r="B605" s="1"/>
      <c r="C605" s="2"/>
    </row>
    <row r="606" spans="2:3">
      <c r="B606" s="1"/>
      <c r="C606" s="2"/>
    </row>
    <row r="607" spans="2:3">
      <c r="B607" s="1"/>
      <c r="C607" s="2"/>
    </row>
    <row r="608" spans="2:3">
      <c r="B608" s="1"/>
      <c r="C608" s="2"/>
    </row>
    <row r="609" spans="2:3">
      <c r="B609" s="1"/>
      <c r="C609" s="2"/>
    </row>
    <row r="610" spans="2:3">
      <c r="B610" s="1"/>
      <c r="C610" s="2"/>
    </row>
    <row r="611" spans="2:3">
      <c r="B611" s="1"/>
      <c r="C611" s="2"/>
    </row>
    <row r="612" spans="2:3">
      <c r="B612" s="1"/>
      <c r="C612" s="2"/>
    </row>
    <row r="613" spans="2:3">
      <c r="B613" s="1"/>
      <c r="C613" s="2"/>
    </row>
    <row r="614" spans="2:3">
      <c r="B614" s="1"/>
      <c r="C614" s="2"/>
    </row>
    <row r="615" spans="2:3">
      <c r="B615" s="1"/>
      <c r="C615" s="2"/>
    </row>
    <row r="616" spans="2:3">
      <c r="B616" s="1"/>
      <c r="C616" s="2"/>
    </row>
    <row r="617" spans="2:3">
      <c r="B617" s="1"/>
      <c r="C617" s="2"/>
    </row>
    <row r="618" spans="2:3">
      <c r="B618" s="1"/>
      <c r="C618" s="2"/>
    </row>
    <row r="619" spans="2:3">
      <c r="B619" s="1"/>
      <c r="C619" s="2"/>
    </row>
    <row r="620" spans="2:3">
      <c r="B620" s="1"/>
      <c r="C620" s="2"/>
    </row>
    <row r="621" spans="2:3">
      <c r="B621" s="1"/>
      <c r="C621" s="2"/>
    </row>
    <row r="622" spans="2:3">
      <c r="B622" s="1"/>
      <c r="C622" s="2"/>
    </row>
    <row r="623" spans="2:3">
      <c r="B623" s="1"/>
      <c r="C623" s="2"/>
    </row>
    <row r="624" spans="2:3">
      <c r="B624" s="1"/>
      <c r="C624" s="2"/>
    </row>
    <row r="625" spans="2:3">
      <c r="B625" s="1"/>
      <c r="C625" s="2"/>
    </row>
    <row r="626" spans="2:3">
      <c r="B626" s="1"/>
      <c r="C626" s="2"/>
    </row>
    <row r="627" spans="2:3">
      <c r="B627" s="1"/>
      <c r="C627" s="2"/>
    </row>
    <row r="628" spans="2:3">
      <c r="B628" s="1"/>
      <c r="C628" s="2"/>
    </row>
    <row r="629" spans="2:3">
      <c r="B629" s="1"/>
      <c r="C629" s="2"/>
    </row>
    <row r="630" spans="2:3">
      <c r="B630" s="1"/>
      <c r="C630" s="2"/>
    </row>
    <row r="631" spans="2:3">
      <c r="B631" s="1"/>
      <c r="C631" s="2"/>
    </row>
    <row r="632" spans="2:3">
      <c r="B632" s="1"/>
      <c r="C632" s="2"/>
    </row>
    <row r="633" spans="2:3">
      <c r="B633" s="1"/>
      <c r="C633" s="2"/>
    </row>
    <row r="634" spans="2:3">
      <c r="B634" s="1"/>
      <c r="C634" s="2"/>
    </row>
    <row r="635" spans="2:3">
      <c r="B635" s="1"/>
      <c r="C635" s="2"/>
    </row>
    <row r="636" spans="2:3">
      <c r="B636" s="1"/>
      <c r="C636" s="2"/>
    </row>
    <row r="637" spans="2:3">
      <c r="B637" s="1"/>
      <c r="C637" s="2"/>
    </row>
    <row r="638" spans="2:3">
      <c r="B638" s="1"/>
      <c r="C638" s="2"/>
    </row>
    <row r="639" spans="2:3">
      <c r="B639" s="1"/>
      <c r="C639" s="2"/>
    </row>
    <row r="640" spans="2:3">
      <c r="B640" s="1"/>
      <c r="C640" s="2"/>
    </row>
    <row r="641" spans="2:3">
      <c r="B641" s="1"/>
      <c r="C641" s="2"/>
    </row>
    <row r="642" spans="2:3">
      <c r="B642" s="1"/>
      <c r="C642" s="2"/>
    </row>
    <row r="643" spans="2:3">
      <c r="B643" s="1"/>
      <c r="C643" s="2"/>
    </row>
    <row r="644" spans="2:3">
      <c r="B644" s="1"/>
      <c r="C644" s="2"/>
    </row>
    <row r="645" spans="2:3">
      <c r="B645" s="1"/>
      <c r="C645" s="2"/>
    </row>
    <row r="646" spans="2:3">
      <c r="B646" s="1"/>
      <c r="C646" s="2"/>
    </row>
    <row r="647" spans="2:3">
      <c r="B647" s="1"/>
      <c r="C647" s="2"/>
    </row>
    <row r="648" spans="2:3">
      <c r="B648" s="1"/>
      <c r="C648" s="2"/>
    </row>
    <row r="649" spans="2:3">
      <c r="B649" s="1"/>
      <c r="C649" s="2"/>
    </row>
    <row r="650" spans="2:3">
      <c r="B650" s="1"/>
      <c r="C650" s="2"/>
    </row>
    <row r="651" spans="2:3">
      <c r="B651" s="1"/>
      <c r="C651" s="2"/>
    </row>
    <row r="652" spans="2:3">
      <c r="B652" s="1"/>
      <c r="C652" s="2"/>
    </row>
    <row r="653" spans="2:3">
      <c r="B653" s="1"/>
      <c r="C653" s="2"/>
    </row>
    <row r="654" spans="2:3">
      <c r="B654" s="1"/>
      <c r="C654" s="2"/>
    </row>
    <row r="655" spans="2:3">
      <c r="B655" s="1"/>
      <c r="C655" s="2"/>
    </row>
    <row r="656" spans="2:3">
      <c r="B656" s="1"/>
      <c r="C656" s="2"/>
    </row>
    <row r="657" spans="2:3">
      <c r="B657" s="1"/>
      <c r="C657" s="2"/>
    </row>
    <row r="658" spans="2:3">
      <c r="B658" s="1"/>
      <c r="C658" s="2"/>
    </row>
    <row r="659" spans="2:3">
      <c r="B659" s="1"/>
      <c r="C659" s="2"/>
    </row>
    <row r="660" spans="2:3">
      <c r="B660" s="1"/>
      <c r="C660" s="2"/>
    </row>
    <row r="661" spans="2:3">
      <c r="B661" s="1"/>
      <c r="C661" s="2"/>
    </row>
    <row r="662" spans="2:3">
      <c r="B662" s="1"/>
      <c r="C662" s="2"/>
    </row>
    <row r="663" spans="2:3">
      <c r="B663" s="1"/>
      <c r="C663" s="2"/>
    </row>
    <row r="664" spans="2:3">
      <c r="B664" s="1"/>
      <c r="C664" s="2"/>
    </row>
    <row r="665" spans="2:3">
      <c r="B665" s="1"/>
      <c r="C665" s="2"/>
    </row>
    <row r="666" spans="2:3">
      <c r="B666" s="1"/>
      <c r="C666" s="2"/>
    </row>
    <row r="667" spans="2:3">
      <c r="B667" s="1"/>
      <c r="C667" s="2"/>
    </row>
    <row r="668" spans="2:3">
      <c r="B668" s="1"/>
      <c r="C668" s="2"/>
    </row>
    <row r="669" spans="2:3">
      <c r="B669" s="1"/>
      <c r="C669" s="2"/>
    </row>
    <row r="670" spans="2:3">
      <c r="B670" s="1"/>
      <c r="C670" s="2"/>
    </row>
    <row r="671" spans="2:3">
      <c r="B671" s="1"/>
      <c r="C671" s="2"/>
    </row>
    <row r="672" spans="2:3">
      <c r="B672" s="1"/>
      <c r="C672" s="2"/>
    </row>
    <row r="673" spans="2:3">
      <c r="B673" s="1"/>
      <c r="C673" s="2"/>
    </row>
    <row r="674" spans="2:3">
      <c r="B674" s="1"/>
      <c r="C674" s="2"/>
    </row>
    <row r="675" spans="2:3">
      <c r="B675" s="1"/>
      <c r="C675" s="2"/>
    </row>
    <row r="676" spans="2:3">
      <c r="B676" s="1"/>
      <c r="C676" s="2"/>
    </row>
    <row r="677" spans="2:3">
      <c r="B677" s="1"/>
      <c r="C677" s="2"/>
    </row>
    <row r="678" spans="2:3">
      <c r="B678" s="1"/>
      <c r="C678" s="2"/>
    </row>
    <row r="679" spans="2:3">
      <c r="B679" s="1"/>
      <c r="C679" s="2"/>
    </row>
    <row r="680" spans="2:3">
      <c r="B680" s="1"/>
      <c r="C680" s="2"/>
    </row>
    <row r="681" spans="2:3">
      <c r="B681" s="1"/>
      <c r="C681" s="2"/>
    </row>
    <row r="682" spans="2:3">
      <c r="B682" s="1"/>
      <c r="C682" s="2"/>
    </row>
    <row r="683" spans="2:3">
      <c r="B683" s="1"/>
      <c r="C683" s="2"/>
    </row>
    <row r="684" spans="2:3">
      <c r="B684" s="1"/>
      <c r="C684" s="2"/>
    </row>
    <row r="685" spans="2:3">
      <c r="B685" s="1"/>
      <c r="C685" s="2"/>
    </row>
    <row r="686" spans="2:3">
      <c r="B686" s="1"/>
      <c r="C686" s="2"/>
    </row>
    <row r="687" spans="2:3">
      <c r="B687" s="1"/>
      <c r="C687" s="2"/>
    </row>
    <row r="688" spans="2:3">
      <c r="B688" s="1"/>
      <c r="C688" s="2"/>
    </row>
    <row r="689" spans="2:3">
      <c r="B689" s="1"/>
      <c r="C689" s="2"/>
    </row>
    <row r="690" spans="2:3">
      <c r="B690" s="1"/>
      <c r="C690" s="2"/>
    </row>
    <row r="691" spans="2:3">
      <c r="B691" s="1"/>
      <c r="C691" s="2"/>
    </row>
    <row r="692" spans="2:3">
      <c r="B692" s="1"/>
      <c r="C692" s="2"/>
    </row>
    <row r="693" spans="2:3">
      <c r="B693" s="1"/>
      <c r="C693" s="2"/>
    </row>
    <row r="694" spans="2:3">
      <c r="B694" s="1"/>
      <c r="C694" s="2"/>
    </row>
    <row r="695" spans="2:3">
      <c r="B695" s="1"/>
      <c r="C695" s="2"/>
    </row>
    <row r="696" spans="2:3">
      <c r="B696" s="1"/>
      <c r="C696" s="2"/>
    </row>
    <row r="697" spans="2:3">
      <c r="B697" s="1"/>
      <c r="C697" s="2"/>
    </row>
    <row r="698" spans="2:3">
      <c r="B698" s="1"/>
      <c r="C698" s="2"/>
    </row>
    <row r="699" spans="2:3">
      <c r="B699" s="1"/>
      <c r="C699" s="2"/>
    </row>
    <row r="700" spans="2:3">
      <c r="B700" s="1"/>
      <c r="C700" s="2"/>
    </row>
    <row r="701" spans="2:3">
      <c r="B701" s="1"/>
      <c r="C701" s="2"/>
    </row>
    <row r="702" spans="2:3">
      <c r="B702" s="1"/>
      <c r="C702" s="2"/>
    </row>
    <row r="703" spans="2:3">
      <c r="B703" s="1"/>
      <c r="C703" s="2"/>
    </row>
    <row r="704" spans="2:3">
      <c r="B704" s="1"/>
      <c r="C704" s="2"/>
    </row>
    <row r="705" spans="2:3">
      <c r="B705" s="1"/>
      <c r="C705" s="2"/>
    </row>
    <row r="706" spans="2:3">
      <c r="B706" s="1"/>
      <c r="C706" s="2"/>
    </row>
    <row r="707" spans="2:3">
      <c r="B707" s="1"/>
      <c r="C707" s="2"/>
    </row>
    <row r="708" spans="2:3">
      <c r="B708" s="1"/>
      <c r="C708" s="2"/>
    </row>
    <row r="709" spans="2:3">
      <c r="B709" s="1"/>
      <c r="C709" s="2"/>
    </row>
    <row r="710" spans="2:3">
      <c r="B710" s="1"/>
      <c r="C710" s="2"/>
    </row>
    <row r="711" spans="2:3">
      <c r="B711" s="1"/>
      <c r="C711" s="2"/>
    </row>
    <row r="712" spans="2:3">
      <c r="B712" s="1"/>
      <c r="C712" s="2"/>
    </row>
    <row r="713" spans="2:3">
      <c r="B713" s="1"/>
      <c r="C713" s="2"/>
    </row>
    <row r="714" spans="2:3">
      <c r="B714" s="1"/>
      <c r="C714" s="2"/>
    </row>
    <row r="715" spans="2:3">
      <c r="B715" s="1"/>
      <c r="C715" s="2"/>
    </row>
    <row r="716" spans="2:3">
      <c r="B716" s="1"/>
      <c r="C716" s="2"/>
    </row>
    <row r="717" spans="2:3">
      <c r="B717" s="1"/>
      <c r="C717" s="2"/>
    </row>
    <row r="718" spans="2:3">
      <c r="B718" s="1"/>
      <c r="C718" s="2"/>
    </row>
    <row r="719" spans="2:3">
      <c r="B719" s="1"/>
      <c r="C719" s="2"/>
    </row>
    <row r="720" spans="2:3">
      <c r="B720" s="1"/>
      <c r="C720" s="2"/>
    </row>
    <row r="721" spans="2:3">
      <c r="B721" s="1"/>
      <c r="C721" s="2"/>
    </row>
    <row r="722" spans="2:3">
      <c r="B722" s="1"/>
      <c r="C722" s="2"/>
    </row>
    <row r="723" spans="2:3">
      <c r="B723" s="1"/>
      <c r="C723" s="2"/>
    </row>
    <row r="724" spans="2:3">
      <c r="B724" s="1"/>
      <c r="C724" s="2"/>
    </row>
    <row r="725" spans="2:3">
      <c r="B725" s="1"/>
      <c r="C725" s="2"/>
    </row>
    <row r="726" spans="2:3">
      <c r="B726" s="1"/>
      <c r="C726" s="2"/>
    </row>
    <row r="727" spans="2:3">
      <c r="B727" s="1"/>
      <c r="C727" s="2"/>
    </row>
    <row r="728" spans="2:3">
      <c r="B728" s="1"/>
      <c r="C728" s="2"/>
    </row>
    <row r="729" spans="2:3">
      <c r="B729" s="1"/>
      <c r="C729" s="2"/>
    </row>
    <row r="730" spans="2:3">
      <c r="B730" s="1"/>
      <c r="C730" s="2"/>
    </row>
    <row r="731" spans="2:3">
      <c r="B731" s="1"/>
      <c r="C731" s="2"/>
    </row>
    <row r="732" spans="2:3">
      <c r="B732" s="1"/>
      <c r="C732" s="2"/>
    </row>
    <row r="733" spans="2:3">
      <c r="B733" s="1"/>
      <c r="C733" s="2"/>
    </row>
    <row r="734" spans="2:3">
      <c r="B734" s="1"/>
      <c r="C734" s="2"/>
    </row>
    <row r="735" spans="2:3">
      <c r="B735" s="1"/>
      <c r="C735" s="2"/>
    </row>
    <row r="736" spans="2:3">
      <c r="B736" s="1"/>
      <c r="C736" s="2"/>
    </row>
    <row r="737" spans="2:3">
      <c r="B737" s="1"/>
      <c r="C737" s="2"/>
    </row>
    <row r="738" spans="2:3">
      <c r="B738" s="1"/>
      <c r="C738" s="2"/>
    </row>
    <row r="739" spans="2:3">
      <c r="B739" s="1"/>
      <c r="C739" s="2"/>
    </row>
    <row r="740" spans="2:3">
      <c r="B740" s="1"/>
      <c r="C740" s="2"/>
    </row>
    <row r="741" spans="2:3">
      <c r="B741" s="1"/>
      <c r="C741" s="2"/>
    </row>
    <row r="742" spans="2:3">
      <c r="B742" s="1"/>
      <c r="C742" s="2"/>
    </row>
    <row r="743" spans="2:3">
      <c r="B743" s="1"/>
      <c r="C743" s="2"/>
    </row>
    <row r="744" spans="2:3">
      <c r="B744" s="1"/>
      <c r="C744" s="2"/>
    </row>
    <row r="745" spans="2:3">
      <c r="B745" s="1"/>
      <c r="C745" s="2"/>
    </row>
    <row r="746" spans="2:3">
      <c r="B746" s="1"/>
      <c r="C746" s="2"/>
    </row>
    <row r="747" spans="2:3">
      <c r="B747" s="1"/>
      <c r="C747" s="2"/>
    </row>
    <row r="748" spans="2:3">
      <c r="B748" s="1"/>
      <c r="C748" s="2"/>
    </row>
    <row r="749" spans="2:3">
      <c r="B749" s="1"/>
      <c r="C749" s="2"/>
    </row>
    <row r="750" spans="2:3">
      <c r="B750" s="1"/>
      <c r="C750" s="2"/>
    </row>
    <row r="751" spans="2:3">
      <c r="B751" s="1"/>
      <c r="C751" s="2"/>
    </row>
    <row r="752" spans="2:3">
      <c r="B752" s="1"/>
      <c r="C752" s="2"/>
    </row>
    <row r="753" spans="2:3">
      <c r="B753" s="1"/>
      <c r="C753" s="2"/>
    </row>
    <row r="754" spans="2:3">
      <c r="B754" s="1"/>
      <c r="C754" s="2"/>
    </row>
    <row r="755" spans="2:3">
      <c r="B755" s="1"/>
      <c r="C755" s="2"/>
    </row>
    <row r="756" spans="2:3">
      <c r="B756" s="1"/>
      <c r="C756" s="2"/>
    </row>
    <row r="757" spans="2:3">
      <c r="B757" s="1"/>
      <c r="C757" s="2"/>
    </row>
    <row r="758" spans="2:3">
      <c r="B758" s="1"/>
      <c r="C758" s="2"/>
    </row>
    <row r="759" spans="2:3">
      <c r="B759" s="1"/>
      <c r="C759" s="2"/>
    </row>
    <row r="760" spans="2:3">
      <c r="B760" s="1"/>
      <c r="C760" s="2"/>
    </row>
    <row r="761" spans="2:3">
      <c r="B761" s="1"/>
      <c r="C761" s="2"/>
    </row>
    <row r="762" spans="2:3">
      <c r="B762" s="1"/>
      <c r="C762" s="2"/>
    </row>
    <row r="763" spans="2:3">
      <c r="B763" s="1"/>
      <c r="C763" s="2"/>
    </row>
    <row r="764" spans="2:3">
      <c r="B764" s="1"/>
      <c r="C764" s="2"/>
    </row>
    <row r="765" spans="2:3">
      <c r="B765" s="1"/>
      <c r="C765" s="2"/>
    </row>
    <row r="766" spans="2:3">
      <c r="B766" s="1"/>
      <c r="C766" s="2"/>
    </row>
    <row r="767" spans="2:3">
      <c r="B767" s="1"/>
      <c r="C767" s="2"/>
    </row>
    <row r="768" spans="2:3">
      <c r="B768" s="1"/>
      <c r="C768" s="2"/>
    </row>
    <row r="769" spans="2:3">
      <c r="B769" s="1"/>
      <c r="C769" s="2"/>
    </row>
    <row r="770" spans="2:3">
      <c r="B770" s="1"/>
      <c r="C770" s="2"/>
    </row>
    <row r="771" spans="2:3">
      <c r="B771" s="1"/>
      <c r="C771" s="2"/>
    </row>
    <row r="772" spans="2:3">
      <c r="B772" s="1"/>
      <c r="C772" s="2"/>
    </row>
    <row r="773" spans="2:3">
      <c r="B773" s="1"/>
      <c r="C773" s="2"/>
    </row>
    <row r="774" spans="2:3">
      <c r="B774" s="1"/>
      <c r="C774" s="2"/>
    </row>
    <row r="775" spans="2:3">
      <c r="B775" s="1"/>
      <c r="C775" s="2"/>
    </row>
    <row r="776" spans="2:3">
      <c r="B776" s="1"/>
      <c r="C776" s="2"/>
    </row>
    <row r="777" spans="2:3">
      <c r="B777" s="1"/>
      <c r="C777" s="2"/>
    </row>
    <row r="778" spans="2:3">
      <c r="B778" s="1"/>
      <c r="C778" s="2"/>
    </row>
    <row r="779" spans="2:3">
      <c r="B779" s="1"/>
      <c r="C779" s="2"/>
    </row>
    <row r="780" spans="2:3">
      <c r="B780" s="1"/>
      <c r="C780" s="2"/>
    </row>
    <row r="781" spans="2:3">
      <c r="B781" s="1"/>
      <c r="C781" s="2"/>
    </row>
    <row r="782" spans="2:3">
      <c r="B782" s="1"/>
      <c r="C782" s="2"/>
    </row>
    <row r="783" spans="2:3">
      <c r="B783" s="1"/>
      <c r="C783" s="2"/>
    </row>
    <row r="784" spans="2:3">
      <c r="B784" s="1"/>
      <c r="C784" s="2"/>
    </row>
    <row r="785" spans="2:3">
      <c r="B785" s="1"/>
      <c r="C785" s="2"/>
    </row>
    <row r="786" spans="2:3">
      <c r="B786" s="1"/>
      <c r="C786" s="2"/>
    </row>
    <row r="787" spans="2:3">
      <c r="B787" s="1"/>
      <c r="C787" s="2"/>
    </row>
    <row r="788" spans="2:3">
      <c r="B788" s="1"/>
      <c r="C788" s="2"/>
    </row>
    <row r="789" spans="2:3">
      <c r="B789" s="1"/>
      <c r="C789" s="2"/>
    </row>
    <row r="790" spans="2:3">
      <c r="B790" s="1"/>
      <c r="C790" s="2"/>
    </row>
    <row r="791" spans="2:3">
      <c r="B791" s="1"/>
      <c r="C791" s="2"/>
    </row>
    <row r="792" spans="2:3">
      <c r="B792" s="1"/>
      <c r="C792" s="2"/>
    </row>
    <row r="793" spans="2:3">
      <c r="B793" s="1"/>
      <c r="C793" s="2"/>
    </row>
    <row r="794" spans="2:3">
      <c r="B794" s="1"/>
      <c r="C794" s="2"/>
    </row>
    <row r="795" spans="2:3">
      <c r="B795" s="1"/>
      <c r="C795" s="2"/>
    </row>
    <row r="796" spans="2:3">
      <c r="B796" s="1"/>
      <c r="C796" s="2"/>
    </row>
    <row r="797" spans="2:3">
      <c r="B797" s="1"/>
      <c r="C797" s="2"/>
    </row>
    <row r="798" spans="2:3">
      <c r="B798" s="1"/>
      <c r="C798" s="2"/>
    </row>
    <row r="799" spans="2:3">
      <c r="B799" s="1"/>
      <c r="C799" s="2"/>
    </row>
    <row r="800" spans="2:3">
      <c r="B800" s="1"/>
      <c r="C800" s="2"/>
    </row>
    <row r="801" spans="2:3">
      <c r="B801" s="1"/>
      <c r="C801" s="2"/>
    </row>
    <row r="802" spans="2:3">
      <c r="B802" s="1"/>
      <c r="C802" s="2"/>
    </row>
    <row r="803" spans="2:3">
      <c r="B803" s="1"/>
      <c r="C803" s="2"/>
    </row>
    <row r="804" spans="2:3">
      <c r="B804" s="1"/>
      <c r="C804" s="2"/>
    </row>
    <row r="805" spans="2:3">
      <c r="B805" s="1"/>
      <c r="C805" s="2"/>
    </row>
    <row r="806" spans="2:3">
      <c r="B806" s="1"/>
      <c r="C806" s="2"/>
    </row>
    <row r="807" spans="2:3">
      <c r="B807" s="1"/>
      <c r="C807" s="2"/>
    </row>
    <row r="808" spans="2:3">
      <c r="B808" s="1"/>
      <c r="C808" s="2"/>
    </row>
    <row r="809" spans="2:3">
      <c r="B809" s="1"/>
      <c r="C809" s="2"/>
    </row>
    <row r="810" spans="2:3">
      <c r="B810" s="1"/>
      <c r="C810" s="2"/>
    </row>
    <row r="811" spans="2:3">
      <c r="B811" s="1"/>
      <c r="C811" s="2"/>
    </row>
    <row r="812" spans="2:3">
      <c r="B812" s="1"/>
      <c r="C812" s="2"/>
    </row>
    <row r="813" spans="2:3">
      <c r="B813" s="1"/>
      <c r="C813" s="2"/>
    </row>
    <row r="814" spans="2:3">
      <c r="B814" s="1"/>
      <c r="C814" s="2"/>
    </row>
    <row r="815" spans="2:3">
      <c r="B815" s="1"/>
      <c r="C815" s="2"/>
    </row>
    <row r="816" spans="2:3">
      <c r="B816" s="1"/>
      <c r="C816" s="2"/>
    </row>
    <row r="817" spans="2:3">
      <c r="B817" s="1"/>
      <c r="C817" s="2"/>
    </row>
    <row r="818" spans="2:3">
      <c r="B818" s="1"/>
      <c r="C818" s="2"/>
    </row>
    <row r="819" spans="2:3">
      <c r="B819" s="1"/>
      <c r="C819" s="2"/>
    </row>
    <row r="820" spans="2:3">
      <c r="B820" s="1"/>
      <c r="C820" s="2"/>
    </row>
    <row r="821" spans="2:3">
      <c r="B821" s="1"/>
      <c r="C821" s="2"/>
    </row>
    <row r="822" spans="2:3">
      <c r="B822" s="1"/>
      <c r="C822" s="2"/>
    </row>
    <row r="823" spans="2:3">
      <c r="B823" s="1"/>
      <c r="C823" s="2"/>
    </row>
    <row r="824" spans="2:3">
      <c r="B824" s="1"/>
      <c r="C824" s="2"/>
    </row>
    <row r="825" spans="2:3">
      <c r="B825" s="1"/>
      <c r="C825" s="2"/>
    </row>
    <row r="826" spans="2:3">
      <c r="B826" s="1"/>
      <c r="C826" s="2"/>
    </row>
    <row r="827" spans="2:3">
      <c r="B827" s="1"/>
      <c r="C827" s="2"/>
    </row>
    <row r="828" spans="2:3">
      <c r="B828" s="1"/>
      <c r="C828" s="2"/>
    </row>
    <row r="829" spans="2:3">
      <c r="B829" s="1"/>
      <c r="C829" s="2"/>
    </row>
    <row r="830" spans="2:3">
      <c r="B830" s="1"/>
      <c r="C830" s="2"/>
    </row>
    <row r="831" spans="2:3">
      <c r="B831" s="1"/>
      <c r="C831" s="2"/>
    </row>
    <row r="832" spans="2:3">
      <c r="B832" s="1"/>
      <c r="C832" s="2"/>
    </row>
    <row r="833" spans="2:3">
      <c r="B833" s="1"/>
      <c r="C833" s="2"/>
    </row>
    <row r="834" spans="2:3">
      <c r="B834" s="1"/>
      <c r="C834" s="2"/>
    </row>
    <row r="835" spans="2:3">
      <c r="B835" s="1"/>
      <c r="C835" s="2"/>
    </row>
    <row r="836" spans="2:3">
      <c r="B836" s="1"/>
      <c r="C836" s="2"/>
    </row>
    <row r="837" spans="2:3">
      <c r="B837" s="1"/>
      <c r="C837" s="2"/>
    </row>
    <row r="838" spans="2:3">
      <c r="B838" s="1"/>
      <c r="C838" s="2"/>
    </row>
    <row r="839" spans="2:3">
      <c r="B839" s="1"/>
      <c r="C839" s="2"/>
    </row>
    <row r="840" spans="2:3">
      <c r="B840" s="1"/>
      <c r="C840" s="2"/>
    </row>
    <row r="841" spans="2:3">
      <c r="B841" s="1"/>
      <c r="C841" s="2"/>
    </row>
    <row r="842" spans="2:3">
      <c r="B842" s="1"/>
      <c r="C842" s="2"/>
    </row>
    <row r="843" spans="2:3">
      <c r="B843" s="1"/>
      <c r="C843" s="2"/>
    </row>
    <row r="844" spans="2:3">
      <c r="B844" s="1"/>
      <c r="C844" s="2"/>
    </row>
    <row r="845" spans="2:3">
      <c r="B845" s="1"/>
      <c r="C845" s="2"/>
    </row>
    <row r="846" spans="2:3">
      <c r="B846" s="1"/>
      <c r="C846" s="2"/>
    </row>
    <row r="847" spans="2:3">
      <c r="B847" s="1"/>
      <c r="C847" s="2"/>
    </row>
    <row r="848" spans="2:3">
      <c r="B848" s="1"/>
      <c r="C848" s="2"/>
    </row>
    <row r="849" spans="2:3">
      <c r="B849" s="1"/>
      <c r="C849" s="2"/>
    </row>
    <row r="850" spans="2:3">
      <c r="B850" s="1"/>
      <c r="C850" s="2"/>
    </row>
    <row r="851" spans="2:3">
      <c r="B851" s="1"/>
      <c r="C851" s="2"/>
    </row>
    <row r="852" spans="2:3">
      <c r="B852" s="1"/>
      <c r="C852" s="2"/>
    </row>
    <row r="853" spans="2:3">
      <c r="B853" s="1"/>
      <c r="C853" s="2"/>
    </row>
    <row r="854" spans="2:3">
      <c r="B854" s="1"/>
      <c r="C854" s="2"/>
    </row>
    <row r="855" spans="2:3">
      <c r="B855" s="1"/>
      <c r="C855" s="2"/>
    </row>
    <row r="856" spans="2:3">
      <c r="B856" s="1"/>
      <c r="C856" s="2"/>
    </row>
    <row r="857" spans="2:3">
      <c r="B857" s="1"/>
      <c r="C857" s="2"/>
    </row>
    <row r="858" spans="2:3">
      <c r="B858" s="1"/>
      <c r="C858" s="2"/>
    </row>
    <row r="859" spans="2:3">
      <c r="B859" s="1"/>
      <c r="C859" s="2"/>
    </row>
    <row r="860" spans="2:3">
      <c r="B860" s="1"/>
      <c r="C860" s="2"/>
    </row>
    <row r="861" spans="2:3">
      <c r="B861" s="1"/>
      <c r="C861" s="2"/>
    </row>
    <row r="862" spans="2:3">
      <c r="B862" s="1"/>
      <c r="C862" s="2"/>
    </row>
    <row r="863" spans="2:3">
      <c r="B863" s="1"/>
      <c r="C863" s="2"/>
    </row>
    <row r="864" spans="2:3">
      <c r="B864" s="1"/>
      <c r="C864" s="2"/>
    </row>
    <row r="865" spans="2:3">
      <c r="B865" s="1"/>
      <c r="C865" s="2"/>
    </row>
    <row r="866" spans="2:3">
      <c r="B866" s="1"/>
      <c r="C866" s="2"/>
    </row>
    <row r="867" spans="2:3">
      <c r="B867" s="1"/>
      <c r="C867" s="2"/>
    </row>
    <row r="868" spans="2:3">
      <c r="B868" s="1"/>
      <c r="C868" s="2"/>
    </row>
    <row r="869" spans="2:3">
      <c r="B869" s="1"/>
      <c r="C869" s="2"/>
    </row>
    <row r="870" spans="2:3">
      <c r="B870" s="1"/>
      <c r="C870" s="2"/>
    </row>
    <row r="871" spans="2:3">
      <c r="B871" s="1"/>
      <c r="C871" s="2"/>
    </row>
    <row r="872" spans="2:3">
      <c r="B872" s="1"/>
      <c r="C872" s="2"/>
    </row>
    <row r="873" spans="2:3">
      <c r="B873" s="1"/>
      <c r="C873" s="2"/>
    </row>
    <row r="874" spans="2:3">
      <c r="B874" s="1"/>
      <c r="C874" s="2"/>
    </row>
    <row r="875" spans="2:3">
      <c r="B875" s="1"/>
      <c r="C875" s="2"/>
    </row>
    <row r="876" spans="2:3">
      <c r="B876" s="1"/>
      <c r="C876" s="2"/>
    </row>
    <row r="877" spans="2:3">
      <c r="B877" s="1"/>
      <c r="C877" s="2"/>
    </row>
    <row r="878" spans="2:3">
      <c r="B878" s="1"/>
      <c r="C878" s="2"/>
    </row>
    <row r="879" spans="2:3">
      <c r="B879" s="1"/>
      <c r="C879" s="2"/>
    </row>
    <row r="880" spans="2:3">
      <c r="B880" s="1"/>
      <c r="C880" s="2"/>
    </row>
    <row r="881" spans="2:3">
      <c r="B881" s="1"/>
      <c r="C881" s="2"/>
    </row>
    <row r="882" spans="2:3">
      <c r="B882" s="1"/>
      <c r="C882" s="2"/>
    </row>
    <row r="883" spans="2:3">
      <c r="B883" s="1"/>
      <c r="C883" s="2"/>
    </row>
    <row r="884" spans="2:3">
      <c r="B884" s="1"/>
      <c r="C884" s="2"/>
    </row>
    <row r="885" spans="2:3">
      <c r="B885" s="1"/>
      <c r="C885" s="2"/>
    </row>
    <row r="886" spans="2:3">
      <c r="B886" s="1"/>
      <c r="C886" s="2"/>
    </row>
    <row r="887" spans="2:3">
      <c r="B887" s="1"/>
      <c r="C887" s="2"/>
    </row>
    <row r="888" spans="2:3">
      <c r="B888" s="1"/>
      <c r="C888" s="2"/>
    </row>
    <row r="889" spans="2:3">
      <c r="B889" s="1"/>
      <c r="C889" s="2"/>
    </row>
    <row r="890" spans="2:3">
      <c r="B890" s="1"/>
      <c r="C890" s="2"/>
    </row>
    <row r="891" spans="2:3">
      <c r="B891" s="1"/>
      <c r="C891" s="2"/>
    </row>
    <row r="892" spans="2:3">
      <c r="B892" s="1"/>
      <c r="C892" s="2"/>
    </row>
    <row r="893" spans="2:3">
      <c r="B893" s="1"/>
      <c r="C893" s="2"/>
    </row>
    <row r="894" spans="2:3">
      <c r="B894" s="1"/>
      <c r="C894" s="2"/>
    </row>
    <row r="895" spans="2:3">
      <c r="B895" s="1"/>
      <c r="C895" s="2"/>
    </row>
    <row r="896" spans="2:3">
      <c r="B896" s="1"/>
      <c r="C896" s="2"/>
    </row>
    <row r="897" spans="2:3">
      <c r="B897" s="1"/>
      <c r="C897" s="2"/>
    </row>
    <row r="898" spans="2:3">
      <c r="B898" s="1"/>
      <c r="C898" s="2"/>
    </row>
    <row r="899" spans="2:3">
      <c r="B899" s="1"/>
      <c r="C899" s="2"/>
    </row>
    <row r="900" spans="2:3">
      <c r="B900" s="1"/>
      <c r="C900" s="2"/>
    </row>
    <row r="901" spans="2:3">
      <c r="B901" s="1"/>
      <c r="C901" s="2"/>
    </row>
    <row r="902" spans="2:3">
      <c r="B902" s="1"/>
      <c r="C902" s="2"/>
    </row>
    <row r="903" spans="2:3">
      <c r="B903" s="1"/>
      <c r="C903" s="2"/>
    </row>
    <row r="904" spans="2:3">
      <c r="B904" s="1"/>
      <c r="C904" s="2"/>
    </row>
    <row r="905" spans="2:3">
      <c r="B905" s="1"/>
      <c r="C905" s="2"/>
    </row>
    <row r="906" spans="2:3">
      <c r="B906" s="1"/>
      <c r="C906" s="2"/>
    </row>
    <row r="907" spans="2:3">
      <c r="B907" s="1"/>
      <c r="C907" s="2"/>
    </row>
    <row r="908" spans="2:3">
      <c r="B908" s="1"/>
      <c r="C908" s="2"/>
    </row>
    <row r="909" spans="2:3">
      <c r="B909" s="1"/>
      <c r="C909" s="2"/>
    </row>
    <row r="910" spans="2:3">
      <c r="B910" s="1"/>
      <c r="C910" s="2"/>
    </row>
    <row r="911" spans="2:3">
      <c r="B911" s="1"/>
      <c r="C911" s="2"/>
    </row>
    <row r="912" spans="2:3">
      <c r="B912" s="1"/>
      <c r="C912" s="2"/>
    </row>
    <row r="913" spans="2:3">
      <c r="B913" s="1"/>
      <c r="C913" s="2"/>
    </row>
    <row r="914" spans="2:3">
      <c r="B914" s="1"/>
      <c r="C914" s="2"/>
    </row>
    <row r="915" spans="2:3">
      <c r="B915" s="1"/>
      <c r="C915" s="2"/>
    </row>
    <row r="916" spans="2:3">
      <c r="B916" s="1"/>
      <c r="C916" s="2"/>
    </row>
    <row r="917" spans="2:3">
      <c r="B917" s="1"/>
      <c r="C917" s="2"/>
    </row>
    <row r="918" spans="2:3">
      <c r="B918" s="1"/>
      <c r="C918" s="2"/>
    </row>
    <row r="919" spans="2:3">
      <c r="B919" s="1"/>
      <c r="C919" s="2"/>
    </row>
    <row r="920" spans="2:3">
      <c r="B920" s="1"/>
      <c r="C920" s="2"/>
    </row>
    <row r="921" spans="2:3">
      <c r="B921" s="1"/>
      <c r="C921" s="2"/>
    </row>
    <row r="922" spans="2:3">
      <c r="B922" s="1"/>
      <c r="C922" s="2"/>
    </row>
    <row r="923" spans="2:3">
      <c r="B923" s="1"/>
      <c r="C923" s="2"/>
    </row>
    <row r="924" spans="2:3">
      <c r="B924" s="1"/>
      <c r="C924" s="2"/>
    </row>
    <row r="925" spans="2:3">
      <c r="B925" s="1"/>
      <c r="C925" s="2"/>
    </row>
    <row r="926" spans="2:3">
      <c r="B926" s="1"/>
      <c r="C926" s="2"/>
    </row>
    <row r="927" spans="2:3">
      <c r="B927" s="1"/>
      <c r="C927" s="2"/>
    </row>
    <row r="928" spans="2:3">
      <c r="B928" s="1"/>
      <c r="C928" s="2"/>
    </row>
    <row r="929" spans="2:3">
      <c r="B929" s="1"/>
      <c r="C929" s="2"/>
    </row>
    <row r="930" spans="2:3">
      <c r="B930" s="1"/>
      <c r="C930" s="2"/>
    </row>
    <row r="931" spans="2:3">
      <c r="B931" s="1"/>
      <c r="C931" s="2"/>
    </row>
    <row r="932" spans="2:3">
      <c r="B932" s="1"/>
      <c r="C932" s="2"/>
    </row>
    <row r="933" spans="2:3">
      <c r="B933" s="1"/>
      <c r="C933" s="2"/>
    </row>
    <row r="934" spans="2:3">
      <c r="B934" s="1"/>
      <c r="C934" s="2"/>
    </row>
    <row r="935" spans="2:3">
      <c r="B935" s="1"/>
      <c r="C935" s="2"/>
    </row>
    <row r="936" spans="2:3">
      <c r="B936" s="1"/>
      <c r="C936" s="2"/>
    </row>
    <row r="937" spans="2:3">
      <c r="B937" s="1"/>
      <c r="C937" s="2"/>
    </row>
    <row r="938" spans="2:3">
      <c r="B938" s="1"/>
      <c r="C938" s="2"/>
    </row>
    <row r="939" spans="2:3">
      <c r="B939" s="1"/>
      <c r="C939" s="2"/>
    </row>
    <row r="940" spans="2:3">
      <c r="B940" s="1"/>
      <c r="C940" s="2"/>
    </row>
    <row r="941" spans="2:3">
      <c r="B941" s="1"/>
      <c r="C941" s="2"/>
    </row>
    <row r="942" spans="2:3">
      <c r="B942" s="1"/>
      <c r="C942" s="2"/>
    </row>
    <row r="943" spans="2:3">
      <c r="B943" s="1"/>
      <c r="C943" s="2"/>
    </row>
    <row r="944" spans="2:3">
      <c r="B944" s="1"/>
      <c r="C944" s="2"/>
    </row>
    <row r="945" spans="2:3">
      <c r="B945" s="1"/>
      <c r="C945" s="2"/>
    </row>
    <row r="946" spans="2:3">
      <c r="B946" s="1"/>
      <c r="C946" s="2"/>
    </row>
    <row r="947" spans="2:3">
      <c r="B947" s="1"/>
      <c r="C947" s="2"/>
    </row>
    <row r="948" spans="2:3">
      <c r="B948" s="1"/>
      <c r="C948" s="2"/>
    </row>
    <row r="949" spans="2:3">
      <c r="B949" s="1"/>
      <c r="C949" s="2"/>
    </row>
    <row r="950" spans="2:3">
      <c r="B950" s="1"/>
      <c r="C950" s="2"/>
    </row>
    <row r="951" spans="2:3">
      <c r="B951" s="1"/>
      <c r="C951" s="2"/>
    </row>
    <row r="952" spans="2:3">
      <c r="B952" s="1"/>
      <c r="C952" s="2"/>
    </row>
    <row r="953" spans="2:3">
      <c r="B953" s="1"/>
      <c r="C953" s="2"/>
    </row>
    <row r="954" spans="2:3">
      <c r="B954" s="1"/>
      <c r="C954" s="2"/>
    </row>
    <row r="955" spans="2:3">
      <c r="B955" s="1"/>
      <c r="C955" s="2"/>
    </row>
    <row r="956" spans="2:3">
      <c r="B956" s="1"/>
      <c r="C956" s="2"/>
    </row>
    <row r="957" spans="2:3">
      <c r="B957" s="1"/>
      <c r="C957" s="2"/>
    </row>
    <row r="958" spans="2:3">
      <c r="B958" s="1"/>
      <c r="C958" s="2"/>
    </row>
    <row r="959" spans="2:3">
      <c r="B959" s="1"/>
      <c r="C959" s="2"/>
    </row>
    <row r="960" spans="2:3">
      <c r="B960" s="1"/>
      <c r="C960" s="2"/>
    </row>
    <row r="961" spans="2:3">
      <c r="B961" s="1"/>
      <c r="C961" s="2"/>
    </row>
    <row r="962" spans="2:3">
      <c r="B962" s="1"/>
      <c r="C962" s="2"/>
    </row>
    <row r="963" spans="2:3">
      <c r="B963" s="1"/>
      <c r="C963" s="2"/>
    </row>
    <row r="964" spans="2:3">
      <c r="B964" s="1"/>
      <c r="C964" s="2"/>
    </row>
    <row r="965" spans="2:3">
      <c r="B965" s="1"/>
      <c r="C965" s="2"/>
    </row>
    <row r="966" spans="2:3">
      <c r="B966" s="1"/>
      <c r="C966" s="2"/>
    </row>
    <row r="967" spans="2:3">
      <c r="B967" s="1"/>
      <c r="C967" s="2"/>
    </row>
    <row r="968" spans="2:3">
      <c r="B968" s="1"/>
      <c r="C968" s="2"/>
    </row>
    <row r="969" spans="2:3">
      <c r="B969" s="1"/>
      <c r="C969" s="2"/>
    </row>
    <row r="970" spans="2:3">
      <c r="B970" s="1"/>
      <c r="C970" s="2"/>
    </row>
    <row r="971" spans="2:3">
      <c r="B971" s="1"/>
      <c r="C971" s="2"/>
    </row>
    <row r="972" spans="2:3">
      <c r="B972" s="1"/>
      <c r="C972" s="2"/>
    </row>
    <row r="973" spans="2:3">
      <c r="B973" s="1"/>
      <c r="C973" s="2"/>
    </row>
    <row r="974" spans="2:3">
      <c r="B974" s="1"/>
      <c r="C974" s="2"/>
    </row>
    <row r="975" spans="2:3">
      <c r="B975" s="1"/>
      <c r="C975" s="2"/>
    </row>
    <row r="976" spans="2:3">
      <c r="B976" s="1"/>
      <c r="C976" s="2"/>
    </row>
    <row r="977" spans="2:3">
      <c r="B977" s="1"/>
      <c r="C977" s="2"/>
    </row>
    <row r="978" spans="2:3">
      <c r="B978" s="1"/>
      <c r="C978" s="2"/>
    </row>
    <row r="979" spans="2:3">
      <c r="B979" s="1"/>
      <c r="C979" s="2"/>
    </row>
    <row r="980" spans="2:3">
      <c r="B980" s="1"/>
      <c r="C980" s="2"/>
    </row>
    <row r="981" spans="2:3">
      <c r="B981" s="1"/>
      <c r="C981" s="2"/>
    </row>
    <row r="982" spans="2:3">
      <c r="B982" s="1"/>
      <c r="C982" s="2"/>
    </row>
    <row r="983" spans="2:3">
      <c r="B983" s="1"/>
      <c r="C983" s="2"/>
    </row>
    <row r="984" spans="2:3">
      <c r="B984" s="1"/>
      <c r="C984" s="2"/>
    </row>
    <row r="985" spans="2:3">
      <c r="B985" s="1"/>
      <c r="C985" s="2"/>
    </row>
    <row r="986" spans="2:3">
      <c r="B986" s="1"/>
      <c r="C986" s="2"/>
    </row>
    <row r="987" spans="2:3">
      <c r="B987" s="1"/>
      <c r="C987" s="2"/>
    </row>
    <row r="988" spans="2:3">
      <c r="B988" s="1"/>
      <c r="C988" s="2"/>
    </row>
    <row r="989" spans="2:3">
      <c r="B989" s="1"/>
      <c r="C989" s="2"/>
    </row>
    <row r="990" spans="2:3">
      <c r="B990" s="1"/>
      <c r="C990" s="2"/>
    </row>
    <row r="991" spans="2:3">
      <c r="B991" s="1"/>
      <c r="C991" s="2"/>
    </row>
    <row r="992" spans="2:3">
      <c r="B992" s="1"/>
      <c r="C992" s="2"/>
    </row>
    <row r="993" spans="2:3">
      <c r="B993" s="1"/>
      <c r="C993" s="2"/>
    </row>
    <row r="994" spans="2:3">
      <c r="B994" s="1"/>
      <c r="C994" s="2"/>
    </row>
    <row r="995" spans="2:3">
      <c r="B995" s="1"/>
      <c r="C995" s="2"/>
    </row>
    <row r="996" spans="2:3">
      <c r="B996" s="1"/>
      <c r="C996" s="2"/>
    </row>
    <row r="997" spans="2:3">
      <c r="B997" s="1"/>
      <c r="C997" s="2"/>
    </row>
    <row r="998" spans="2:3">
      <c r="B998" s="1"/>
      <c r="C998" s="2"/>
    </row>
    <row r="999" spans="2:3">
      <c r="B999" s="1"/>
      <c r="C999" s="2"/>
    </row>
    <row r="1000" spans="2:3">
      <c r="B1000" s="1"/>
      <c r="C1000" s="2"/>
    </row>
  </sheetData>
  <mergeCells count="1">
    <mergeCell ref="A1:H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00"/>
  <sheetViews>
    <sheetView workbookViewId="0">
      <selection sqref="A1:H300"/>
    </sheetView>
  </sheetViews>
  <sheetFormatPr defaultRowHeight="15"/>
  <cols>
    <col min="1" max="1" width="78.28515625" bestFit="1" customWidth="1"/>
    <col min="2" max="2" width="10.7109375" bestFit="1" customWidth="1"/>
    <col min="3" max="3" width="14.42578125" customWidth="1"/>
  </cols>
  <sheetData>
    <row r="1" spans="1:8" ht="21">
      <c r="A1" s="179"/>
      <c r="B1" s="180"/>
      <c r="C1" s="180"/>
      <c r="D1" s="180"/>
      <c r="E1" s="180"/>
      <c r="F1" s="180"/>
      <c r="G1" s="180"/>
      <c r="H1" s="180"/>
    </row>
    <row r="2" spans="1:8">
      <c r="B2" s="1"/>
      <c r="C2" s="2"/>
    </row>
    <row r="3" spans="1:8">
      <c r="A3" s="3"/>
      <c r="B3" s="1"/>
      <c r="C3" s="2"/>
    </row>
    <row r="4" spans="1:8">
      <c r="B4" s="1"/>
      <c r="C4" s="2"/>
    </row>
    <row r="5" spans="1:8">
      <c r="B5" s="1"/>
      <c r="C5" s="2"/>
    </row>
    <row r="6" spans="1:8">
      <c r="B6" s="1"/>
      <c r="C6" s="2"/>
    </row>
    <row r="7" spans="1:8">
      <c r="B7" s="1"/>
      <c r="C7" s="2"/>
    </row>
    <row r="8" spans="1:8">
      <c r="B8" s="1"/>
      <c r="C8" s="2"/>
    </row>
    <row r="9" spans="1:8">
      <c r="B9" s="1"/>
      <c r="C9" s="2"/>
    </row>
    <row r="10" spans="1:8">
      <c r="B10" s="1"/>
      <c r="C10" s="2"/>
    </row>
    <row r="11" spans="1:8">
      <c r="B11" s="1"/>
      <c r="C11" s="2"/>
    </row>
    <row r="12" spans="1:8">
      <c r="B12" s="1"/>
      <c r="C12" s="2"/>
    </row>
    <row r="13" spans="1:8">
      <c r="A13" s="3"/>
      <c r="B13" s="1"/>
      <c r="C13" s="2"/>
    </row>
    <row r="14" spans="1:8">
      <c r="B14" s="1"/>
      <c r="C14" s="2"/>
    </row>
    <row r="15" spans="1:8">
      <c r="A15" s="3"/>
      <c r="B15" s="1"/>
      <c r="C15" s="2"/>
    </row>
    <row r="16" spans="1:8">
      <c r="A16" s="3"/>
      <c r="B16" s="1"/>
      <c r="C16" s="2"/>
    </row>
    <row r="17" spans="1:3">
      <c r="B17" s="1"/>
      <c r="C17" s="2"/>
    </row>
    <row r="18" spans="1:3">
      <c r="B18" s="1"/>
      <c r="C18" s="2"/>
    </row>
    <row r="19" spans="1:3">
      <c r="A19" s="3"/>
      <c r="B19" s="1"/>
      <c r="C19" s="2"/>
    </row>
    <row r="20" spans="1:3">
      <c r="B20" s="1"/>
      <c r="C20" s="2"/>
    </row>
    <row r="21" spans="1:3">
      <c r="B21" s="1"/>
      <c r="C21" s="2"/>
    </row>
    <row r="22" spans="1:3">
      <c r="B22" s="1"/>
      <c r="C22" s="2"/>
    </row>
    <row r="23" spans="1:3">
      <c r="A23" s="3"/>
      <c r="B23" s="1"/>
      <c r="C23" s="2"/>
    </row>
    <row r="24" spans="1:3">
      <c r="B24" s="1"/>
      <c r="C24" s="2"/>
    </row>
    <row r="25" spans="1:3">
      <c r="B25" s="1"/>
      <c r="C25" s="2"/>
    </row>
    <row r="26" spans="1:3">
      <c r="B26" s="1"/>
      <c r="C26" s="2"/>
    </row>
    <row r="27" spans="1:3">
      <c r="B27" s="1"/>
      <c r="C27" s="2"/>
    </row>
    <row r="28" spans="1:3">
      <c r="B28" s="1"/>
      <c r="C28" s="2"/>
    </row>
    <row r="29" spans="1:3">
      <c r="B29" s="1"/>
      <c r="C29" s="2"/>
    </row>
    <row r="30" spans="1:3">
      <c r="B30" s="1"/>
      <c r="C30" s="2"/>
    </row>
    <row r="31" spans="1:3">
      <c r="B31" s="1"/>
      <c r="C31" s="2"/>
    </row>
    <row r="32" spans="1:3">
      <c r="A32" s="3"/>
      <c r="B32" s="1"/>
      <c r="C32" s="2"/>
    </row>
    <row r="33" spans="1:3">
      <c r="B33" s="1"/>
      <c r="C33" s="2"/>
    </row>
    <row r="34" spans="1:3">
      <c r="B34" s="1"/>
      <c r="C34" s="2"/>
    </row>
    <row r="35" spans="1:3">
      <c r="A35" s="3"/>
      <c r="B35" s="1"/>
      <c r="C35" s="2"/>
    </row>
    <row r="36" spans="1:3">
      <c r="B36" s="1"/>
      <c r="C36" s="2"/>
    </row>
    <row r="37" spans="1:3">
      <c r="B37" s="1"/>
      <c r="C37" s="2"/>
    </row>
    <row r="38" spans="1:3">
      <c r="B38" s="1"/>
      <c r="C38" s="2"/>
    </row>
    <row r="39" spans="1:3">
      <c r="B39" s="1"/>
      <c r="C39" s="2"/>
    </row>
    <row r="40" spans="1:3">
      <c r="B40" s="1"/>
      <c r="C40" s="2"/>
    </row>
    <row r="41" spans="1:3">
      <c r="A41" s="3"/>
      <c r="B41" s="1"/>
      <c r="C41" s="2"/>
    </row>
    <row r="42" spans="1:3">
      <c r="A42" s="3"/>
      <c r="B42" s="1"/>
      <c r="C42" s="2"/>
    </row>
    <row r="43" spans="1:3">
      <c r="B43" s="1"/>
      <c r="C43" s="2"/>
    </row>
    <row r="44" spans="1:3">
      <c r="B44" s="1"/>
      <c r="C44" s="2"/>
    </row>
    <row r="45" spans="1:3">
      <c r="B45" s="1"/>
      <c r="C45" s="2"/>
    </row>
    <row r="46" spans="1:3">
      <c r="B46" s="1"/>
      <c r="C46" s="2"/>
    </row>
    <row r="47" spans="1:3">
      <c r="B47" s="1"/>
      <c r="C47" s="2"/>
    </row>
    <row r="48" spans="1:3">
      <c r="B48" s="1"/>
      <c r="C48" s="2"/>
    </row>
    <row r="49" spans="1:3">
      <c r="B49" s="1"/>
      <c r="C49" s="2"/>
    </row>
    <row r="50" spans="1:3">
      <c r="A50" s="3"/>
      <c r="B50" s="1"/>
      <c r="C50" s="2"/>
    </row>
    <row r="51" spans="1:3">
      <c r="B51" s="1"/>
      <c r="C51" s="2"/>
    </row>
    <row r="52" spans="1:3">
      <c r="B52" s="1"/>
      <c r="C52" s="2"/>
    </row>
    <row r="53" spans="1:3">
      <c r="B53" s="1"/>
      <c r="C53" s="2"/>
    </row>
    <row r="54" spans="1:3">
      <c r="B54" s="1"/>
      <c r="C54" s="2"/>
    </row>
    <row r="55" spans="1:3">
      <c r="B55" s="1"/>
      <c r="C55" s="2"/>
    </row>
    <row r="56" spans="1:3">
      <c r="B56" s="1"/>
      <c r="C56" s="2"/>
    </row>
    <row r="57" spans="1:3">
      <c r="B57" s="1"/>
      <c r="C57" s="2"/>
    </row>
    <row r="58" spans="1:3">
      <c r="B58" s="1"/>
      <c r="C58" s="2"/>
    </row>
    <row r="59" spans="1:3">
      <c r="B59" s="1"/>
      <c r="C59" s="2"/>
    </row>
    <row r="60" spans="1:3">
      <c r="A60" s="3"/>
      <c r="B60" s="1"/>
      <c r="C60" s="2"/>
    </row>
    <row r="61" spans="1:3">
      <c r="B61" s="1"/>
      <c r="C61" s="2"/>
    </row>
    <row r="62" spans="1:3">
      <c r="B62" s="1"/>
      <c r="C62" s="2"/>
    </row>
    <row r="63" spans="1:3">
      <c r="A63" s="3"/>
      <c r="B63" s="1"/>
      <c r="C63" s="2"/>
    </row>
    <row r="64" spans="1:3">
      <c r="B64" s="1"/>
      <c r="C64" s="2"/>
    </row>
    <row r="65" spans="1:3">
      <c r="B65" s="1"/>
      <c r="C65" s="2"/>
    </row>
    <row r="66" spans="1:3">
      <c r="A66" s="3"/>
      <c r="B66" s="1"/>
      <c r="C66" s="2"/>
    </row>
    <row r="67" spans="1:3">
      <c r="B67" s="1"/>
      <c r="C67" s="2"/>
    </row>
    <row r="68" spans="1:3">
      <c r="B68" s="1"/>
      <c r="C68" s="2"/>
    </row>
    <row r="69" spans="1:3">
      <c r="B69" s="1"/>
      <c r="C69" s="2"/>
    </row>
    <row r="70" spans="1:3">
      <c r="B70" s="1"/>
      <c r="C70" s="2"/>
    </row>
    <row r="71" spans="1:3">
      <c r="B71" s="1"/>
      <c r="C71" s="2"/>
    </row>
    <row r="72" spans="1:3">
      <c r="A72" s="3"/>
      <c r="B72" s="1"/>
      <c r="C72" s="2"/>
    </row>
    <row r="73" spans="1:3">
      <c r="B73" s="1"/>
      <c r="C73" s="2"/>
    </row>
    <row r="74" spans="1:3">
      <c r="B74" s="1"/>
      <c r="C74" s="2"/>
    </row>
    <row r="75" spans="1:3">
      <c r="B75" s="1"/>
      <c r="C75" s="2"/>
    </row>
    <row r="76" spans="1:3">
      <c r="B76" s="1"/>
      <c r="C76" s="2"/>
    </row>
    <row r="77" spans="1:3">
      <c r="B77" s="1"/>
      <c r="C77" s="2"/>
    </row>
    <row r="78" spans="1:3">
      <c r="A78" s="3"/>
      <c r="B78" s="1"/>
      <c r="C78" s="2"/>
    </row>
    <row r="79" spans="1:3">
      <c r="A79" s="3"/>
      <c r="B79" s="1"/>
      <c r="C79" s="2"/>
    </row>
    <row r="80" spans="1:3">
      <c r="A80" s="3"/>
      <c r="B80" s="1"/>
      <c r="C80" s="2"/>
    </row>
    <row r="81" spans="1:3">
      <c r="B81" s="1"/>
      <c r="C81" s="2"/>
    </row>
    <row r="82" spans="1:3">
      <c r="B82" s="1"/>
      <c r="C82" s="2"/>
    </row>
    <row r="83" spans="1:3">
      <c r="B83" s="1"/>
      <c r="C83" s="2"/>
    </row>
    <row r="84" spans="1:3">
      <c r="B84" s="1"/>
      <c r="C84" s="2"/>
    </row>
    <row r="85" spans="1:3">
      <c r="B85" s="1"/>
      <c r="C85" s="2"/>
    </row>
    <row r="86" spans="1:3">
      <c r="B86" s="1"/>
      <c r="C86" s="2"/>
    </row>
    <row r="87" spans="1:3">
      <c r="B87" s="1"/>
      <c r="C87" s="2"/>
    </row>
    <row r="88" spans="1:3">
      <c r="B88" s="1"/>
      <c r="C88" s="2"/>
    </row>
    <row r="89" spans="1:3">
      <c r="B89" s="1"/>
      <c r="C89" s="2"/>
    </row>
    <row r="90" spans="1:3">
      <c r="B90" s="1"/>
      <c r="C90" s="2"/>
    </row>
    <row r="91" spans="1:3">
      <c r="B91" s="1"/>
      <c r="C91" s="2"/>
    </row>
    <row r="92" spans="1:3">
      <c r="B92" s="1"/>
      <c r="C92" s="2"/>
    </row>
    <row r="93" spans="1:3">
      <c r="B93" s="1"/>
      <c r="C93" s="2"/>
    </row>
    <row r="94" spans="1:3">
      <c r="B94" s="1"/>
      <c r="C94" s="2"/>
    </row>
    <row r="95" spans="1:3">
      <c r="A95" s="3"/>
      <c r="B95" s="1"/>
      <c r="C95" s="2"/>
    </row>
    <row r="96" spans="1:3">
      <c r="B96" s="1"/>
      <c r="C96" s="2"/>
    </row>
    <row r="97" spans="1:3">
      <c r="B97" s="1"/>
      <c r="C97" s="2"/>
    </row>
    <row r="98" spans="1:3">
      <c r="B98" s="1"/>
      <c r="C98" s="2"/>
    </row>
    <row r="99" spans="1:3">
      <c r="B99" s="1"/>
      <c r="C99" s="2"/>
    </row>
    <row r="100" spans="1:3">
      <c r="B100" s="1"/>
      <c r="C100" s="2"/>
    </row>
    <row r="101" spans="1:3">
      <c r="B101" s="1"/>
      <c r="C101" s="2"/>
    </row>
    <row r="102" spans="1:3">
      <c r="B102" s="1"/>
      <c r="C102" s="2"/>
    </row>
    <row r="103" spans="1:3">
      <c r="B103" s="1"/>
      <c r="C103" s="2"/>
    </row>
    <row r="104" spans="1:3">
      <c r="B104" s="1"/>
      <c r="C104" s="2"/>
    </row>
    <row r="105" spans="1:3">
      <c r="B105" s="1"/>
      <c r="C105" s="2"/>
    </row>
    <row r="106" spans="1:3">
      <c r="B106" s="1"/>
      <c r="C106" s="2"/>
    </row>
    <row r="107" spans="1:3">
      <c r="B107" s="1"/>
      <c r="C107" s="2"/>
    </row>
    <row r="108" spans="1:3">
      <c r="B108" s="1"/>
      <c r="C108" s="2"/>
    </row>
    <row r="109" spans="1:3">
      <c r="A109" s="3"/>
      <c r="B109" s="1"/>
      <c r="C109" s="2"/>
    </row>
    <row r="110" spans="1:3">
      <c r="A110" s="3"/>
      <c r="B110" s="1"/>
      <c r="C110" s="2"/>
    </row>
    <row r="111" spans="1:3">
      <c r="B111" s="1"/>
      <c r="C111" s="2"/>
    </row>
    <row r="112" spans="1:3">
      <c r="B112" s="1"/>
      <c r="C112" s="2"/>
    </row>
    <row r="113" spans="1:3">
      <c r="B113" s="1"/>
      <c r="C113" s="2"/>
    </row>
    <row r="114" spans="1:3">
      <c r="B114" s="1"/>
      <c r="C114" s="2"/>
    </row>
    <row r="115" spans="1:3">
      <c r="B115" s="1"/>
      <c r="C115" s="2"/>
    </row>
    <row r="116" spans="1:3">
      <c r="B116" s="1"/>
      <c r="C116" s="2"/>
    </row>
    <row r="117" spans="1:3">
      <c r="B117" s="1"/>
      <c r="C117" s="2"/>
    </row>
    <row r="118" spans="1:3">
      <c r="B118" s="1"/>
      <c r="C118" s="2"/>
    </row>
    <row r="119" spans="1:3">
      <c r="B119" s="1"/>
      <c r="C119" s="2"/>
    </row>
    <row r="120" spans="1:3">
      <c r="B120" s="1"/>
      <c r="C120" s="2"/>
    </row>
    <row r="121" spans="1:3">
      <c r="B121" s="1"/>
      <c r="C121" s="2"/>
    </row>
    <row r="122" spans="1:3">
      <c r="B122" s="1"/>
      <c r="C122" s="2"/>
    </row>
    <row r="123" spans="1:3">
      <c r="B123" s="1"/>
      <c r="C123" s="2"/>
    </row>
    <row r="124" spans="1:3">
      <c r="B124" s="1"/>
      <c r="C124" s="2"/>
    </row>
    <row r="125" spans="1:3">
      <c r="B125" s="1"/>
      <c r="C125" s="2"/>
    </row>
    <row r="126" spans="1:3">
      <c r="B126" s="1"/>
      <c r="C126" s="2"/>
    </row>
    <row r="127" spans="1:3">
      <c r="B127" s="1"/>
      <c r="C127" s="2"/>
    </row>
    <row r="128" spans="1:3">
      <c r="A128" s="3"/>
      <c r="B128" s="1"/>
      <c r="C128" s="2"/>
    </row>
    <row r="129" spans="1:3">
      <c r="B129" s="1"/>
      <c r="C129" s="2"/>
    </row>
    <row r="130" spans="1:3">
      <c r="B130" s="1"/>
      <c r="C130" s="2"/>
    </row>
    <row r="131" spans="1:3">
      <c r="A131" s="3"/>
      <c r="B131" s="1"/>
      <c r="C131" s="2"/>
    </row>
    <row r="132" spans="1:3">
      <c r="B132" s="1"/>
      <c r="C132" s="2"/>
    </row>
    <row r="133" spans="1:3">
      <c r="A133" s="3"/>
      <c r="B133" s="1"/>
      <c r="C133" s="2"/>
    </row>
    <row r="134" spans="1:3">
      <c r="B134" s="1"/>
      <c r="C134" s="2"/>
    </row>
    <row r="135" spans="1:3">
      <c r="B135" s="1"/>
      <c r="C135" s="2"/>
    </row>
    <row r="136" spans="1:3">
      <c r="B136" s="1"/>
      <c r="C136" s="2"/>
    </row>
    <row r="137" spans="1:3">
      <c r="B137" s="1"/>
      <c r="C137" s="2"/>
    </row>
    <row r="138" spans="1:3">
      <c r="B138" s="1"/>
      <c r="C138" s="2"/>
    </row>
    <row r="139" spans="1:3">
      <c r="B139" s="1"/>
      <c r="C139" s="2"/>
    </row>
    <row r="140" spans="1:3">
      <c r="B140" s="1"/>
      <c r="C140" s="2"/>
    </row>
    <row r="141" spans="1:3">
      <c r="B141" s="1"/>
      <c r="C141" s="2"/>
    </row>
    <row r="142" spans="1:3">
      <c r="B142" s="1"/>
      <c r="C142" s="2"/>
    </row>
    <row r="143" spans="1:3">
      <c r="B143" s="1"/>
      <c r="C143" s="2"/>
    </row>
    <row r="144" spans="1:3">
      <c r="B144" s="1"/>
      <c r="C144" s="2"/>
    </row>
    <row r="145" spans="1:3">
      <c r="B145" s="1"/>
      <c r="C145" s="2"/>
    </row>
    <row r="146" spans="1:3">
      <c r="B146" s="1"/>
      <c r="C146" s="2"/>
    </row>
    <row r="147" spans="1:3">
      <c r="B147" s="1"/>
      <c r="C147" s="2"/>
    </row>
    <row r="148" spans="1:3">
      <c r="B148" s="1"/>
      <c r="C148" s="2"/>
    </row>
    <row r="149" spans="1:3">
      <c r="B149" s="1"/>
      <c r="C149" s="2"/>
    </row>
    <row r="150" spans="1:3">
      <c r="B150" s="1"/>
      <c r="C150" s="2"/>
    </row>
    <row r="151" spans="1:3">
      <c r="B151" s="1"/>
      <c r="C151" s="2"/>
    </row>
    <row r="152" spans="1:3">
      <c r="B152" s="1"/>
      <c r="C152" s="2"/>
    </row>
    <row r="153" spans="1:3">
      <c r="B153" s="1"/>
      <c r="C153" s="2"/>
    </row>
    <row r="154" spans="1:3">
      <c r="B154" s="1"/>
      <c r="C154" s="2"/>
    </row>
    <row r="155" spans="1:3">
      <c r="B155" s="1"/>
      <c r="C155" s="2"/>
    </row>
    <row r="156" spans="1:3">
      <c r="B156" s="1"/>
      <c r="C156" s="2"/>
    </row>
    <row r="157" spans="1:3">
      <c r="B157" s="1"/>
      <c r="C157" s="2"/>
    </row>
    <row r="158" spans="1:3">
      <c r="B158" s="1"/>
      <c r="C158" s="2"/>
    </row>
    <row r="159" spans="1:3">
      <c r="A159" s="3"/>
      <c r="B159" s="1"/>
      <c r="C159" s="2"/>
    </row>
    <row r="160" spans="1:3">
      <c r="B160" s="1"/>
      <c r="C160" s="2"/>
    </row>
    <row r="161" spans="1:3">
      <c r="A161" s="3"/>
      <c r="B161" s="1"/>
      <c r="C161" s="2"/>
    </row>
    <row r="162" spans="1:3">
      <c r="B162" s="1"/>
      <c r="C162" s="2"/>
    </row>
    <row r="163" spans="1:3">
      <c r="B163" s="1"/>
      <c r="C163" s="2"/>
    </row>
    <row r="164" spans="1:3">
      <c r="B164" s="1"/>
      <c r="C164" s="2"/>
    </row>
    <row r="165" spans="1:3">
      <c r="B165" s="1"/>
      <c r="C165" s="2"/>
    </row>
    <row r="166" spans="1:3">
      <c r="B166" s="1"/>
      <c r="C166" s="2"/>
    </row>
    <row r="167" spans="1:3">
      <c r="B167" s="1"/>
      <c r="C167" s="2"/>
    </row>
    <row r="168" spans="1:3">
      <c r="B168" s="1"/>
      <c r="C168" s="2"/>
    </row>
    <row r="169" spans="1:3">
      <c r="A169" s="3"/>
      <c r="B169" s="1"/>
      <c r="C169" s="2"/>
    </row>
    <row r="170" spans="1:3">
      <c r="A170" s="3"/>
      <c r="B170" s="1"/>
      <c r="C170" s="2"/>
    </row>
    <row r="171" spans="1:3">
      <c r="B171" s="1"/>
      <c r="C171" s="2"/>
    </row>
    <row r="172" spans="1:3">
      <c r="B172" s="1"/>
      <c r="C172" s="2"/>
    </row>
    <row r="173" spans="1:3">
      <c r="B173" s="1"/>
      <c r="C173" s="2"/>
    </row>
    <row r="174" spans="1:3">
      <c r="B174" s="1"/>
      <c r="C174" s="2"/>
    </row>
    <row r="175" spans="1:3">
      <c r="B175" s="1"/>
      <c r="C175" s="2"/>
    </row>
    <row r="176" spans="1:3">
      <c r="B176" s="1"/>
      <c r="C176" s="2"/>
    </row>
    <row r="177" spans="1:3">
      <c r="B177" s="1"/>
      <c r="C177" s="2"/>
    </row>
    <row r="178" spans="1:3">
      <c r="A178" s="3"/>
      <c r="B178" s="1"/>
      <c r="C178" s="2"/>
    </row>
    <row r="179" spans="1:3">
      <c r="A179" s="3"/>
      <c r="B179" s="1"/>
      <c r="C179" s="2"/>
    </row>
    <row r="180" spans="1:3">
      <c r="B180" s="1"/>
      <c r="C180" s="2"/>
    </row>
    <row r="181" spans="1:3">
      <c r="B181" s="1"/>
      <c r="C181" s="2"/>
    </row>
    <row r="182" spans="1:3">
      <c r="B182" s="1"/>
      <c r="C182" s="2"/>
    </row>
    <row r="183" spans="1:3">
      <c r="B183" s="1"/>
      <c r="C183" s="2"/>
    </row>
    <row r="184" spans="1:3">
      <c r="B184" s="1"/>
      <c r="C184" s="2"/>
    </row>
    <row r="185" spans="1:3">
      <c r="B185" s="1"/>
      <c r="C185" s="2"/>
    </row>
    <row r="186" spans="1:3">
      <c r="A186" s="3"/>
      <c r="B186" s="1"/>
      <c r="C186" s="2"/>
    </row>
    <row r="187" spans="1:3">
      <c r="A187" s="3"/>
      <c r="B187" s="1"/>
      <c r="C187" s="2"/>
    </row>
    <row r="188" spans="1:3">
      <c r="A188" s="3"/>
      <c r="B188" s="1"/>
      <c r="C188" s="2"/>
    </row>
    <row r="189" spans="1:3">
      <c r="B189" s="1"/>
      <c r="C189" s="2"/>
    </row>
    <row r="190" spans="1:3">
      <c r="A190" s="3"/>
      <c r="B190" s="1"/>
      <c r="C190" s="2"/>
    </row>
    <row r="191" spans="1:3">
      <c r="B191" s="1"/>
      <c r="C191" s="2"/>
    </row>
    <row r="192" spans="1:3">
      <c r="A192" s="3"/>
      <c r="B192" s="1"/>
      <c r="C192" s="2"/>
    </row>
    <row r="193" spans="1:3">
      <c r="B193" s="1"/>
      <c r="C193" s="2"/>
    </row>
    <row r="194" spans="1:3">
      <c r="A194" s="3"/>
      <c r="B194" s="1"/>
      <c r="C194" s="2"/>
    </row>
    <row r="195" spans="1:3">
      <c r="A195" s="3"/>
      <c r="B195" s="1"/>
      <c r="C195" s="2"/>
    </row>
    <row r="196" spans="1:3">
      <c r="A196" s="3"/>
      <c r="B196" s="1"/>
      <c r="C196" s="2"/>
    </row>
    <row r="197" spans="1:3">
      <c r="B197" s="1"/>
      <c r="C197" s="2"/>
    </row>
    <row r="198" spans="1:3">
      <c r="B198" s="1"/>
      <c r="C198" s="2"/>
    </row>
    <row r="199" spans="1:3">
      <c r="B199" s="1"/>
      <c r="C199" s="2"/>
    </row>
    <row r="200" spans="1:3">
      <c r="B200" s="1"/>
      <c r="C200" s="2"/>
    </row>
    <row r="201" spans="1:3">
      <c r="B201" s="1"/>
      <c r="C201" s="2"/>
    </row>
    <row r="202" spans="1:3">
      <c r="B202" s="1"/>
      <c r="C202" s="2"/>
    </row>
    <row r="203" spans="1:3">
      <c r="A203" s="3"/>
      <c r="B203" s="1"/>
      <c r="C203" s="2"/>
    </row>
    <row r="204" spans="1:3">
      <c r="B204" s="1"/>
      <c r="C204" s="2"/>
    </row>
    <row r="205" spans="1:3">
      <c r="B205" s="1"/>
      <c r="C205" s="2"/>
    </row>
    <row r="206" spans="1:3">
      <c r="B206" s="1"/>
      <c r="C206" s="2"/>
    </row>
    <row r="207" spans="1:3">
      <c r="B207" s="1"/>
      <c r="C207" s="2"/>
    </row>
    <row r="208" spans="1:3">
      <c r="B208" s="1"/>
      <c r="C208" s="2"/>
    </row>
    <row r="209" spans="1:3">
      <c r="B209" s="1"/>
      <c r="C209" s="2"/>
    </row>
    <row r="210" spans="1:3">
      <c r="B210" s="1"/>
      <c r="C210" s="2"/>
    </row>
    <row r="211" spans="1:3">
      <c r="B211" s="1"/>
      <c r="C211" s="2"/>
    </row>
    <row r="212" spans="1:3">
      <c r="B212" s="1"/>
      <c r="C212" s="2"/>
    </row>
    <row r="213" spans="1:3">
      <c r="A213" s="3"/>
      <c r="B213" s="1"/>
      <c r="C213" s="2"/>
    </row>
    <row r="214" spans="1:3">
      <c r="A214" s="3"/>
      <c r="B214" s="1"/>
      <c r="C214" s="2"/>
    </row>
    <row r="215" spans="1:3">
      <c r="B215" s="1"/>
      <c r="C215" s="2"/>
    </row>
    <row r="216" spans="1:3">
      <c r="B216" s="1"/>
      <c r="C216" s="2"/>
    </row>
    <row r="217" spans="1:3">
      <c r="B217" s="1"/>
      <c r="C217" s="2"/>
    </row>
    <row r="218" spans="1:3">
      <c r="B218" s="1"/>
      <c r="C218" s="2"/>
    </row>
    <row r="219" spans="1:3">
      <c r="B219" s="1"/>
      <c r="C219" s="2"/>
    </row>
    <row r="220" spans="1:3">
      <c r="B220" s="1"/>
      <c r="C220" s="2"/>
    </row>
    <row r="221" spans="1:3">
      <c r="B221" s="1"/>
      <c r="C221" s="2"/>
    </row>
    <row r="222" spans="1:3">
      <c r="A222" s="3"/>
      <c r="B222" s="1"/>
      <c r="C222" s="2"/>
    </row>
    <row r="223" spans="1:3">
      <c r="A223" s="3"/>
      <c r="B223" s="1"/>
      <c r="C223" s="2"/>
    </row>
    <row r="224" spans="1:3">
      <c r="B224" s="1"/>
      <c r="C224" s="2"/>
    </row>
    <row r="225" spans="1:3">
      <c r="B225" s="1"/>
      <c r="C225" s="2"/>
    </row>
    <row r="226" spans="1:3">
      <c r="B226" s="1"/>
      <c r="C226" s="2"/>
    </row>
    <row r="227" spans="1:3">
      <c r="B227" s="1"/>
      <c r="C227" s="2"/>
    </row>
    <row r="228" spans="1:3">
      <c r="B228" s="1"/>
      <c r="C228" s="2"/>
    </row>
    <row r="229" spans="1:3">
      <c r="B229" s="1"/>
      <c r="C229" s="2"/>
    </row>
    <row r="230" spans="1:3">
      <c r="A230" s="3"/>
      <c r="B230" s="1"/>
      <c r="C230" s="2"/>
    </row>
    <row r="231" spans="1:3">
      <c r="A231" s="3"/>
      <c r="B231" s="1"/>
      <c r="C231" s="2"/>
    </row>
    <row r="232" spans="1:3">
      <c r="A232" s="3"/>
      <c r="B232" s="1"/>
      <c r="C232" s="2"/>
    </row>
    <row r="233" spans="1:3">
      <c r="B233" s="1"/>
      <c r="C233" s="2"/>
    </row>
    <row r="234" spans="1:3">
      <c r="A234" s="3"/>
      <c r="B234" s="1"/>
      <c r="C234" s="2"/>
    </row>
    <row r="235" spans="1:3">
      <c r="B235" s="1"/>
      <c r="C235" s="2"/>
    </row>
    <row r="236" spans="1:3">
      <c r="B236" s="1"/>
      <c r="C236" s="2"/>
    </row>
    <row r="237" spans="1:3">
      <c r="B237" s="1"/>
      <c r="C237" s="2"/>
    </row>
    <row r="238" spans="1:3">
      <c r="B238" s="1"/>
      <c r="C238" s="2"/>
    </row>
    <row r="239" spans="1:3">
      <c r="B239" s="1"/>
      <c r="C239" s="2"/>
    </row>
    <row r="240" spans="1:3">
      <c r="B240" s="1"/>
      <c r="C240" s="2"/>
    </row>
    <row r="241" spans="2:3">
      <c r="B241" s="1"/>
      <c r="C241" s="2"/>
    </row>
    <row r="242" spans="2:3">
      <c r="B242" s="1"/>
      <c r="C242" s="2"/>
    </row>
    <row r="243" spans="2:3">
      <c r="B243" s="1"/>
      <c r="C243" s="2"/>
    </row>
    <row r="244" spans="2:3">
      <c r="B244" s="1"/>
      <c r="C244" s="2"/>
    </row>
    <row r="245" spans="2:3">
      <c r="B245" s="1"/>
      <c r="C245" s="2"/>
    </row>
    <row r="246" spans="2:3">
      <c r="B246" s="1"/>
      <c r="C246" s="2"/>
    </row>
    <row r="247" spans="2:3">
      <c r="B247" s="1"/>
      <c r="C247" s="2"/>
    </row>
    <row r="248" spans="2:3">
      <c r="B248" s="1"/>
      <c r="C248" s="2"/>
    </row>
    <row r="249" spans="2:3">
      <c r="B249" s="1"/>
      <c r="C249" s="2"/>
    </row>
    <row r="250" spans="2:3">
      <c r="B250" s="1"/>
      <c r="C250" s="2"/>
    </row>
    <row r="251" spans="2:3">
      <c r="B251" s="1"/>
      <c r="C251" s="2"/>
    </row>
    <row r="252" spans="2:3">
      <c r="B252" s="1"/>
      <c r="C252" s="2"/>
    </row>
    <row r="253" spans="2:3">
      <c r="B253" s="1"/>
      <c r="C253" s="2"/>
    </row>
    <row r="254" spans="2:3">
      <c r="B254" s="1"/>
      <c r="C254" s="2"/>
    </row>
    <row r="255" spans="2:3">
      <c r="B255" s="1"/>
      <c r="C255" s="2"/>
    </row>
    <row r="256" spans="2:3">
      <c r="B256" s="1"/>
      <c r="C256" s="2"/>
    </row>
    <row r="257" spans="2:3">
      <c r="B257" s="1"/>
      <c r="C257" s="2"/>
    </row>
    <row r="258" spans="2:3">
      <c r="B258" s="1"/>
      <c r="C258" s="2"/>
    </row>
    <row r="259" spans="2:3">
      <c r="B259" s="1"/>
      <c r="C259" s="2"/>
    </row>
    <row r="260" spans="2:3">
      <c r="B260" s="1"/>
      <c r="C260" s="2"/>
    </row>
    <row r="261" spans="2:3">
      <c r="B261" s="1"/>
      <c r="C261" s="2"/>
    </row>
    <row r="262" spans="2:3">
      <c r="B262" s="1"/>
      <c r="C262" s="2"/>
    </row>
    <row r="263" spans="2:3">
      <c r="B263" s="1"/>
      <c r="C263" s="2"/>
    </row>
    <row r="264" spans="2:3">
      <c r="B264" s="1"/>
      <c r="C264" s="2"/>
    </row>
    <row r="265" spans="2:3">
      <c r="B265" s="1"/>
      <c r="C265" s="2"/>
    </row>
    <row r="266" spans="2:3">
      <c r="B266" s="1"/>
      <c r="C266" s="2"/>
    </row>
    <row r="267" spans="2:3">
      <c r="B267" s="1"/>
      <c r="C267" s="2"/>
    </row>
    <row r="268" spans="2:3">
      <c r="B268" s="1"/>
      <c r="C268" s="2"/>
    </row>
    <row r="269" spans="2:3">
      <c r="B269" s="1"/>
      <c r="C269" s="2"/>
    </row>
    <row r="270" spans="2:3">
      <c r="B270" s="1"/>
      <c r="C270" s="2"/>
    </row>
    <row r="271" spans="2:3">
      <c r="B271" s="1"/>
      <c r="C271" s="2"/>
    </row>
    <row r="272" spans="2:3">
      <c r="B272" s="1"/>
      <c r="C272" s="2"/>
    </row>
    <row r="273" spans="2:3">
      <c r="B273" s="1"/>
      <c r="C273" s="2"/>
    </row>
    <row r="274" spans="2:3">
      <c r="B274" s="1"/>
      <c r="C274" s="2"/>
    </row>
    <row r="275" spans="2:3">
      <c r="B275" s="1"/>
      <c r="C275" s="2"/>
    </row>
    <row r="276" spans="2:3">
      <c r="B276" s="1"/>
      <c r="C276" s="2"/>
    </row>
    <row r="277" spans="2:3">
      <c r="B277" s="1"/>
      <c r="C277" s="2"/>
    </row>
    <row r="278" spans="2:3">
      <c r="B278" s="1"/>
      <c r="C278" s="2"/>
    </row>
    <row r="279" spans="2:3">
      <c r="B279" s="1"/>
      <c r="C279" s="2"/>
    </row>
    <row r="280" spans="2:3">
      <c r="B280" s="1"/>
      <c r="C280" s="2"/>
    </row>
    <row r="281" spans="2:3">
      <c r="B281" s="1"/>
      <c r="C281" s="2"/>
    </row>
    <row r="282" spans="2:3">
      <c r="B282" s="1"/>
      <c r="C282" s="2"/>
    </row>
    <row r="283" spans="2:3">
      <c r="B283" s="1"/>
      <c r="C283" s="2"/>
    </row>
    <row r="284" spans="2:3">
      <c r="B284" s="1"/>
      <c r="C284" s="2"/>
    </row>
    <row r="285" spans="2:3">
      <c r="B285" s="1"/>
      <c r="C285" s="2"/>
    </row>
    <row r="286" spans="2:3">
      <c r="B286" s="1"/>
      <c r="C286" s="2"/>
    </row>
    <row r="287" spans="2:3">
      <c r="B287" s="1"/>
      <c r="C287" s="2"/>
    </row>
    <row r="288" spans="2:3">
      <c r="B288" s="1"/>
      <c r="C288" s="2"/>
    </row>
    <row r="289" spans="2:3">
      <c r="B289" s="1"/>
      <c r="C289" s="2"/>
    </row>
    <row r="290" spans="2:3">
      <c r="B290" s="1"/>
      <c r="C290" s="2"/>
    </row>
    <row r="291" spans="2:3">
      <c r="B291" s="1"/>
      <c r="C291" s="2"/>
    </row>
    <row r="292" spans="2:3">
      <c r="B292" s="1"/>
      <c r="C292" s="2"/>
    </row>
    <row r="293" spans="2:3">
      <c r="B293" s="1"/>
      <c r="C293" s="2"/>
    </row>
    <row r="294" spans="2:3">
      <c r="B294" s="1"/>
      <c r="C294" s="2"/>
    </row>
    <row r="295" spans="2:3">
      <c r="B295" s="1"/>
      <c r="C295" s="2"/>
    </row>
    <row r="296" spans="2:3">
      <c r="B296" s="1"/>
      <c r="C296" s="2"/>
    </row>
    <row r="297" spans="2:3">
      <c r="B297" s="1"/>
      <c r="C297" s="2"/>
    </row>
    <row r="298" spans="2:3">
      <c r="B298" s="1"/>
      <c r="C298" s="2"/>
    </row>
    <row r="299" spans="2:3">
      <c r="B299" s="1"/>
      <c r="C299" s="2"/>
    </row>
    <row r="300" spans="2:3">
      <c r="B300" s="1"/>
      <c r="C300" s="2"/>
    </row>
    <row r="301" spans="2:3">
      <c r="B301" s="1"/>
      <c r="C301" s="2"/>
    </row>
    <row r="302" spans="2:3">
      <c r="B302" s="1"/>
      <c r="C302" s="2"/>
    </row>
    <row r="303" spans="2:3">
      <c r="B303" s="1"/>
      <c r="C303" s="2"/>
    </row>
    <row r="304" spans="2:3">
      <c r="B304" s="1"/>
      <c r="C304" s="2"/>
    </row>
    <row r="305" spans="2:3">
      <c r="B305" s="1"/>
      <c r="C305" s="2"/>
    </row>
    <row r="306" spans="2:3">
      <c r="B306" s="1"/>
      <c r="C306" s="2"/>
    </row>
    <row r="307" spans="2:3">
      <c r="B307" s="1"/>
      <c r="C307" s="2"/>
    </row>
    <row r="308" spans="2:3">
      <c r="B308" s="1"/>
      <c r="C308" s="2"/>
    </row>
    <row r="309" spans="2:3">
      <c r="B309" s="1"/>
      <c r="C309" s="2"/>
    </row>
    <row r="310" spans="2:3">
      <c r="B310" s="1"/>
      <c r="C310" s="2"/>
    </row>
    <row r="311" spans="2:3">
      <c r="B311" s="1"/>
      <c r="C311" s="2"/>
    </row>
    <row r="312" spans="2:3">
      <c r="B312" s="1"/>
      <c r="C312" s="2"/>
    </row>
    <row r="313" spans="2:3">
      <c r="B313" s="1"/>
      <c r="C313" s="2"/>
    </row>
    <row r="314" spans="2:3">
      <c r="B314" s="1"/>
      <c r="C314" s="2"/>
    </row>
    <row r="315" spans="2:3">
      <c r="B315" s="1"/>
      <c r="C315" s="2"/>
    </row>
    <row r="316" spans="2:3">
      <c r="B316" s="1"/>
      <c r="C316" s="2"/>
    </row>
    <row r="317" spans="2:3">
      <c r="B317" s="1"/>
      <c r="C317" s="2"/>
    </row>
    <row r="318" spans="2:3">
      <c r="B318" s="1"/>
      <c r="C318" s="2"/>
    </row>
    <row r="319" spans="2:3">
      <c r="B319" s="1"/>
      <c r="C319" s="2"/>
    </row>
    <row r="320" spans="2:3">
      <c r="B320" s="1"/>
      <c r="C320" s="2"/>
    </row>
    <row r="321" spans="2:3">
      <c r="B321" s="1"/>
      <c r="C321" s="2"/>
    </row>
    <row r="322" spans="2:3">
      <c r="B322" s="1"/>
      <c r="C322" s="2"/>
    </row>
    <row r="323" spans="2:3">
      <c r="B323" s="1"/>
      <c r="C323" s="2"/>
    </row>
    <row r="324" spans="2:3">
      <c r="B324" s="1"/>
      <c r="C324" s="2"/>
    </row>
    <row r="325" spans="2:3">
      <c r="B325" s="1"/>
      <c r="C325" s="2"/>
    </row>
    <row r="326" spans="2:3">
      <c r="B326" s="1"/>
      <c r="C326" s="2"/>
    </row>
    <row r="327" spans="2:3">
      <c r="B327" s="1"/>
      <c r="C327" s="2"/>
    </row>
    <row r="328" spans="2:3">
      <c r="B328" s="1"/>
      <c r="C328" s="2"/>
    </row>
    <row r="329" spans="2:3">
      <c r="B329" s="1"/>
      <c r="C329" s="2"/>
    </row>
    <row r="330" spans="2:3">
      <c r="B330" s="1"/>
      <c r="C330" s="2"/>
    </row>
    <row r="331" spans="2:3">
      <c r="B331" s="1"/>
      <c r="C331" s="2"/>
    </row>
    <row r="332" spans="2:3">
      <c r="B332" s="1"/>
      <c r="C332" s="2"/>
    </row>
    <row r="333" spans="2:3">
      <c r="B333" s="1"/>
      <c r="C333" s="2"/>
    </row>
    <row r="334" spans="2:3">
      <c r="B334" s="1"/>
      <c r="C334" s="2"/>
    </row>
    <row r="335" spans="2:3">
      <c r="B335" s="1"/>
      <c r="C335" s="2"/>
    </row>
    <row r="336" spans="2:3">
      <c r="B336" s="1"/>
      <c r="C336" s="2"/>
    </row>
    <row r="337" spans="2:3">
      <c r="B337" s="1"/>
      <c r="C337" s="2"/>
    </row>
    <row r="338" spans="2:3">
      <c r="B338" s="1"/>
      <c r="C338" s="2"/>
    </row>
    <row r="339" spans="2:3">
      <c r="B339" s="1"/>
      <c r="C339" s="2"/>
    </row>
    <row r="340" spans="2:3">
      <c r="B340" s="1"/>
      <c r="C340" s="2"/>
    </row>
    <row r="341" spans="2:3">
      <c r="B341" s="1"/>
      <c r="C341" s="2"/>
    </row>
    <row r="342" spans="2:3">
      <c r="B342" s="1"/>
      <c r="C342" s="2"/>
    </row>
    <row r="343" spans="2:3">
      <c r="B343" s="1"/>
      <c r="C343" s="2"/>
    </row>
    <row r="344" spans="2:3">
      <c r="B344" s="1"/>
      <c r="C344" s="2"/>
    </row>
    <row r="345" spans="2:3">
      <c r="B345" s="1"/>
      <c r="C345" s="2"/>
    </row>
    <row r="346" spans="2:3">
      <c r="B346" s="1"/>
      <c r="C346" s="2"/>
    </row>
    <row r="347" spans="2:3">
      <c r="B347" s="1"/>
      <c r="C347" s="2"/>
    </row>
    <row r="348" spans="2:3">
      <c r="B348" s="1"/>
      <c r="C348" s="2"/>
    </row>
    <row r="349" spans="2:3">
      <c r="B349" s="1"/>
      <c r="C349" s="2"/>
    </row>
    <row r="350" spans="2:3">
      <c r="B350" s="1"/>
      <c r="C350" s="2"/>
    </row>
    <row r="351" spans="2:3">
      <c r="B351" s="1"/>
      <c r="C351" s="2"/>
    </row>
    <row r="352" spans="2:3">
      <c r="B352" s="1"/>
      <c r="C352" s="2"/>
    </row>
    <row r="353" spans="2:3">
      <c r="B353" s="1"/>
      <c r="C353" s="2"/>
    </row>
    <row r="354" spans="2:3">
      <c r="B354" s="1"/>
      <c r="C354" s="2"/>
    </row>
    <row r="355" spans="2:3">
      <c r="B355" s="1"/>
      <c r="C355" s="2"/>
    </row>
    <row r="356" spans="2:3">
      <c r="B356" s="1"/>
      <c r="C356" s="2"/>
    </row>
    <row r="357" spans="2:3">
      <c r="B357" s="1"/>
      <c r="C357" s="2"/>
    </row>
    <row r="358" spans="2:3">
      <c r="B358" s="1"/>
      <c r="C358" s="2"/>
    </row>
    <row r="359" spans="2:3">
      <c r="B359" s="1"/>
      <c r="C359" s="2"/>
    </row>
    <row r="360" spans="2:3">
      <c r="B360" s="1"/>
      <c r="C360" s="2"/>
    </row>
    <row r="361" spans="2:3">
      <c r="B361" s="1"/>
      <c r="C361" s="2"/>
    </row>
    <row r="362" spans="2:3">
      <c r="B362" s="1"/>
      <c r="C362" s="2"/>
    </row>
    <row r="363" spans="2:3">
      <c r="B363" s="1"/>
      <c r="C363" s="2"/>
    </row>
    <row r="364" spans="2:3">
      <c r="B364" s="1"/>
      <c r="C364" s="2"/>
    </row>
    <row r="365" spans="2:3">
      <c r="B365" s="1"/>
      <c r="C365" s="2"/>
    </row>
    <row r="366" spans="2:3">
      <c r="B366" s="1"/>
      <c r="C366" s="2"/>
    </row>
    <row r="367" spans="2:3">
      <c r="B367" s="1"/>
      <c r="C367" s="2"/>
    </row>
    <row r="368" spans="2:3">
      <c r="B368" s="1"/>
      <c r="C368" s="2"/>
    </row>
    <row r="369" spans="2:3">
      <c r="B369" s="1"/>
      <c r="C369" s="2"/>
    </row>
    <row r="370" spans="2:3">
      <c r="B370" s="1"/>
      <c r="C370" s="2"/>
    </row>
    <row r="371" spans="2:3">
      <c r="B371" s="1"/>
      <c r="C371" s="2"/>
    </row>
    <row r="372" spans="2:3">
      <c r="B372" s="1"/>
      <c r="C372" s="2"/>
    </row>
    <row r="373" spans="2:3">
      <c r="B373" s="1"/>
      <c r="C373" s="2"/>
    </row>
    <row r="374" spans="2:3">
      <c r="B374" s="1"/>
      <c r="C374" s="2"/>
    </row>
    <row r="375" spans="2:3">
      <c r="B375" s="1"/>
      <c r="C375" s="2"/>
    </row>
    <row r="376" spans="2:3">
      <c r="B376" s="1"/>
      <c r="C376" s="2"/>
    </row>
    <row r="377" spans="2:3">
      <c r="B377" s="1"/>
      <c r="C377" s="2"/>
    </row>
    <row r="378" spans="2:3">
      <c r="B378" s="1"/>
      <c r="C378" s="2"/>
    </row>
    <row r="379" spans="2:3">
      <c r="B379" s="1"/>
      <c r="C379" s="2"/>
    </row>
    <row r="380" spans="2:3">
      <c r="B380" s="1"/>
      <c r="C380" s="2"/>
    </row>
    <row r="381" spans="2:3">
      <c r="B381" s="1"/>
      <c r="C381" s="2"/>
    </row>
    <row r="382" spans="2:3">
      <c r="B382" s="1"/>
      <c r="C382" s="2"/>
    </row>
    <row r="383" spans="2:3">
      <c r="B383" s="1"/>
      <c r="C383" s="2"/>
    </row>
    <row r="384" spans="2:3">
      <c r="B384" s="1"/>
      <c r="C384" s="2"/>
    </row>
    <row r="385" spans="2:3">
      <c r="B385" s="1"/>
      <c r="C385" s="2"/>
    </row>
    <row r="386" spans="2:3">
      <c r="B386" s="1"/>
      <c r="C386" s="2"/>
    </row>
    <row r="387" spans="2:3">
      <c r="B387" s="1"/>
      <c r="C387" s="2"/>
    </row>
    <row r="388" spans="2:3">
      <c r="B388" s="1"/>
      <c r="C388" s="2"/>
    </row>
    <row r="389" spans="2:3">
      <c r="B389" s="1"/>
      <c r="C389" s="2"/>
    </row>
    <row r="390" spans="2:3">
      <c r="B390" s="1"/>
      <c r="C390" s="2"/>
    </row>
    <row r="391" spans="2:3">
      <c r="B391" s="1"/>
      <c r="C391" s="2"/>
    </row>
    <row r="392" spans="2:3">
      <c r="B392" s="1"/>
      <c r="C392" s="2"/>
    </row>
    <row r="393" spans="2:3">
      <c r="B393" s="1"/>
      <c r="C393" s="2"/>
    </row>
    <row r="394" spans="2:3">
      <c r="B394" s="1"/>
      <c r="C394" s="2"/>
    </row>
    <row r="395" spans="2:3">
      <c r="B395" s="1"/>
      <c r="C395" s="2"/>
    </row>
    <row r="396" spans="2:3">
      <c r="B396" s="1"/>
      <c r="C396" s="2"/>
    </row>
    <row r="397" spans="2:3">
      <c r="B397" s="1"/>
      <c r="C397" s="2"/>
    </row>
    <row r="398" spans="2:3">
      <c r="B398" s="1"/>
      <c r="C398" s="2"/>
    </row>
    <row r="399" spans="2:3">
      <c r="B399" s="1"/>
      <c r="C399" s="2"/>
    </row>
    <row r="400" spans="2:3">
      <c r="B400" s="1"/>
      <c r="C400" s="2"/>
    </row>
    <row r="401" spans="2:3">
      <c r="B401" s="1"/>
      <c r="C401" s="2"/>
    </row>
    <row r="402" spans="2:3">
      <c r="B402" s="1"/>
      <c r="C402" s="2"/>
    </row>
    <row r="403" spans="2:3">
      <c r="B403" s="1"/>
      <c r="C403" s="2"/>
    </row>
    <row r="404" spans="2:3">
      <c r="B404" s="1"/>
      <c r="C404" s="2"/>
    </row>
    <row r="405" spans="2:3">
      <c r="B405" s="1"/>
      <c r="C405" s="2"/>
    </row>
    <row r="406" spans="2:3">
      <c r="B406" s="1"/>
      <c r="C406" s="2"/>
    </row>
    <row r="407" spans="2:3">
      <c r="B407" s="1"/>
      <c r="C407" s="2"/>
    </row>
    <row r="408" spans="2:3">
      <c r="B408" s="1"/>
      <c r="C408" s="2"/>
    </row>
    <row r="409" spans="2:3">
      <c r="B409" s="1"/>
      <c r="C409" s="2"/>
    </row>
    <row r="410" spans="2:3">
      <c r="B410" s="1"/>
      <c r="C410" s="2"/>
    </row>
    <row r="411" spans="2:3">
      <c r="B411" s="1"/>
      <c r="C411" s="2"/>
    </row>
    <row r="412" spans="2:3">
      <c r="B412" s="1"/>
      <c r="C412" s="2"/>
    </row>
    <row r="413" spans="2:3">
      <c r="B413" s="1"/>
      <c r="C413" s="2"/>
    </row>
    <row r="414" spans="2:3">
      <c r="B414" s="1"/>
      <c r="C414" s="2"/>
    </row>
    <row r="415" spans="2:3">
      <c r="B415" s="1"/>
      <c r="C415" s="2"/>
    </row>
    <row r="416" spans="2:3">
      <c r="B416" s="1"/>
      <c r="C416" s="2"/>
    </row>
    <row r="417" spans="2:3">
      <c r="B417" s="1"/>
      <c r="C417" s="2"/>
    </row>
    <row r="418" spans="2:3">
      <c r="B418" s="1"/>
      <c r="C418" s="2"/>
    </row>
    <row r="419" spans="2:3">
      <c r="B419" s="1"/>
      <c r="C419" s="2"/>
    </row>
    <row r="420" spans="2:3">
      <c r="B420" s="1"/>
      <c r="C420" s="2"/>
    </row>
    <row r="421" spans="2:3">
      <c r="B421" s="1"/>
      <c r="C421" s="2"/>
    </row>
    <row r="422" spans="2:3">
      <c r="B422" s="1"/>
      <c r="C422" s="2"/>
    </row>
    <row r="423" spans="2:3">
      <c r="B423" s="1"/>
      <c r="C423" s="2"/>
    </row>
    <row r="424" spans="2:3">
      <c r="B424" s="1"/>
      <c r="C424" s="2"/>
    </row>
    <row r="425" spans="2:3">
      <c r="B425" s="1"/>
      <c r="C425" s="2"/>
    </row>
    <row r="426" spans="2:3">
      <c r="B426" s="1"/>
      <c r="C426" s="2"/>
    </row>
    <row r="427" spans="2:3">
      <c r="B427" s="1"/>
      <c r="C427" s="2"/>
    </row>
    <row r="428" spans="2:3">
      <c r="B428" s="1"/>
      <c r="C428" s="2"/>
    </row>
    <row r="429" spans="2:3">
      <c r="B429" s="1"/>
      <c r="C429" s="2"/>
    </row>
    <row r="430" spans="2:3">
      <c r="B430" s="1"/>
      <c r="C430" s="2"/>
    </row>
    <row r="431" spans="2:3">
      <c r="B431" s="1"/>
      <c r="C431" s="2"/>
    </row>
    <row r="432" spans="2:3">
      <c r="B432" s="1"/>
      <c r="C432" s="2"/>
    </row>
    <row r="433" spans="2:3">
      <c r="B433" s="1"/>
      <c r="C433" s="2"/>
    </row>
    <row r="434" spans="2:3">
      <c r="B434" s="1"/>
      <c r="C434" s="2"/>
    </row>
    <row r="435" spans="2:3">
      <c r="B435" s="1"/>
      <c r="C435" s="2"/>
    </row>
    <row r="436" spans="2:3">
      <c r="B436" s="1"/>
      <c r="C436" s="2"/>
    </row>
    <row r="437" spans="2:3">
      <c r="B437" s="1"/>
      <c r="C437" s="2"/>
    </row>
    <row r="438" spans="2:3">
      <c r="B438" s="1"/>
      <c r="C438" s="2"/>
    </row>
    <row r="439" spans="2:3">
      <c r="B439" s="1"/>
      <c r="C439" s="2"/>
    </row>
    <row r="440" spans="2:3">
      <c r="B440" s="1"/>
      <c r="C440" s="2"/>
    </row>
    <row r="441" spans="2:3">
      <c r="B441" s="1"/>
      <c r="C441" s="2"/>
    </row>
    <row r="442" spans="2:3">
      <c r="B442" s="1"/>
      <c r="C442" s="2"/>
    </row>
    <row r="443" spans="2:3">
      <c r="B443" s="1"/>
      <c r="C443" s="2"/>
    </row>
    <row r="444" spans="2:3">
      <c r="B444" s="1"/>
      <c r="C444" s="2"/>
    </row>
    <row r="445" spans="2:3">
      <c r="B445" s="1"/>
      <c r="C445" s="2"/>
    </row>
    <row r="446" spans="2:3">
      <c r="B446" s="1"/>
      <c r="C446" s="2"/>
    </row>
    <row r="447" spans="2:3">
      <c r="B447" s="1"/>
      <c r="C447" s="2"/>
    </row>
    <row r="448" spans="2:3">
      <c r="B448" s="1"/>
      <c r="C448" s="2"/>
    </row>
    <row r="449" spans="2:3">
      <c r="B449" s="1"/>
      <c r="C449" s="2"/>
    </row>
    <row r="450" spans="2:3">
      <c r="B450" s="1"/>
      <c r="C450" s="2"/>
    </row>
    <row r="451" spans="2:3">
      <c r="B451" s="1"/>
      <c r="C451" s="2"/>
    </row>
    <row r="452" spans="2:3">
      <c r="B452" s="1"/>
      <c r="C452" s="2"/>
    </row>
    <row r="453" spans="2:3">
      <c r="B453" s="1"/>
      <c r="C453" s="2"/>
    </row>
    <row r="454" spans="2:3">
      <c r="B454" s="1"/>
      <c r="C454" s="2"/>
    </row>
    <row r="455" spans="2:3">
      <c r="B455" s="1"/>
      <c r="C455" s="2"/>
    </row>
    <row r="456" spans="2:3">
      <c r="B456" s="1"/>
      <c r="C456" s="2"/>
    </row>
    <row r="457" spans="2:3">
      <c r="B457" s="1"/>
      <c r="C457" s="2"/>
    </row>
    <row r="458" spans="2:3">
      <c r="B458" s="1"/>
      <c r="C458" s="2"/>
    </row>
    <row r="459" spans="2:3">
      <c r="B459" s="1"/>
      <c r="C459" s="2"/>
    </row>
    <row r="460" spans="2:3">
      <c r="B460" s="1"/>
      <c r="C460" s="2"/>
    </row>
    <row r="461" spans="2:3">
      <c r="B461" s="1"/>
      <c r="C461" s="2"/>
    </row>
    <row r="462" spans="2:3">
      <c r="B462" s="1"/>
      <c r="C462" s="2"/>
    </row>
    <row r="463" spans="2:3">
      <c r="B463" s="1"/>
      <c r="C463" s="2"/>
    </row>
    <row r="464" spans="2:3">
      <c r="B464" s="1"/>
      <c r="C464" s="2"/>
    </row>
    <row r="465" spans="2:3">
      <c r="B465" s="1"/>
      <c r="C465" s="2"/>
    </row>
    <row r="466" spans="2:3">
      <c r="B466" s="1"/>
      <c r="C466" s="2"/>
    </row>
    <row r="467" spans="2:3">
      <c r="B467" s="1"/>
      <c r="C467" s="2"/>
    </row>
    <row r="468" spans="2:3">
      <c r="B468" s="1"/>
      <c r="C468" s="2"/>
    </row>
    <row r="469" spans="2:3">
      <c r="B469" s="1"/>
      <c r="C469" s="2"/>
    </row>
    <row r="470" spans="2:3">
      <c r="B470" s="1"/>
      <c r="C470" s="2"/>
    </row>
    <row r="471" spans="2:3">
      <c r="B471" s="1"/>
      <c r="C471" s="2"/>
    </row>
    <row r="472" spans="2:3">
      <c r="B472" s="1"/>
      <c r="C472" s="2"/>
    </row>
    <row r="473" spans="2:3">
      <c r="B473" s="1"/>
      <c r="C473" s="2"/>
    </row>
    <row r="474" spans="2:3">
      <c r="B474" s="1"/>
      <c r="C474" s="2"/>
    </row>
    <row r="475" spans="2:3">
      <c r="B475" s="1"/>
      <c r="C475" s="2"/>
    </row>
    <row r="476" spans="2:3">
      <c r="B476" s="1"/>
      <c r="C476" s="2"/>
    </row>
    <row r="477" spans="2:3">
      <c r="B477" s="1"/>
      <c r="C477" s="2"/>
    </row>
    <row r="478" spans="2:3">
      <c r="B478" s="1"/>
      <c r="C478" s="2"/>
    </row>
    <row r="479" spans="2:3">
      <c r="B479" s="1"/>
      <c r="C479" s="2"/>
    </row>
    <row r="480" spans="2:3">
      <c r="B480" s="1"/>
      <c r="C480" s="2"/>
    </row>
    <row r="481" spans="2:3">
      <c r="B481" s="1"/>
      <c r="C481" s="2"/>
    </row>
    <row r="482" spans="2:3">
      <c r="B482" s="1"/>
      <c r="C482" s="2"/>
    </row>
    <row r="483" spans="2:3">
      <c r="B483" s="1"/>
      <c r="C483" s="2"/>
    </row>
    <row r="484" spans="2:3">
      <c r="B484" s="1"/>
      <c r="C484" s="2"/>
    </row>
    <row r="485" spans="2:3">
      <c r="B485" s="1"/>
      <c r="C485" s="2"/>
    </row>
    <row r="486" spans="2:3">
      <c r="B486" s="1"/>
      <c r="C486" s="2"/>
    </row>
    <row r="487" spans="2:3">
      <c r="B487" s="1"/>
      <c r="C487" s="2"/>
    </row>
    <row r="488" spans="2:3">
      <c r="B488" s="1"/>
      <c r="C488" s="2"/>
    </row>
    <row r="489" spans="2:3">
      <c r="B489" s="1"/>
      <c r="C489" s="2"/>
    </row>
    <row r="490" spans="2:3">
      <c r="B490" s="1"/>
      <c r="C490" s="2"/>
    </row>
    <row r="491" spans="2:3">
      <c r="B491" s="1"/>
      <c r="C491" s="2"/>
    </row>
    <row r="492" spans="2:3">
      <c r="B492" s="1"/>
      <c r="C492" s="2"/>
    </row>
    <row r="493" spans="2:3">
      <c r="B493" s="1"/>
      <c r="C493" s="2"/>
    </row>
    <row r="494" spans="2:3">
      <c r="B494" s="1"/>
      <c r="C494" s="2"/>
    </row>
    <row r="495" spans="2:3">
      <c r="B495" s="1"/>
      <c r="C495" s="2"/>
    </row>
    <row r="496" spans="2:3">
      <c r="B496" s="1"/>
      <c r="C496" s="2"/>
    </row>
    <row r="497" spans="2:3">
      <c r="B497" s="1"/>
      <c r="C497" s="2"/>
    </row>
    <row r="498" spans="2:3">
      <c r="B498" s="1"/>
      <c r="C498" s="2"/>
    </row>
    <row r="499" spans="2:3">
      <c r="B499" s="1"/>
      <c r="C499" s="2"/>
    </row>
    <row r="500" spans="2:3">
      <c r="B500" s="1"/>
      <c r="C500" s="2"/>
    </row>
    <row r="501" spans="2:3">
      <c r="B501" s="1"/>
      <c r="C501" s="2"/>
    </row>
    <row r="502" spans="2:3">
      <c r="B502" s="1"/>
      <c r="C502" s="2"/>
    </row>
    <row r="503" spans="2:3">
      <c r="B503" s="1"/>
      <c r="C503" s="2"/>
    </row>
    <row r="504" spans="2:3">
      <c r="B504" s="1"/>
      <c r="C504" s="2"/>
    </row>
    <row r="505" spans="2:3">
      <c r="B505" s="1"/>
      <c r="C505" s="2"/>
    </row>
    <row r="506" spans="2:3">
      <c r="B506" s="1"/>
      <c r="C506" s="2"/>
    </row>
    <row r="507" spans="2:3">
      <c r="B507" s="1"/>
      <c r="C507" s="2"/>
    </row>
    <row r="508" spans="2:3">
      <c r="B508" s="1"/>
      <c r="C508" s="2"/>
    </row>
    <row r="509" spans="2:3">
      <c r="B509" s="1"/>
      <c r="C509" s="2"/>
    </row>
    <row r="510" spans="2:3">
      <c r="B510" s="1"/>
      <c r="C510" s="2"/>
    </row>
    <row r="511" spans="2:3">
      <c r="B511" s="1"/>
      <c r="C511" s="2"/>
    </row>
    <row r="512" spans="2:3">
      <c r="B512" s="1"/>
      <c r="C512" s="2"/>
    </row>
    <row r="513" spans="2:3">
      <c r="B513" s="1"/>
      <c r="C513" s="2"/>
    </row>
    <row r="514" spans="2:3">
      <c r="B514" s="1"/>
      <c r="C514" s="2"/>
    </row>
    <row r="515" spans="2:3">
      <c r="B515" s="1"/>
      <c r="C515" s="2"/>
    </row>
    <row r="516" spans="2:3">
      <c r="B516" s="1"/>
      <c r="C516" s="2"/>
    </row>
    <row r="517" spans="2:3">
      <c r="B517" s="1"/>
      <c r="C517" s="2"/>
    </row>
    <row r="518" spans="2:3">
      <c r="B518" s="1"/>
      <c r="C518" s="2"/>
    </row>
    <row r="519" spans="2:3">
      <c r="B519" s="1"/>
      <c r="C519" s="2"/>
    </row>
    <row r="520" spans="2:3">
      <c r="B520" s="1"/>
      <c r="C520" s="2"/>
    </row>
    <row r="521" spans="2:3">
      <c r="B521" s="1"/>
      <c r="C521" s="2"/>
    </row>
    <row r="522" spans="2:3">
      <c r="B522" s="1"/>
      <c r="C522" s="2"/>
    </row>
    <row r="523" spans="2:3">
      <c r="B523" s="1"/>
      <c r="C523" s="2"/>
    </row>
    <row r="524" spans="2:3">
      <c r="B524" s="1"/>
      <c r="C524" s="2"/>
    </row>
    <row r="525" spans="2:3">
      <c r="B525" s="1"/>
      <c r="C525" s="2"/>
    </row>
    <row r="526" spans="2:3">
      <c r="B526" s="1"/>
      <c r="C526" s="2"/>
    </row>
    <row r="527" spans="2:3">
      <c r="B527" s="1"/>
      <c r="C527" s="2"/>
    </row>
    <row r="528" spans="2:3">
      <c r="B528" s="1"/>
      <c r="C528" s="2"/>
    </row>
    <row r="529" spans="2:3">
      <c r="B529" s="1"/>
      <c r="C529" s="2"/>
    </row>
    <row r="530" spans="2:3">
      <c r="B530" s="1"/>
      <c r="C530" s="2"/>
    </row>
    <row r="531" spans="2:3">
      <c r="B531" s="1"/>
      <c r="C531" s="2"/>
    </row>
    <row r="532" spans="2:3">
      <c r="B532" s="1"/>
      <c r="C532" s="2"/>
    </row>
    <row r="533" spans="2:3">
      <c r="B533" s="1"/>
      <c r="C533" s="2"/>
    </row>
    <row r="534" spans="2:3">
      <c r="B534" s="1"/>
      <c r="C534" s="2"/>
    </row>
    <row r="535" spans="2:3">
      <c r="B535" s="1"/>
      <c r="C535" s="2"/>
    </row>
    <row r="536" spans="2:3">
      <c r="B536" s="1"/>
      <c r="C536" s="2"/>
    </row>
    <row r="537" spans="2:3">
      <c r="B537" s="1"/>
      <c r="C537" s="2"/>
    </row>
    <row r="538" spans="2:3">
      <c r="B538" s="1"/>
      <c r="C538" s="2"/>
    </row>
    <row r="539" spans="2:3">
      <c r="B539" s="1"/>
      <c r="C539" s="2"/>
    </row>
    <row r="540" spans="2:3">
      <c r="B540" s="1"/>
      <c r="C540" s="2"/>
    </row>
    <row r="541" spans="2:3">
      <c r="B541" s="1"/>
      <c r="C541" s="2"/>
    </row>
    <row r="542" spans="2:3">
      <c r="B542" s="1"/>
      <c r="C542" s="2"/>
    </row>
    <row r="543" spans="2:3">
      <c r="B543" s="1"/>
      <c r="C543" s="2"/>
    </row>
    <row r="544" spans="2:3">
      <c r="B544" s="1"/>
      <c r="C544" s="2"/>
    </row>
    <row r="545" spans="2:3">
      <c r="B545" s="1"/>
      <c r="C545" s="2"/>
    </row>
    <row r="546" spans="2:3">
      <c r="B546" s="1"/>
      <c r="C546" s="2"/>
    </row>
    <row r="547" spans="2:3">
      <c r="B547" s="1"/>
      <c r="C547" s="2"/>
    </row>
    <row r="548" spans="2:3">
      <c r="B548" s="1"/>
      <c r="C548" s="2"/>
    </row>
    <row r="549" spans="2:3">
      <c r="B549" s="1"/>
      <c r="C549" s="2"/>
    </row>
    <row r="550" spans="2:3">
      <c r="B550" s="1"/>
      <c r="C550" s="2"/>
    </row>
    <row r="551" spans="2:3">
      <c r="B551" s="1"/>
      <c r="C551" s="2"/>
    </row>
    <row r="552" spans="2:3">
      <c r="B552" s="1"/>
      <c r="C552" s="2"/>
    </row>
    <row r="553" spans="2:3">
      <c r="B553" s="1"/>
      <c r="C553" s="2"/>
    </row>
    <row r="554" spans="2:3">
      <c r="B554" s="1"/>
      <c r="C554" s="2"/>
    </row>
    <row r="555" spans="2:3">
      <c r="B555" s="1"/>
      <c r="C555" s="2"/>
    </row>
    <row r="556" spans="2:3">
      <c r="B556" s="1"/>
      <c r="C556" s="2"/>
    </row>
    <row r="557" spans="2:3">
      <c r="B557" s="1"/>
      <c r="C557" s="2"/>
    </row>
    <row r="558" spans="2:3">
      <c r="B558" s="1"/>
      <c r="C558" s="2"/>
    </row>
    <row r="559" spans="2:3">
      <c r="B559" s="1"/>
      <c r="C559" s="2"/>
    </row>
    <row r="560" spans="2:3">
      <c r="B560" s="1"/>
      <c r="C560" s="2"/>
    </row>
    <row r="561" spans="2:3">
      <c r="B561" s="1"/>
      <c r="C561" s="2"/>
    </row>
    <row r="562" spans="2:3">
      <c r="B562" s="1"/>
      <c r="C562" s="2"/>
    </row>
    <row r="563" spans="2:3">
      <c r="B563" s="1"/>
      <c r="C563" s="2"/>
    </row>
    <row r="564" spans="2:3">
      <c r="B564" s="1"/>
      <c r="C564" s="2"/>
    </row>
    <row r="565" spans="2:3">
      <c r="B565" s="1"/>
      <c r="C565" s="2"/>
    </row>
    <row r="566" spans="2:3">
      <c r="B566" s="1"/>
      <c r="C566" s="2"/>
    </row>
    <row r="567" spans="2:3">
      <c r="B567" s="1"/>
      <c r="C567" s="2"/>
    </row>
    <row r="568" spans="2:3">
      <c r="B568" s="1"/>
      <c r="C568" s="2"/>
    </row>
    <row r="569" spans="2:3">
      <c r="B569" s="1"/>
      <c r="C569" s="2"/>
    </row>
    <row r="570" spans="2:3">
      <c r="B570" s="1"/>
      <c r="C570" s="2"/>
    </row>
    <row r="571" spans="2:3">
      <c r="B571" s="1"/>
      <c r="C571" s="2"/>
    </row>
    <row r="572" spans="2:3">
      <c r="B572" s="1"/>
      <c r="C572" s="2"/>
    </row>
    <row r="573" spans="2:3">
      <c r="B573" s="1"/>
      <c r="C573" s="2"/>
    </row>
    <row r="574" spans="2:3">
      <c r="B574" s="1"/>
      <c r="C574" s="2"/>
    </row>
    <row r="575" spans="2:3">
      <c r="B575" s="1"/>
      <c r="C575" s="2"/>
    </row>
    <row r="576" spans="2:3">
      <c r="B576" s="1"/>
      <c r="C576" s="2"/>
    </row>
    <row r="577" spans="2:3">
      <c r="B577" s="1"/>
      <c r="C577" s="2"/>
    </row>
    <row r="578" spans="2:3">
      <c r="B578" s="1"/>
      <c r="C578" s="2"/>
    </row>
    <row r="579" spans="2:3">
      <c r="B579" s="1"/>
      <c r="C579" s="2"/>
    </row>
    <row r="580" spans="2:3">
      <c r="B580" s="1"/>
      <c r="C580" s="2"/>
    </row>
    <row r="581" spans="2:3">
      <c r="B581" s="1"/>
      <c r="C581" s="2"/>
    </row>
    <row r="582" spans="2:3">
      <c r="B582" s="1"/>
      <c r="C582" s="2"/>
    </row>
    <row r="583" spans="2:3">
      <c r="B583" s="1"/>
      <c r="C583" s="2"/>
    </row>
    <row r="584" spans="2:3">
      <c r="B584" s="1"/>
      <c r="C584" s="2"/>
    </row>
    <row r="585" spans="2:3">
      <c r="B585" s="1"/>
      <c r="C585" s="2"/>
    </row>
    <row r="586" spans="2:3">
      <c r="B586" s="1"/>
      <c r="C586" s="2"/>
    </row>
    <row r="587" spans="2:3">
      <c r="B587" s="1"/>
      <c r="C587" s="2"/>
    </row>
    <row r="588" spans="2:3">
      <c r="B588" s="1"/>
      <c r="C588" s="2"/>
    </row>
    <row r="589" spans="2:3">
      <c r="B589" s="1"/>
      <c r="C589" s="2"/>
    </row>
    <row r="590" spans="2:3">
      <c r="B590" s="1"/>
      <c r="C590" s="2"/>
    </row>
    <row r="591" spans="2:3">
      <c r="B591" s="1"/>
      <c r="C591" s="2"/>
    </row>
    <row r="592" spans="2:3">
      <c r="B592" s="1"/>
      <c r="C592" s="2"/>
    </row>
    <row r="593" spans="2:3">
      <c r="B593" s="1"/>
      <c r="C593" s="2"/>
    </row>
    <row r="594" spans="2:3">
      <c r="B594" s="1"/>
      <c r="C594" s="2"/>
    </row>
    <row r="595" spans="2:3">
      <c r="B595" s="1"/>
      <c r="C595" s="2"/>
    </row>
    <row r="596" spans="2:3">
      <c r="B596" s="1"/>
      <c r="C596" s="2"/>
    </row>
    <row r="597" spans="2:3">
      <c r="B597" s="1"/>
      <c r="C597" s="2"/>
    </row>
    <row r="598" spans="2:3">
      <c r="B598" s="1"/>
      <c r="C598" s="2"/>
    </row>
    <row r="599" spans="2:3">
      <c r="B599" s="1"/>
      <c r="C599" s="2"/>
    </row>
    <row r="600" spans="2:3">
      <c r="B600" s="1"/>
      <c r="C600" s="2"/>
    </row>
    <row r="601" spans="2:3">
      <c r="B601" s="1"/>
      <c r="C601" s="2"/>
    </row>
    <row r="602" spans="2:3">
      <c r="B602" s="1"/>
      <c r="C602" s="2"/>
    </row>
    <row r="603" spans="2:3">
      <c r="B603" s="1"/>
      <c r="C603" s="2"/>
    </row>
    <row r="604" spans="2:3">
      <c r="B604" s="1"/>
      <c r="C604" s="2"/>
    </row>
    <row r="605" spans="2:3">
      <c r="B605" s="1"/>
      <c r="C605" s="2"/>
    </row>
    <row r="606" spans="2:3">
      <c r="B606" s="1"/>
      <c r="C606" s="2"/>
    </row>
    <row r="607" spans="2:3">
      <c r="B607" s="1"/>
      <c r="C607" s="2"/>
    </row>
    <row r="608" spans="2:3">
      <c r="B608" s="1"/>
      <c r="C608" s="2"/>
    </row>
    <row r="609" spans="2:3">
      <c r="B609" s="1"/>
      <c r="C609" s="2"/>
    </row>
    <row r="610" spans="2:3">
      <c r="B610" s="1"/>
      <c r="C610" s="2"/>
    </row>
    <row r="611" spans="2:3">
      <c r="B611" s="1"/>
      <c r="C611" s="2"/>
    </row>
    <row r="612" spans="2:3">
      <c r="B612" s="1"/>
      <c r="C612" s="2"/>
    </row>
    <row r="613" spans="2:3">
      <c r="B613" s="1"/>
      <c r="C613" s="2"/>
    </row>
    <row r="614" spans="2:3">
      <c r="B614" s="1"/>
      <c r="C614" s="2"/>
    </row>
    <row r="615" spans="2:3">
      <c r="B615" s="1"/>
      <c r="C615" s="2"/>
    </row>
    <row r="616" spans="2:3">
      <c r="B616" s="1"/>
      <c r="C616" s="2"/>
    </row>
    <row r="617" spans="2:3">
      <c r="B617" s="1"/>
      <c r="C617" s="2"/>
    </row>
    <row r="618" spans="2:3">
      <c r="B618" s="1"/>
      <c r="C618" s="2"/>
    </row>
    <row r="619" spans="2:3">
      <c r="B619" s="1"/>
      <c r="C619" s="2"/>
    </row>
    <row r="620" spans="2:3">
      <c r="B620" s="1"/>
      <c r="C620" s="2"/>
    </row>
    <row r="621" spans="2:3">
      <c r="B621" s="1"/>
      <c r="C621" s="2"/>
    </row>
    <row r="622" spans="2:3">
      <c r="B622" s="1"/>
      <c r="C622" s="2"/>
    </row>
    <row r="623" spans="2:3">
      <c r="B623" s="1"/>
      <c r="C623" s="2"/>
    </row>
    <row r="624" spans="2:3">
      <c r="B624" s="1"/>
      <c r="C624" s="2"/>
    </row>
    <row r="625" spans="2:3">
      <c r="B625" s="1"/>
      <c r="C625" s="2"/>
    </row>
    <row r="626" spans="2:3">
      <c r="B626" s="1"/>
      <c r="C626" s="2"/>
    </row>
    <row r="627" spans="2:3">
      <c r="B627" s="1"/>
      <c r="C627" s="2"/>
    </row>
    <row r="628" spans="2:3">
      <c r="B628" s="1"/>
      <c r="C628" s="2"/>
    </row>
    <row r="629" spans="2:3">
      <c r="B629" s="1"/>
      <c r="C629" s="2"/>
    </row>
    <row r="630" spans="2:3">
      <c r="B630" s="1"/>
      <c r="C630" s="2"/>
    </row>
    <row r="631" spans="2:3">
      <c r="B631" s="1"/>
      <c r="C631" s="2"/>
    </row>
    <row r="632" spans="2:3">
      <c r="B632" s="1"/>
      <c r="C632" s="2"/>
    </row>
    <row r="633" spans="2:3">
      <c r="B633" s="1"/>
      <c r="C633" s="2"/>
    </row>
    <row r="634" spans="2:3">
      <c r="B634" s="1"/>
      <c r="C634" s="2"/>
    </row>
    <row r="635" spans="2:3">
      <c r="B635" s="1"/>
      <c r="C635" s="2"/>
    </row>
    <row r="636" spans="2:3">
      <c r="B636" s="1"/>
      <c r="C636" s="2"/>
    </row>
    <row r="637" spans="2:3">
      <c r="B637" s="1"/>
      <c r="C637" s="2"/>
    </row>
    <row r="638" spans="2:3">
      <c r="B638" s="1"/>
      <c r="C638" s="2"/>
    </row>
    <row r="639" spans="2:3">
      <c r="B639" s="1"/>
      <c r="C639" s="2"/>
    </row>
    <row r="640" spans="2:3">
      <c r="B640" s="1"/>
      <c r="C640" s="2"/>
    </row>
    <row r="641" spans="2:3">
      <c r="B641" s="1"/>
      <c r="C641" s="2"/>
    </row>
    <row r="642" spans="2:3">
      <c r="B642" s="1"/>
      <c r="C642" s="2"/>
    </row>
    <row r="643" spans="2:3">
      <c r="B643" s="1"/>
      <c r="C643" s="2"/>
    </row>
    <row r="644" spans="2:3">
      <c r="B644" s="1"/>
      <c r="C644" s="2"/>
    </row>
    <row r="645" spans="2:3">
      <c r="B645" s="1"/>
      <c r="C645" s="2"/>
    </row>
    <row r="646" spans="2:3">
      <c r="B646" s="1"/>
      <c r="C646" s="2"/>
    </row>
    <row r="647" spans="2:3">
      <c r="B647" s="1"/>
      <c r="C647" s="2"/>
    </row>
    <row r="648" spans="2:3">
      <c r="B648" s="1"/>
      <c r="C648" s="2"/>
    </row>
    <row r="649" spans="2:3">
      <c r="B649" s="1"/>
      <c r="C649" s="2"/>
    </row>
    <row r="650" spans="2:3">
      <c r="B650" s="1"/>
      <c r="C650" s="2"/>
    </row>
    <row r="651" spans="2:3">
      <c r="B651" s="1"/>
      <c r="C651" s="2"/>
    </row>
    <row r="652" spans="2:3">
      <c r="B652" s="1"/>
      <c r="C652" s="2"/>
    </row>
    <row r="653" spans="2:3">
      <c r="B653" s="1"/>
      <c r="C653" s="2"/>
    </row>
    <row r="654" spans="2:3">
      <c r="B654" s="1"/>
      <c r="C654" s="2"/>
    </row>
    <row r="655" spans="2:3">
      <c r="B655" s="1"/>
      <c r="C655" s="2"/>
    </row>
    <row r="656" spans="2:3">
      <c r="B656" s="1"/>
      <c r="C656" s="2"/>
    </row>
    <row r="657" spans="2:3">
      <c r="B657" s="1"/>
      <c r="C657" s="2"/>
    </row>
    <row r="658" spans="2:3">
      <c r="B658" s="1"/>
      <c r="C658" s="2"/>
    </row>
    <row r="659" spans="2:3">
      <c r="B659" s="1"/>
      <c r="C659" s="2"/>
    </row>
    <row r="660" spans="2:3">
      <c r="B660" s="1"/>
      <c r="C660" s="2"/>
    </row>
    <row r="661" spans="2:3">
      <c r="B661" s="1"/>
      <c r="C661" s="2"/>
    </row>
    <row r="662" spans="2:3">
      <c r="B662" s="1"/>
      <c r="C662" s="2"/>
    </row>
    <row r="663" spans="2:3">
      <c r="B663" s="1"/>
      <c r="C663" s="2"/>
    </row>
    <row r="664" spans="2:3">
      <c r="B664" s="1"/>
      <c r="C664" s="2"/>
    </row>
    <row r="665" spans="2:3">
      <c r="B665" s="1"/>
      <c r="C665" s="2"/>
    </row>
    <row r="666" spans="2:3">
      <c r="B666" s="1"/>
      <c r="C666" s="2"/>
    </row>
    <row r="667" spans="2:3">
      <c r="B667" s="1"/>
      <c r="C667" s="2"/>
    </row>
    <row r="668" spans="2:3">
      <c r="B668" s="1"/>
      <c r="C668" s="2"/>
    </row>
    <row r="669" spans="2:3">
      <c r="B669" s="1"/>
      <c r="C669" s="2"/>
    </row>
    <row r="670" spans="2:3">
      <c r="B670" s="1"/>
      <c r="C670" s="2"/>
    </row>
    <row r="671" spans="2:3">
      <c r="B671" s="1"/>
      <c r="C671" s="2"/>
    </row>
    <row r="672" spans="2:3">
      <c r="B672" s="1"/>
      <c r="C672" s="2"/>
    </row>
    <row r="673" spans="2:3">
      <c r="B673" s="1"/>
      <c r="C673" s="2"/>
    </row>
    <row r="674" spans="2:3">
      <c r="B674" s="1"/>
      <c r="C674" s="2"/>
    </row>
    <row r="675" spans="2:3">
      <c r="B675" s="1"/>
      <c r="C675" s="2"/>
    </row>
    <row r="676" spans="2:3">
      <c r="B676" s="1"/>
      <c r="C676" s="2"/>
    </row>
    <row r="677" spans="2:3">
      <c r="B677" s="1"/>
      <c r="C677" s="2"/>
    </row>
    <row r="678" spans="2:3">
      <c r="B678" s="1"/>
      <c r="C678" s="2"/>
    </row>
    <row r="679" spans="2:3">
      <c r="B679" s="1"/>
      <c r="C679" s="2"/>
    </row>
    <row r="680" spans="2:3">
      <c r="B680" s="1"/>
      <c r="C680" s="2"/>
    </row>
    <row r="681" spans="2:3">
      <c r="B681" s="1"/>
      <c r="C681" s="2"/>
    </row>
    <row r="682" spans="2:3">
      <c r="B682" s="1"/>
      <c r="C682" s="2"/>
    </row>
    <row r="683" spans="2:3">
      <c r="B683" s="1"/>
      <c r="C683" s="2"/>
    </row>
    <row r="684" spans="2:3">
      <c r="B684" s="1"/>
      <c r="C684" s="2"/>
    </row>
    <row r="685" spans="2:3">
      <c r="B685" s="1"/>
      <c r="C685" s="2"/>
    </row>
    <row r="686" spans="2:3">
      <c r="B686" s="1"/>
      <c r="C686" s="2"/>
    </row>
    <row r="687" spans="2:3">
      <c r="B687" s="1"/>
      <c r="C687" s="2"/>
    </row>
    <row r="688" spans="2:3">
      <c r="B688" s="1"/>
      <c r="C688" s="2"/>
    </row>
    <row r="689" spans="2:3">
      <c r="B689" s="1"/>
      <c r="C689" s="2"/>
    </row>
    <row r="690" spans="2:3">
      <c r="B690" s="1"/>
      <c r="C690" s="2"/>
    </row>
    <row r="691" spans="2:3">
      <c r="B691" s="1"/>
      <c r="C691" s="2"/>
    </row>
    <row r="692" spans="2:3">
      <c r="B692" s="1"/>
      <c r="C692" s="2"/>
    </row>
    <row r="693" spans="2:3">
      <c r="B693" s="1"/>
      <c r="C693" s="2"/>
    </row>
    <row r="694" spans="2:3">
      <c r="B694" s="1"/>
      <c r="C694" s="2"/>
    </row>
    <row r="695" spans="2:3">
      <c r="B695" s="1"/>
      <c r="C695" s="2"/>
    </row>
    <row r="696" spans="2:3">
      <c r="B696" s="1"/>
      <c r="C696" s="2"/>
    </row>
    <row r="697" spans="2:3">
      <c r="B697" s="1"/>
      <c r="C697" s="2"/>
    </row>
    <row r="698" spans="2:3">
      <c r="B698" s="1"/>
      <c r="C698" s="2"/>
    </row>
    <row r="699" spans="2:3">
      <c r="B699" s="1"/>
      <c r="C699" s="2"/>
    </row>
    <row r="700" spans="2:3">
      <c r="B700" s="1"/>
      <c r="C700" s="2"/>
    </row>
    <row r="701" spans="2:3">
      <c r="B701" s="1"/>
      <c r="C701" s="2"/>
    </row>
    <row r="702" spans="2:3">
      <c r="B702" s="1"/>
      <c r="C702" s="2"/>
    </row>
    <row r="703" spans="2:3">
      <c r="B703" s="1"/>
      <c r="C703" s="2"/>
    </row>
    <row r="704" spans="2:3">
      <c r="B704" s="1"/>
      <c r="C704" s="2"/>
    </row>
    <row r="705" spans="2:3">
      <c r="B705" s="1"/>
      <c r="C705" s="2"/>
    </row>
    <row r="706" spans="2:3">
      <c r="B706" s="1"/>
      <c r="C706" s="2"/>
    </row>
    <row r="707" spans="2:3">
      <c r="B707" s="1"/>
      <c r="C707" s="2"/>
    </row>
    <row r="708" spans="2:3">
      <c r="B708" s="1"/>
      <c r="C708" s="2"/>
    </row>
    <row r="709" spans="2:3">
      <c r="B709" s="1"/>
      <c r="C709" s="2"/>
    </row>
    <row r="710" spans="2:3">
      <c r="B710" s="1"/>
      <c r="C710" s="2"/>
    </row>
    <row r="711" spans="2:3">
      <c r="B711" s="1"/>
      <c r="C711" s="2"/>
    </row>
    <row r="712" spans="2:3">
      <c r="B712" s="1"/>
      <c r="C712" s="2"/>
    </row>
    <row r="713" spans="2:3">
      <c r="B713" s="1"/>
      <c r="C713" s="2"/>
    </row>
    <row r="714" spans="2:3">
      <c r="B714" s="1"/>
      <c r="C714" s="2"/>
    </row>
    <row r="715" spans="2:3">
      <c r="B715" s="1"/>
      <c r="C715" s="2"/>
    </row>
    <row r="716" spans="2:3">
      <c r="B716" s="1"/>
      <c r="C716" s="2"/>
    </row>
    <row r="717" spans="2:3">
      <c r="B717" s="1"/>
      <c r="C717" s="2"/>
    </row>
    <row r="718" spans="2:3">
      <c r="B718" s="1"/>
      <c r="C718" s="2"/>
    </row>
    <row r="719" spans="2:3">
      <c r="B719" s="1"/>
      <c r="C719" s="2"/>
    </row>
    <row r="720" spans="2:3">
      <c r="B720" s="1"/>
      <c r="C720" s="2"/>
    </row>
    <row r="721" spans="2:3">
      <c r="B721" s="1"/>
      <c r="C721" s="2"/>
    </row>
    <row r="722" spans="2:3">
      <c r="B722" s="1"/>
      <c r="C722" s="2"/>
    </row>
    <row r="723" spans="2:3">
      <c r="B723" s="1"/>
      <c r="C723" s="2"/>
    </row>
    <row r="724" spans="2:3">
      <c r="B724" s="1"/>
      <c r="C724" s="2"/>
    </row>
    <row r="725" spans="2:3">
      <c r="B725" s="1"/>
      <c r="C725" s="2"/>
    </row>
    <row r="726" spans="2:3">
      <c r="B726" s="1"/>
      <c r="C726" s="2"/>
    </row>
    <row r="727" spans="2:3">
      <c r="B727" s="1"/>
      <c r="C727" s="2"/>
    </row>
    <row r="728" spans="2:3">
      <c r="B728" s="1"/>
      <c r="C728" s="2"/>
    </row>
    <row r="729" spans="2:3">
      <c r="B729" s="1"/>
      <c r="C729" s="2"/>
    </row>
    <row r="730" spans="2:3">
      <c r="B730" s="1"/>
      <c r="C730" s="2"/>
    </row>
    <row r="731" spans="2:3">
      <c r="B731" s="1"/>
      <c r="C731" s="2"/>
    </row>
    <row r="732" spans="2:3">
      <c r="B732" s="1"/>
      <c r="C732" s="2"/>
    </row>
    <row r="733" spans="2:3">
      <c r="B733" s="1"/>
      <c r="C733" s="2"/>
    </row>
    <row r="734" spans="2:3">
      <c r="B734" s="1"/>
      <c r="C734" s="2"/>
    </row>
    <row r="735" spans="2:3">
      <c r="B735" s="1"/>
      <c r="C735" s="2"/>
    </row>
    <row r="736" spans="2:3">
      <c r="B736" s="1"/>
      <c r="C736" s="2"/>
    </row>
    <row r="737" spans="2:3">
      <c r="B737" s="1"/>
      <c r="C737" s="2"/>
    </row>
    <row r="738" spans="2:3">
      <c r="B738" s="1"/>
      <c r="C738" s="2"/>
    </row>
    <row r="739" spans="2:3">
      <c r="B739" s="1"/>
      <c r="C739" s="2"/>
    </row>
    <row r="740" spans="2:3">
      <c r="B740" s="1"/>
      <c r="C740" s="2"/>
    </row>
    <row r="741" spans="2:3">
      <c r="B741" s="1"/>
      <c r="C741" s="2"/>
    </row>
    <row r="742" spans="2:3">
      <c r="B742" s="1"/>
      <c r="C742" s="2"/>
    </row>
    <row r="743" spans="2:3">
      <c r="B743" s="1"/>
      <c r="C743" s="2"/>
    </row>
    <row r="744" spans="2:3">
      <c r="B744" s="1"/>
      <c r="C744" s="2"/>
    </row>
    <row r="745" spans="2:3">
      <c r="B745" s="1"/>
      <c r="C745" s="2"/>
    </row>
    <row r="746" spans="2:3">
      <c r="B746" s="1"/>
      <c r="C746" s="2"/>
    </row>
    <row r="747" spans="2:3">
      <c r="B747" s="1"/>
      <c r="C747" s="2"/>
    </row>
    <row r="748" spans="2:3">
      <c r="B748" s="1"/>
      <c r="C748" s="2"/>
    </row>
    <row r="749" spans="2:3">
      <c r="B749" s="1"/>
      <c r="C749" s="2"/>
    </row>
    <row r="750" spans="2:3">
      <c r="B750" s="1"/>
      <c r="C750" s="2"/>
    </row>
    <row r="751" spans="2:3">
      <c r="B751" s="1"/>
      <c r="C751" s="2"/>
    </row>
    <row r="752" spans="2:3">
      <c r="B752" s="1"/>
      <c r="C752" s="2"/>
    </row>
    <row r="753" spans="2:3">
      <c r="B753" s="1"/>
      <c r="C753" s="2"/>
    </row>
    <row r="754" spans="2:3">
      <c r="B754" s="1"/>
      <c r="C754" s="2"/>
    </row>
    <row r="755" spans="2:3">
      <c r="B755" s="1"/>
      <c r="C755" s="2"/>
    </row>
    <row r="756" spans="2:3">
      <c r="B756" s="1"/>
      <c r="C756" s="2"/>
    </row>
    <row r="757" spans="2:3">
      <c r="B757" s="1"/>
      <c r="C757" s="2"/>
    </row>
    <row r="758" spans="2:3">
      <c r="B758" s="1"/>
      <c r="C758" s="2"/>
    </row>
    <row r="759" spans="2:3">
      <c r="B759" s="1"/>
      <c r="C759" s="2"/>
    </row>
    <row r="760" spans="2:3">
      <c r="B760" s="1"/>
      <c r="C760" s="2"/>
    </row>
    <row r="761" spans="2:3">
      <c r="B761" s="1"/>
      <c r="C761" s="2"/>
    </row>
    <row r="762" spans="2:3">
      <c r="B762" s="1"/>
      <c r="C762" s="2"/>
    </row>
    <row r="763" spans="2:3">
      <c r="B763" s="1"/>
      <c r="C763" s="2"/>
    </row>
    <row r="764" spans="2:3">
      <c r="B764" s="1"/>
      <c r="C764" s="2"/>
    </row>
    <row r="765" spans="2:3">
      <c r="B765" s="1"/>
      <c r="C765" s="2"/>
    </row>
    <row r="766" spans="2:3">
      <c r="B766" s="1"/>
      <c r="C766" s="2"/>
    </row>
    <row r="767" spans="2:3">
      <c r="B767" s="1"/>
      <c r="C767" s="2"/>
    </row>
    <row r="768" spans="2:3">
      <c r="B768" s="1"/>
      <c r="C768" s="2"/>
    </row>
    <row r="769" spans="2:3">
      <c r="B769" s="1"/>
      <c r="C769" s="2"/>
    </row>
    <row r="770" spans="2:3">
      <c r="B770" s="1"/>
      <c r="C770" s="2"/>
    </row>
    <row r="771" spans="2:3">
      <c r="B771" s="1"/>
      <c r="C771" s="2"/>
    </row>
    <row r="772" spans="2:3">
      <c r="B772" s="1"/>
      <c r="C772" s="2"/>
    </row>
    <row r="773" spans="2:3">
      <c r="B773" s="1"/>
      <c r="C773" s="2"/>
    </row>
    <row r="774" spans="2:3">
      <c r="B774" s="1"/>
      <c r="C774" s="2"/>
    </row>
    <row r="775" spans="2:3">
      <c r="B775" s="1"/>
      <c r="C775" s="2"/>
    </row>
    <row r="776" spans="2:3">
      <c r="B776" s="1"/>
      <c r="C776" s="2"/>
    </row>
    <row r="777" spans="2:3">
      <c r="B777" s="1"/>
      <c r="C777" s="2"/>
    </row>
    <row r="778" spans="2:3">
      <c r="B778" s="1"/>
      <c r="C778" s="2"/>
    </row>
    <row r="779" spans="2:3">
      <c r="B779" s="1"/>
      <c r="C779" s="2"/>
    </row>
    <row r="780" spans="2:3">
      <c r="B780" s="1"/>
      <c r="C780" s="2"/>
    </row>
    <row r="781" spans="2:3">
      <c r="B781" s="1"/>
      <c r="C781" s="2"/>
    </row>
    <row r="782" spans="2:3">
      <c r="B782" s="1"/>
      <c r="C782" s="2"/>
    </row>
    <row r="783" spans="2:3">
      <c r="B783" s="1"/>
      <c r="C783" s="2"/>
    </row>
    <row r="784" spans="2:3">
      <c r="B784" s="1"/>
      <c r="C784" s="2"/>
    </row>
    <row r="785" spans="2:3">
      <c r="B785" s="1"/>
      <c r="C785" s="2"/>
    </row>
    <row r="786" spans="2:3">
      <c r="B786" s="1"/>
      <c r="C786" s="2"/>
    </row>
    <row r="787" spans="2:3">
      <c r="B787" s="1"/>
      <c r="C787" s="2"/>
    </row>
    <row r="788" spans="2:3">
      <c r="B788" s="1"/>
      <c r="C788" s="2"/>
    </row>
    <row r="789" spans="2:3">
      <c r="B789" s="1"/>
      <c r="C789" s="2"/>
    </row>
    <row r="790" spans="2:3">
      <c r="B790" s="1"/>
      <c r="C790" s="2"/>
    </row>
    <row r="791" spans="2:3">
      <c r="B791" s="1"/>
      <c r="C791" s="2"/>
    </row>
    <row r="792" spans="2:3">
      <c r="B792" s="1"/>
      <c r="C792" s="2"/>
    </row>
    <row r="793" spans="2:3">
      <c r="B793" s="1"/>
      <c r="C793" s="2"/>
    </row>
    <row r="794" spans="2:3">
      <c r="B794" s="1"/>
      <c r="C794" s="2"/>
    </row>
    <row r="795" spans="2:3">
      <c r="B795" s="1"/>
      <c r="C795" s="2"/>
    </row>
    <row r="796" spans="2:3">
      <c r="B796" s="1"/>
      <c r="C796" s="2"/>
    </row>
    <row r="797" spans="2:3">
      <c r="B797" s="1"/>
      <c r="C797" s="2"/>
    </row>
    <row r="798" spans="2:3">
      <c r="B798" s="1"/>
      <c r="C798" s="2"/>
    </row>
    <row r="799" spans="2:3">
      <c r="B799" s="1"/>
      <c r="C799" s="2"/>
    </row>
    <row r="800" spans="2:3">
      <c r="B800" s="1"/>
      <c r="C800" s="2"/>
    </row>
    <row r="801" spans="2:3">
      <c r="B801" s="1"/>
      <c r="C801" s="2"/>
    </row>
    <row r="802" spans="2:3">
      <c r="B802" s="1"/>
      <c r="C802" s="2"/>
    </row>
    <row r="803" spans="2:3">
      <c r="B803" s="1"/>
      <c r="C803" s="2"/>
    </row>
    <row r="804" spans="2:3">
      <c r="B804" s="1"/>
      <c r="C804" s="2"/>
    </row>
    <row r="805" spans="2:3">
      <c r="B805" s="1"/>
      <c r="C805" s="2"/>
    </row>
    <row r="806" spans="2:3">
      <c r="B806" s="1"/>
      <c r="C806" s="2"/>
    </row>
    <row r="807" spans="2:3">
      <c r="B807" s="1"/>
      <c r="C807" s="2"/>
    </row>
    <row r="808" spans="2:3">
      <c r="B808" s="1"/>
      <c r="C808" s="2"/>
    </row>
    <row r="809" spans="2:3">
      <c r="B809" s="1"/>
      <c r="C809" s="2"/>
    </row>
    <row r="810" spans="2:3">
      <c r="B810" s="1"/>
      <c r="C810" s="2"/>
    </row>
    <row r="811" spans="2:3">
      <c r="B811" s="1"/>
      <c r="C811" s="2"/>
    </row>
    <row r="812" spans="2:3">
      <c r="B812" s="1"/>
      <c r="C812" s="2"/>
    </row>
    <row r="813" spans="2:3">
      <c r="B813" s="1"/>
      <c r="C813" s="2"/>
    </row>
    <row r="814" spans="2:3">
      <c r="B814" s="1"/>
      <c r="C814" s="2"/>
    </row>
    <row r="815" spans="2:3">
      <c r="B815" s="1"/>
      <c r="C815" s="2"/>
    </row>
    <row r="816" spans="2:3">
      <c r="B816" s="1"/>
      <c r="C816" s="2"/>
    </row>
    <row r="817" spans="2:3">
      <c r="B817" s="1"/>
      <c r="C817" s="2"/>
    </row>
    <row r="818" spans="2:3">
      <c r="B818" s="1"/>
      <c r="C818" s="2"/>
    </row>
    <row r="819" spans="2:3">
      <c r="B819" s="1"/>
      <c r="C819" s="2"/>
    </row>
    <row r="820" spans="2:3">
      <c r="B820" s="1"/>
      <c r="C820" s="2"/>
    </row>
    <row r="821" spans="2:3">
      <c r="B821" s="1"/>
      <c r="C821" s="2"/>
    </row>
    <row r="822" spans="2:3">
      <c r="B822" s="1"/>
      <c r="C822" s="2"/>
    </row>
    <row r="823" spans="2:3">
      <c r="B823" s="1"/>
      <c r="C823" s="2"/>
    </row>
    <row r="824" spans="2:3">
      <c r="B824" s="1"/>
      <c r="C824" s="2"/>
    </row>
    <row r="825" spans="2:3">
      <c r="B825" s="1"/>
      <c r="C825" s="2"/>
    </row>
    <row r="826" spans="2:3">
      <c r="B826" s="1"/>
      <c r="C826" s="2"/>
    </row>
    <row r="827" spans="2:3">
      <c r="B827" s="1"/>
      <c r="C827" s="2"/>
    </row>
    <row r="828" spans="2:3">
      <c r="B828" s="1"/>
      <c r="C828" s="2"/>
    </row>
    <row r="829" spans="2:3">
      <c r="B829" s="1"/>
      <c r="C829" s="2"/>
    </row>
    <row r="830" spans="2:3">
      <c r="B830" s="1"/>
      <c r="C830" s="2"/>
    </row>
    <row r="831" spans="2:3">
      <c r="B831" s="1"/>
      <c r="C831" s="2"/>
    </row>
    <row r="832" spans="2:3">
      <c r="B832" s="1"/>
      <c r="C832" s="2"/>
    </row>
    <row r="833" spans="2:3">
      <c r="B833" s="1"/>
      <c r="C833" s="2"/>
    </row>
    <row r="834" spans="2:3">
      <c r="B834" s="1"/>
      <c r="C834" s="2"/>
    </row>
    <row r="835" spans="2:3">
      <c r="B835" s="1"/>
      <c r="C835" s="2"/>
    </row>
    <row r="836" spans="2:3">
      <c r="B836" s="1"/>
      <c r="C836" s="2"/>
    </row>
    <row r="837" spans="2:3">
      <c r="B837" s="1"/>
      <c r="C837" s="2"/>
    </row>
    <row r="838" spans="2:3">
      <c r="B838" s="1"/>
      <c r="C838" s="2"/>
    </row>
    <row r="839" spans="2:3">
      <c r="B839" s="1"/>
      <c r="C839" s="2"/>
    </row>
    <row r="840" spans="2:3">
      <c r="B840" s="1"/>
      <c r="C840" s="2"/>
    </row>
    <row r="841" spans="2:3">
      <c r="B841" s="1"/>
      <c r="C841" s="2"/>
    </row>
    <row r="842" spans="2:3">
      <c r="B842" s="1"/>
      <c r="C842" s="2"/>
    </row>
    <row r="843" spans="2:3">
      <c r="B843" s="1"/>
      <c r="C843" s="2"/>
    </row>
    <row r="844" spans="2:3">
      <c r="B844" s="1"/>
      <c r="C844" s="2"/>
    </row>
    <row r="845" spans="2:3">
      <c r="B845" s="1"/>
      <c r="C845" s="2"/>
    </row>
    <row r="846" spans="2:3">
      <c r="B846" s="1"/>
      <c r="C846" s="2"/>
    </row>
    <row r="847" spans="2:3">
      <c r="B847" s="1"/>
      <c r="C847" s="2"/>
    </row>
    <row r="848" spans="2:3">
      <c r="B848" s="1"/>
      <c r="C848" s="2"/>
    </row>
    <row r="849" spans="2:3">
      <c r="B849" s="1"/>
      <c r="C849" s="2"/>
    </row>
    <row r="850" spans="2:3">
      <c r="B850" s="1"/>
      <c r="C850" s="2"/>
    </row>
    <row r="851" spans="2:3">
      <c r="B851" s="1"/>
      <c r="C851" s="2"/>
    </row>
    <row r="852" spans="2:3">
      <c r="B852" s="1"/>
      <c r="C852" s="2"/>
    </row>
    <row r="853" spans="2:3">
      <c r="B853" s="1"/>
      <c r="C853" s="2"/>
    </row>
    <row r="854" spans="2:3">
      <c r="B854" s="1"/>
      <c r="C854" s="2"/>
    </row>
    <row r="855" spans="2:3">
      <c r="B855" s="1"/>
      <c r="C855" s="2"/>
    </row>
    <row r="856" spans="2:3">
      <c r="B856" s="1"/>
      <c r="C856" s="2"/>
    </row>
    <row r="857" spans="2:3">
      <c r="B857" s="1"/>
      <c r="C857" s="2"/>
    </row>
    <row r="858" spans="2:3">
      <c r="B858" s="1"/>
      <c r="C858" s="2"/>
    </row>
    <row r="859" spans="2:3">
      <c r="B859" s="1"/>
      <c r="C859" s="2"/>
    </row>
    <row r="860" spans="2:3">
      <c r="B860" s="1"/>
      <c r="C860" s="2"/>
    </row>
    <row r="861" spans="2:3">
      <c r="B861" s="1"/>
      <c r="C861" s="2"/>
    </row>
    <row r="862" spans="2:3">
      <c r="B862" s="1"/>
      <c r="C862" s="2"/>
    </row>
    <row r="863" spans="2:3">
      <c r="B863" s="1"/>
      <c r="C863" s="2"/>
    </row>
    <row r="864" spans="2:3">
      <c r="B864" s="1"/>
      <c r="C864" s="2"/>
    </row>
    <row r="865" spans="2:3">
      <c r="B865" s="1"/>
      <c r="C865" s="2"/>
    </row>
    <row r="866" spans="2:3">
      <c r="B866" s="1"/>
      <c r="C866" s="2"/>
    </row>
    <row r="867" spans="2:3">
      <c r="B867" s="1"/>
      <c r="C867" s="2"/>
    </row>
    <row r="868" spans="2:3">
      <c r="B868" s="1"/>
      <c r="C868" s="2"/>
    </row>
    <row r="869" spans="2:3">
      <c r="B869" s="1"/>
      <c r="C869" s="2"/>
    </row>
    <row r="870" spans="2:3">
      <c r="B870" s="1"/>
      <c r="C870" s="2"/>
    </row>
    <row r="871" spans="2:3">
      <c r="B871" s="1"/>
      <c r="C871" s="2"/>
    </row>
    <row r="872" spans="2:3">
      <c r="B872" s="1"/>
      <c r="C872" s="2"/>
    </row>
    <row r="873" spans="2:3">
      <c r="B873" s="1"/>
      <c r="C873" s="2"/>
    </row>
    <row r="874" spans="2:3">
      <c r="B874" s="1"/>
      <c r="C874" s="2"/>
    </row>
    <row r="875" spans="2:3">
      <c r="B875" s="1"/>
      <c r="C875" s="2"/>
    </row>
    <row r="876" spans="2:3">
      <c r="B876" s="1"/>
      <c r="C876" s="2"/>
    </row>
    <row r="877" spans="2:3">
      <c r="B877" s="1"/>
      <c r="C877" s="2"/>
    </row>
    <row r="878" spans="2:3">
      <c r="B878" s="1"/>
      <c r="C878" s="2"/>
    </row>
    <row r="879" spans="2:3">
      <c r="B879" s="1"/>
      <c r="C879" s="2"/>
    </row>
    <row r="880" spans="2:3">
      <c r="B880" s="1"/>
      <c r="C880" s="2"/>
    </row>
    <row r="881" spans="2:3">
      <c r="B881" s="1"/>
      <c r="C881" s="2"/>
    </row>
    <row r="882" spans="2:3">
      <c r="B882" s="1"/>
      <c r="C882" s="2"/>
    </row>
    <row r="883" spans="2:3">
      <c r="B883" s="1"/>
      <c r="C883" s="2"/>
    </row>
    <row r="884" spans="2:3">
      <c r="B884" s="1"/>
      <c r="C884" s="2"/>
    </row>
    <row r="885" spans="2:3">
      <c r="B885" s="1"/>
      <c r="C885" s="2"/>
    </row>
    <row r="886" spans="2:3">
      <c r="B886" s="1"/>
      <c r="C886" s="2"/>
    </row>
    <row r="887" spans="2:3">
      <c r="B887" s="1"/>
      <c r="C887" s="2"/>
    </row>
    <row r="888" spans="2:3">
      <c r="B888" s="1"/>
      <c r="C888" s="2"/>
    </row>
    <row r="889" spans="2:3">
      <c r="B889" s="1"/>
      <c r="C889" s="2"/>
    </row>
    <row r="890" spans="2:3">
      <c r="B890" s="1"/>
      <c r="C890" s="2"/>
    </row>
    <row r="891" spans="2:3">
      <c r="B891" s="1"/>
      <c r="C891" s="2"/>
    </row>
    <row r="892" spans="2:3">
      <c r="B892" s="1"/>
      <c r="C892" s="2"/>
    </row>
    <row r="893" spans="2:3">
      <c r="B893" s="1"/>
      <c r="C893" s="2"/>
    </row>
    <row r="894" spans="2:3">
      <c r="B894" s="1"/>
      <c r="C894" s="2"/>
    </row>
    <row r="895" spans="2:3">
      <c r="B895" s="1"/>
      <c r="C895" s="2"/>
    </row>
    <row r="896" spans="2:3">
      <c r="B896" s="1"/>
      <c r="C896" s="2"/>
    </row>
    <row r="897" spans="2:3">
      <c r="B897" s="1"/>
      <c r="C897" s="2"/>
    </row>
    <row r="898" spans="2:3">
      <c r="B898" s="1"/>
      <c r="C898" s="2"/>
    </row>
    <row r="899" spans="2:3">
      <c r="B899" s="1"/>
      <c r="C899" s="2"/>
    </row>
    <row r="900" spans="2:3">
      <c r="B900" s="1"/>
      <c r="C900" s="2"/>
    </row>
    <row r="901" spans="2:3">
      <c r="B901" s="1"/>
      <c r="C901" s="2"/>
    </row>
    <row r="902" spans="2:3">
      <c r="B902" s="1"/>
      <c r="C902" s="2"/>
    </row>
    <row r="903" spans="2:3">
      <c r="B903" s="1"/>
      <c r="C903" s="2"/>
    </row>
    <row r="904" spans="2:3">
      <c r="B904" s="1"/>
      <c r="C904" s="2"/>
    </row>
    <row r="905" spans="2:3">
      <c r="B905" s="1"/>
      <c r="C905" s="2"/>
    </row>
    <row r="906" spans="2:3">
      <c r="B906" s="1"/>
      <c r="C906" s="2"/>
    </row>
    <row r="907" spans="2:3">
      <c r="B907" s="1"/>
      <c r="C907" s="2"/>
    </row>
    <row r="908" spans="2:3">
      <c r="B908" s="1"/>
      <c r="C908" s="2"/>
    </row>
    <row r="909" spans="2:3">
      <c r="B909" s="1"/>
      <c r="C909" s="2"/>
    </row>
    <row r="910" spans="2:3">
      <c r="B910" s="1"/>
      <c r="C910" s="2"/>
    </row>
    <row r="911" spans="2:3">
      <c r="B911" s="1"/>
      <c r="C911" s="2"/>
    </row>
    <row r="912" spans="2:3">
      <c r="B912" s="1"/>
      <c r="C912" s="2"/>
    </row>
    <row r="913" spans="2:3">
      <c r="B913" s="1"/>
      <c r="C913" s="2"/>
    </row>
    <row r="914" spans="2:3">
      <c r="B914" s="1"/>
      <c r="C914" s="2"/>
    </row>
    <row r="915" spans="2:3">
      <c r="B915" s="1"/>
      <c r="C915" s="2"/>
    </row>
    <row r="916" spans="2:3">
      <c r="B916" s="1"/>
      <c r="C916" s="2"/>
    </row>
    <row r="917" spans="2:3">
      <c r="B917" s="1"/>
      <c r="C917" s="2"/>
    </row>
    <row r="918" spans="2:3">
      <c r="B918" s="1"/>
      <c r="C918" s="2"/>
    </row>
    <row r="919" spans="2:3">
      <c r="B919" s="1"/>
      <c r="C919" s="2"/>
    </row>
    <row r="920" spans="2:3">
      <c r="B920" s="1"/>
      <c r="C920" s="2"/>
    </row>
    <row r="921" spans="2:3">
      <c r="B921" s="1"/>
      <c r="C921" s="2"/>
    </row>
    <row r="922" spans="2:3">
      <c r="B922" s="1"/>
      <c r="C922" s="2"/>
    </row>
    <row r="923" spans="2:3">
      <c r="B923" s="1"/>
      <c r="C923" s="2"/>
    </row>
    <row r="924" spans="2:3">
      <c r="B924" s="1"/>
      <c r="C924" s="2"/>
    </row>
    <row r="925" spans="2:3">
      <c r="B925" s="1"/>
      <c r="C925" s="2"/>
    </row>
    <row r="926" spans="2:3">
      <c r="B926" s="1"/>
      <c r="C926" s="2"/>
    </row>
    <row r="927" spans="2:3">
      <c r="B927" s="1"/>
      <c r="C927" s="2"/>
    </row>
    <row r="928" spans="2:3">
      <c r="B928" s="1"/>
      <c r="C928" s="2"/>
    </row>
    <row r="929" spans="2:3">
      <c r="B929" s="1"/>
      <c r="C929" s="2"/>
    </row>
    <row r="930" spans="2:3">
      <c r="B930" s="1"/>
      <c r="C930" s="2"/>
    </row>
    <row r="931" spans="2:3">
      <c r="B931" s="1"/>
      <c r="C931" s="2"/>
    </row>
    <row r="932" spans="2:3">
      <c r="B932" s="1"/>
      <c r="C932" s="2"/>
    </row>
    <row r="933" spans="2:3">
      <c r="B933" s="1"/>
      <c r="C933" s="2"/>
    </row>
    <row r="934" spans="2:3">
      <c r="B934" s="1"/>
      <c r="C934" s="2"/>
    </row>
    <row r="935" spans="2:3">
      <c r="B935" s="1"/>
      <c r="C935" s="2"/>
    </row>
    <row r="936" spans="2:3">
      <c r="B936" s="1"/>
      <c r="C936" s="2"/>
    </row>
    <row r="937" spans="2:3">
      <c r="B937" s="1"/>
      <c r="C937" s="2"/>
    </row>
    <row r="938" spans="2:3">
      <c r="B938" s="1"/>
      <c r="C938" s="2"/>
    </row>
    <row r="939" spans="2:3">
      <c r="B939" s="1"/>
      <c r="C939" s="2"/>
    </row>
    <row r="940" spans="2:3">
      <c r="B940" s="1"/>
      <c r="C940" s="2"/>
    </row>
    <row r="941" spans="2:3">
      <c r="B941" s="1"/>
      <c r="C941" s="2"/>
    </row>
    <row r="942" spans="2:3">
      <c r="B942" s="1"/>
      <c r="C942" s="2"/>
    </row>
    <row r="943" spans="2:3">
      <c r="B943" s="1"/>
      <c r="C943" s="2"/>
    </row>
    <row r="944" spans="2:3">
      <c r="B944" s="1"/>
      <c r="C944" s="2"/>
    </row>
    <row r="945" spans="2:3">
      <c r="B945" s="1"/>
      <c r="C945" s="2"/>
    </row>
    <row r="946" spans="2:3">
      <c r="B946" s="1"/>
      <c r="C946" s="2"/>
    </row>
    <row r="947" spans="2:3">
      <c r="B947" s="1"/>
      <c r="C947" s="2"/>
    </row>
    <row r="948" spans="2:3">
      <c r="B948" s="1"/>
      <c r="C948" s="2"/>
    </row>
    <row r="949" spans="2:3">
      <c r="B949" s="1"/>
      <c r="C949" s="2"/>
    </row>
    <row r="950" spans="2:3">
      <c r="B950" s="1"/>
      <c r="C950" s="2"/>
    </row>
    <row r="951" spans="2:3">
      <c r="B951" s="1"/>
      <c r="C951" s="2"/>
    </row>
    <row r="952" spans="2:3">
      <c r="B952" s="1"/>
      <c r="C952" s="2"/>
    </row>
    <row r="953" spans="2:3">
      <c r="B953" s="1"/>
      <c r="C953" s="2"/>
    </row>
    <row r="954" spans="2:3">
      <c r="B954" s="1"/>
      <c r="C954" s="2"/>
    </row>
    <row r="955" spans="2:3">
      <c r="B955" s="1"/>
      <c r="C955" s="2"/>
    </row>
    <row r="956" spans="2:3">
      <c r="B956" s="1"/>
      <c r="C956" s="2"/>
    </row>
    <row r="957" spans="2:3">
      <c r="B957" s="1"/>
      <c r="C957" s="2"/>
    </row>
    <row r="958" spans="2:3">
      <c r="B958" s="1"/>
      <c r="C958" s="2"/>
    </row>
    <row r="959" spans="2:3">
      <c r="B959" s="1"/>
      <c r="C959" s="2"/>
    </row>
    <row r="960" spans="2:3">
      <c r="B960" s="1"/>
      <c r="C960" s="2"/>
    </row>
    <row r="961" spans="2:3">
      <c r="B961" s="1"/>
      <c r="C961" s="2"/>
    </row>
    <row r="962" spans="2:3">
      <c r="B962" s="1"/>
      <c r="C962" s="2"/>
    </row>
    <row r="963" spans="2:3">
      <c r="B963" s="1"/>
      <c r="C963" s="2"/>
    </row>
    <row r="964" spans="2:3">
      <c r="B964" s="1"/>
      <c r="C964" s="2"/>
    </row>
    <row r="965" spans="2:3">
      <c r="B965" s="1"/>
      <c r="C965" s="2"/>
    </row>
    <row r="966" spans="2:3">
      <c r="B966" s="1"/>
      <c r="C966" s="2"/>
    </row>
    <row r="967" spans="2:3">
      <c r="B967" s="1"/>
      <c r="C967" s="2"/>
    </row>
    <row r="968" spans="2:3">
      <c r="B968" s="1"/>
      <c r="C968" s="2"/>
    </row>
    <row r="969" spans="2:3">
      <c r="B969" s="1"/>
      <c r="C969" s="2"/>
    </row>
    <row r="970" spans="2:3">
      <c r="B970" s="1"/>
      <c r="C970" s="2"/>
    </row>
    <row r="971" spans="2:3">
      <c r="B971" s="1"/>
      <c r="C971" s="2"/>
    </row>
    <row r="972" spans="2:3">
      <c r="B972" s="1"/>
      <c r="C972" s="2"/>
    </row>
    <row r="973" spans="2:3">
      <c r="B973" s="1"/>
      <c r="C973" s="2"/>
    </row>
    <row r="974" spans="2:3">
      <c r="B974" s="1"/>
      <c r="C974" s="2"/>
    </row>
    <row r="975" spans="2:3">
      <c r="B975" s="1"/>
      <c r="C975" s="2"/>
    </row>
    <row r="976" spans="2:3">
      <c r="B976" s="1"/>
      <c r="C976" s="2"/>
    </row>
    <row r="977" spans="2:3">
      <c r="B977" s="1"/>
      <c r="C977" s="2"/>
    </row>
    <row r="978" spans="2:3">
      <c r="B978" s="1"/>
      <c r="C978" s="2"/>
    </row>
    <row r="979" spans="2:3">
      <c r="B979" s="1"/>
      <c r="C979" s="2"/>
    </row>
    <row r="980" spans="2:3">
      <c r="B980" s="1"/>
      <c r="C980" s="2"/>
    </row>
    <row r="981" spans="2:3">
      <c r="B981" s="1"/>
      <c r="C981" s="2"/>
    </row>
    <row r="982" spans="2:3">
      <c r="B982" s="1"/>
      <c r="C982" s="2"/>
    </row>
    <row r="983" spans="2:3">
      <c r="B983" s="1"/>
      <c r="C983" s="2"/>
    </row>
    <row r="984" spans="2:3">
      <c r="B984" s="1"/>
      <c r="C984" s="2"/>
    </row>
    <row r="985" spans="2:3">
      <c r="B985" s="1"/>
      <c r="C985" s="2"/>
    </row>
    <row r="986" spans="2:3">
      <c r="B986" s="1"/>
      <c r="C986" s="2"/>
    </row>
    <row r="987" spans="2:3">
      <c r="B987" s="1"/>
      <c r="C987" s="2"/>
    </row>
    <row r="988" spans="2:3">
      <c r="B988" s="1"/>
      <c r="C988" s="2"/>
    </row>
    <row r="989" spans="2:3">
      <c r="B989" s="1"/>
      <c r="C989" s="2"/>
    </row>
    <row r="990" spans="2:3">
      <c r="B990" s="1"/>
      <c r="C990" s="2"/>
    </row>
    <row r="991" spans="2:3">
      <c r="B991" s="1"/>
      <c r="C991" s="2"/>
    </row>
    <row r="992" spans="2:3">
      <c r="B992" s="1"/>
      <c r="C992" s="2"/>
    </row>
    <row r="993" spans="2:3">
      <c r="B993" s="1"/>
      <c r="C993" s="2"/>
    </row>
    <row r="994" spans="2:3">
      <c r="B994" s="1"/>
      <c r="C994" s="2"/>
    </row>
    <row r="995" spans="2:3">
      <c r="B995" s="1"/>
      <c r="C995" s="2"/>
    </row>
    <row r="996" spans="2:3">
      <c r="B996" s="1"/>
      <c r="C996" s="2"/>
    </row>
    <row r="997" spans="2:3">
      <c r="B997" s="1"/>
      <c r="C997" s="2"/>
    </row>
    <row r="998" spans="2:3">
      <c r="B998" s="1"/>
      <c r="C998" s="2"/>
    </row>
    <row r="999" spans="2:3">
      <c r="B999" s="1"/>
      <c r="C999" s="2"/>
    </row>
    <row r="1000" spans="2:3">
      <c r="B1000" s="1"/>
      <c r="C1000" s="2"/>
    </row>
  </sheetData>
  <mergeCells count="1">
    <mergeCell ref="A1:H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000"/>
  <sheetViews>
    <sheetView workbookViewId="0">
      <selection sqref="A1:H300"/>
    </sheetView>
  </sheetViews>
  <sheetFormatPr defaultRowHeight="15"/>
  <cols>
    <col min="1" max="1" width="78.28515625" bestFit="1" customWidth="1"/>
    <col min="2" max="2" width="10.7109375" bestFit="1" customWidth="1"/>
    <col min="3" max="3" width="14.42578125" customWidth="1"/>
  </cols>
  <sheetData>
    <row r="1" spans="1:8" ht="21">
      <c r="A1" s="179"/>
      <c r="B1" s="180"/>
      <c r="C1" s="180"/>
      <c r="D1" s="180"/>
      <c r="E1" s="180"/>
      <c r="F1" s="180"/>
      <c r="G1" s="180"/>
      <c r="H1" s="180"/>
    </row>
    <row r="2" spans="1:8">
      <c r="B2" s="1"/>
      <c r="C2" s="2"/>
    </row>
    <row r="3" spans="1:8">
      <c r="A3" s="3"/>
      <c r="B3" s="1"/>
      <c r="C3" s="2"/>
    </row>
    <row r="4" spans="1:8">
      <c r="B4" s="1"/>
      <c r="C4" s="2"/>
    </row>
    <row r="5" spans="1:8">
      <c r="B5" s="1"/>
      <c r="C5" s="2"/>
    </row>
    <row r="6" spans="1:8">
      <c r="B6" s="1"/>
      <c r="C6" s="2"/>
    </row>
    <row r="7" spans="1:8">
      <c r="B7" s="1"/>
      <c r="C7" s="2"/>
    </row>
    <row r="8" spans="1:8">
      <c r="B8" s="1"/>
      <c r="C8" s="2"/>
    </row>
    <row r="9" spans="1:8">
      <c r="B9" s="1"/>
      <c r="C9" s="2"/>
    </row>
    <row r="10" spans="1:8">
      <c r="B10" s="1"/>
      <c r="C10" s="2"/>
    </row>
    <row r="11" spans="1:8">
      <c r="B11" s="1"/>
      <c r="C11" s="2"/>
    </row>
    <row r="12" spans="1:8">
      <c r="B12" s="1"/>
      <c r="C12" s="2"/>
    </row>
    <row r="13" spans="1:8">
      <c r="A13" s="3"/>
      <c r="B13" s="1"/>
      <c r="C13" s="2"/>
    </row>
    <row r="14" spans="1:8">
      <c r="B14" s="1"/>
      <c r="C14" s="2"/>
    </row>
    <row r="15" spans="1:8">
      <c r="A15" s="3"/>
      <c r="B15" s="1"/>
      <c r="C15" s="2"/>
    </row>
    <row r="16" spans="1:8">
      <c r="A16" s="3"/>
      <c r="B16" s="1"/>
      <c r="C16" s="2"/>
    </row>
    <row r="17" spans="1:3">
      <c r="B17" s="1"/>
      <c r="C17" s="2"/>
    </row>
    <row r="18" spans="1:3">
      <c r="B18" s="1"/>
      <c r="C18" s="2"/>
    </row>
    <row r="19" spans="1:3">
      <c r="A19" s="3"/>
      <c r="B19" s="1"/>
      <c r="C19" s="2"/>
    </row>
    <row r="20" spans="1:3">
      <c r="B20" s="1"/>
      <c r="C20" s="2"/>
    </row>
    <row r="21" spans="1:3">
      <c r="B21" s="1"/>
      <c r="C21" s="2"/>
    </row>
    <row r="22" spans="1:3">
      <c r="B22" s="1"/>
      <c r="C22" s="2"/>
    </row>
    <row r="23" spans="1:3">
      <c r="A23" s="3"/>
      <c r="B23" s="1"/>
      <c r="C23" s="2"/>
    </row>
    <row r="24" spans="1:3">
      <c r="B24" s="1"/>
      <c r="C24" s="2"/>
    </row>
    <row r="25" spans="1:3">
      <c r="B25" s="1"/>
      <c r="C25" s="2"/>
    </row>
    <row r="26" spans="1:3">
      <c r="B26" s="1"/>
      <c r="C26" s="2"/>
    </row>
    <row r="27" spans="1:3">
      <c r="B27" s="1"/>
      <c r="C27" s="2"/>
    </row>
    <row r="28" spans="1:3">
      <c r="B28" s="1"/>
      <c r="C28" s="2"/>
    </row>
    <row r="29" spans="1:3">
      <c r="B29" s="1"/>
      <c r="C29" s="2"/>
    </row>
    <row r="30" spans="1:3">
      <c r="B30" s="1"/>
      <c r="C30" s="2"/>
    </row>
    <row r="31" spans="1:3">
      <c r="B31" s="1"/>
      <c r="C31" s="2"/>
    </row>
    <row r="32" spans="1:3">
      <c r="A32" s="3"/>
      <c r="B32" s="1"/>
      <c r="C32" s="2"/>
    </row>
    <row r="33" spans="1:3">
      <c r="B33" s="1"/>
      <c r="C33" s="2"/>
    </row>
    <row r="34" spans="1:3">
      <c r="B34" s="1"/>
      <c r="C34" s="2"/>
    </row>
    <row r="35" spans="1:3">
      <c r="A35" s="3"/>
      <c r="B35" s="1"/>
      <c r="C35" s="2"/>
    </row>
    <row r="36" spans="1:3">
      <c r="B36" s="1"/>
      <c r="C36" s="2"/>
    </row>
    <row r="37" spans="1:3">
      <c r="B37" s="1"/>
      <c r="C37" s="2"/>
    </row>
    <row r="38" spans="1:3">
      <c r="B38" s="1"/>
      <c r="C38" s="2"/>
    </row>
    <row r="39" spans="1:3">
      <c r="B39" s="1"/>
      <c r="C39" s="2"/>
    </row>
    <row r="40" spans="1:3">
      <c r="B40" s="1"/>
      <c r="C40" s="2"/>
    </row>
    <row r="41" spans="1:3">
      <c r="A41" s="3"/>
      <c r="B41" s="1"/>
      <c r="C41" s="2"/>
    </row>
    <row r="42" spans="1:3">
      <c r="A42" s="3"/>
      <c r="B42" s="1"/>
      <c r="C42" s="2"/>
    </row>
    <row r="43" spans="1:3">
      <c r="B43" s="1"/>
      <c r="C43" s="2"/>
    </row>
    <row r="44" spans="1:3">
      <c r="B44" s="1"/>
      <c r="C44" s="2"/>
    </row>
    <row r="45" spans="1:3">
      <c r="B45" s="1"/>
      <c r="C45" s="2"/>
    </row>
    <row r="46" spans="1:3">
      <c r="B46" s="1"/>
      <c r="C46" s="2"/>
    </row>
    <row r="47" spans="1:3">
      <c r="B47" s="1"/>
      <c r="C47" s="2"/>
    </row>
    <row r="48" spans="1:3">
      <c r="B48" s="1"/>
      <c r="C48" s="2"/>
    </row>
    <row r="49" spans="1:3">
      <c r="B49" s="1"/>
      <c r="C49" s="2"/>
    </row>
    <row r="50" spans="1:3">
      <c r="A50" s="3"/>
      <c r="B50" s="1"/>
      <c r="C50" s="2"/>
    </row>
    <row r="51" spans="1:3">
      <c r="B51" s="1"/>
      <c r="C51" s="2"/>
    </row>
    <row r="52" spans="1:3">
      <c r="B52" s="1"/>
      <c r="C52" s="2"/>
    </row>
    <row r="53" spans="1:3">
      <c r="B53" s="1"/>
      <c r="C53" s="2"/>
    </row>
    <row r="54" spans="1:3">
      <c r="B54" s="1"/>
      <c r="C54" s="2"/>
    </row>
    <row r="55" spans="1:3">
      <c r="B55" s="1"/>
      <c r="C55" s="2"/>
    </row>
    <row r="56" spans="1:3">
      <c r="B56" s="1"/>
      <c r="C56" s="2"/>
    </row>
    <row r="57" spans="1:3">
      <c r="B57" s="1"/>
      <c r="C57" s="2"/>
    </row>
    <row r="58" spans="1:3">
      <c r="B58" s="1"/>
      <c r="C58" s="2"/>
    </row>
    <row r="59" spans="1:3">
      <c r="B59" s="1"/>
      <c r="C59" s="2"/>
    </row>
    <row r="60" spans="1:3">
      <c r="A60" s="3"/>
      <c r="B60" s="1"/>
      <c r="C60" s="2"/>
    </row>
    <row r="61" spans="1:3">
      <c r="B61" s="1"/>
      <c r="C61" s="2"/>
    </row>
    <row r="62" spans="1:3">
      <c r="B62" s="1"/>
      <c r="C62" s="2"/>
    </row>
    <row r="63" spans="1:3">
      <c r="A63" s="3"/>
      <c r="B63" s="1"/>
      <c r="C63" s="2"/>
    </row>
    <row r="64" spans="1:3">
      <c r="B64" s="1"/>
      <c r="C64" s="2"/>
    </row>
    <row r="65" spans="1:3">
      <c r="B65" s="1"/>
      <c r="C65" s="2"/>
    </row>
    <row r="66" spans="1:3">
      <c r="A66" s="3"/>
      <c r="B66" s="1"/>
      <c r="C66" s="2"/>
    </row>
    <row r="67" spans="1:3">
      <c r="B67" s="1"/>
      <c r="C67" s="2"/>
    </row>
    <row r="68" spans="1:3">
      <c r="B68" s="1"/>
      <c r="C68" s="2"/>
    </row>
    <row r="69" spans="1:3">
      <c r="B69" s="1"/>
      <c r="C69" s="2"/>
    </row>
    <row r="70" spans="1:3">
      <c r="B70" s="1"/>
      <c r="C70" s="2"/>
    </row>
    <row r="71" spans="1:3">
      <c r="B71" s="1"/>
      <c r="C71" s="2"/>
    </row>
    <row r="72" spans="1:3">
      <c r="A72" s="3"/>
      <c r="B72" s="1"/>
      <c r="C72" s="2"/>
    </row>
    <row r="73" spans="1:3">
      <c r="B73" s="1"/>
      <c r="C73" s="2"/>
    </row>
    <row r="74" spans="1:3">
      <c r="B74" s="1"/>
      <c r="C74" s="2"/>
    </row>
    <row r="75" spans="1:3">
      <c r="B75" s="1"/>
      <c r="C75" s="2"/>
    </row>
    <row r="76" spans="1:3">
      <c r="B76" s="1"/>
      <c r="C76" s="2"/>
    </row>
    <row r="77" spans="1:3">
      <c r="B77" s="1"/>
      <c r="C77" s="2"/>
    </row>
    <row r="78" spans="1:3">
      <c r="A78" s="3"/>
      <c r="B78" s="1"/>
      <c r="C78" s="2"/>
    </row>
    <row r="79" spans="1:3">
      <c r="A79" s="3"/>
      <c r="B79" s="1"/>
      <c r="C79" s="2"/>
    </row>
    <row r="80" spans="1:3">
      <c r="A80" s="3"/>
      <c r="B80" s="1"/>
      <c r="C80" s="2"/>
    </row>
    <row r="81" spans="1:3">
      <c r="B81" s="1"/>
      <c r="C81" s="2"/>
    </row>
    <row r="82" spans="1:3">
      <c r="B82" s="1"/>
      <c r="C82" s="2"/>
    </row>
    <row r="83" spans="1:3">
      <c r="B83" s="1"/>
      <c r="C83" s="2"/>
    </row>
    <row r="84" spans="1:3">
      <c r="B84" s="1"/>
      <c r="C84" s="2"/>
    </row>
    <row r="85" spans="1:3">
      <c r="B85" s="1"/>
      <c r="C85" s="2"/>
    </row>
    <row r="86" spans="1:3">
      <c r="B86" s="1"/>
      <c r="C86" s="2"/>
    </row>
    <row r="87" spans="1:3">
      <c r="B87" s="1"/>
      <c r="C87" s="2"/>
    </row>
    <row r="88" spans="1:3">
      <c r="B88" s="1"/>
      <c r="C88" s="2"/>
    </row>
    <row r="89" spans="1:3">
      <c r="B89" s="1"/>
      <c r="C89" s="2"/>
    </row>
    <row r="90" spans="1:3">
      <c r="B90" s="1"/>
      <c r="C90" s="2"/>
    </row>
    <row r="91" spans="1:3">
      <c r="B91" s="1"/>
      <c r="C91" s="2"/>
    </row>
    <row r="92" spans="1:3">
      <c r="B92" s="1"/>
      <c r="C92" s="2"/>
    </row>
    <row r="93" spans="1:3">
      <c r="B93" s="1"/>
      <c r="C93" s="2"/>
    </row>
    <row r="94" spans="1:3">
      <c r="B94" s="1"/>
      <c r="C94" s="2"/>
    </row>
    <row r="95" spans="1:3">
      <c r="A95" s="3"/>
      <c r="B95" s="1"/>
      <c r="C95" s="2"/>
    </row>
    <row r="96" spans="1:3">
      <c r="B96" s="1"/>
      <c r="C96" s="2"/>
    </row>
    <row r="97" spans="1:3">
      <c r="B97" s="1"/>
      <c r="C97" s="2"/>
    </row>
    <row r="98" spans="1:3">
      <c r="B98" s="1"/>
      <c r="C98" s="2"/>
    </row>
    <row r="99" spans="1:3">
      <c r="B99" s="1"/>
      <c r="C99" s="2"/>
    </row>
    <row r="100" spans="1:3">
      <c r="B100" s="1"/>
      <c r="C100" s="2"/>
    </row>
    <row r="101" spans="1:3">
      <c r="B101" s="1"/>
      <c r="C101" s="2"/>
    </row>
    <row r="102" spans="1:3">
      <c r="B102" s="1"/>
      <c r="C102" s="2"/>
    </row>
    <row r="103" spans="1:3">
      <c r="B103" s="1"/>
      <c r="C103" s="2"/>
    </row>
    <row r="104" spans="1:3">
      <c r="B104" s="1"/>
      <c r="C104" s="2"/>
    </row>
    <row r="105" spans="1:3">
      <c r="B105" s="1"/>
      <c r="C105" s="2"/>
    </row>
    <row r="106" spans="1:3">
      <c r="B106" s="1"/>
      <c r="C106" s="2"/>
    </row>
    <row r="107" spans="1:3">
      <c r="B107" s="1"/>
      <c r="C107" s="2"/>
    </row>
    <row r="108" spans="1:3">
      <c r="B108" s="1"/>
      <c r="C108" s="2"/>
    </row>
    <row r="109" spans="1:3">
      <c r="A109" s="3"/>
      <c r="B109" s="1"/>
      <c r="C109" s="2"/>
    </row>
    <row r="110" spans="1:3">
      <c r="A110" s="3"/>
      <c r="B110" s="1"/>
      <c r="C110" s="2"/>
    </row>
    <row r="111" spans="1:3">
      <c r="B111" s="1"/>
      <c r="C111" s="2"/>
    </row>
    <row r="112" spans="1:3">
      <c r="B112" s="1"/>
      <c r="C112" s="2"/>
    </row>
    <row r="113" spans="1:3">
      <c r="B113" s="1"/>
      <c r="C113" s="2"/>
    </row>
    <row r="114" spans="1:3">
      <c r="B114" s="1"/>
      <c r="C114" s="2"/>
    </row>
    <row r="115" spans="1:3">
      <c r="B115" s="1"/>
      <c r="C115" s="2"/>
    </row>
    <row r="116" spans="1:3">
      <c r="B116" s="1"/>
      <c r="C116" s="2"/>
    </row>
    <row r="117" spans="1:3">
      <c r="B117" s="1"/>
      <c r="C117" s="2"/>
    </row>
    <row r="118" spans="1:3">
      <c r="B118" s="1"/>
      <c r="C118" s="2"/>
    </row>
    <row r="119" spans="1:3">
      <c r="B119" s="1"/>
      <c r="C119" s="2"/>
    </row>
    <row r="120" spans="1:3">
      <c r="B120" s="1"/>
      <c r="C120" s="2"/>
    </row>
    <row r="121" spans="1:3">
      <c r="B121" s="1"/>
      <c r="C121" s="2"/>
    </row>
    <row r="122" spans="1:3">
      <c r="B122" s="1"/>
      <c r="C122" s="2"/>
    </row>
    <row r="123" spans="1:3">
      <c r="B123" s="1"/>
      <c r="C123" s="2"/>
    </row>
    <row r="124" spans="1:3">
      <c r="B124" s="1"/>
      <c r="C124" s="2"/>
    </row>
    <row r="125" spans="1:3">
      <c r="B125" s="1"/>
      <c r="C125" s="2"/>
    </row>
    <row r="126" spans="1:3">
      <c r="B126" s="1"/>
      <c r="C126" s="2"/>
    </row>
    <row r="127" spans="1:3">
      <c r="B127" s="1"/>
      <c r="C127" s="2"/>
    </row>
    <row r="128" spans="1:3">
      <c r="A128" s="3"/>
      <c r="B128" s="1"/>
      <c r="C128" s="2"/>
    </row>
    <row r="129" spans="1:3">
      <c r="B129" s="1"/>
      <c r="C129" s="2"/>
    </row>
    <row r="130" spans="1:3">
      <c r="B130" s="1"/>
      <c r="C130" s="2"/>
    </row>
    <row r="131" spans="1:3">
      <c r="A131" s="3"/>
      <c r="B131" s="1"/>
      <c r="C131" s="2"/>
    </row>
    <row r="132" spans="1:3">
      <c r="B132" s="1"/>
      <c r="C132" s="2"/>
    </row>
    <row r="133" spans="1:3">
      <c r="A133" s="3"/>
      <c r="B133" s="1"/>
      <c r="C133" s="2"/>
    </row>
    <row r="134" spans="1:3">
      <c r="B134" s="1"/>
      <c r="C134" s="2"/>
    </row>
    <row r="135" spans="1:3">
      <c r="B135" s="1"/>
      <c r="C135" s="2"/>
    </row>
    <row r="136" spans="1:3">
      <c r="B136" s="1"/>
      <c r="C136" s="2"/>
    </row>
    <row r="137" spans="1:3">
      <c r="B137" s="1"/>
      <c r="C137" s="2"/>
    </row>
    <row r="138" spans="1:3">
      <c r="B138" s="1"/>
      <c r="C138" s="2"/>
    </row>
    <row r="139" spans="1:3">
      <c r="B139" s="1"/>
      <c r="C139" s="2"/>
    </row>
    <row r="140" spans="1:3">
      <c r="B140" s="1"/>
      <c r="C140" s="2"/>
    </row>
    <row r="141" spans="1:3">
      <c r="B141" s="1"/>
      <c r="C141" s="2"/>
    </row>
    <row r="142" spans="1:3">
      <c r="B142" s="1"/>
      <c r="C142" s="2"/>
    </row>
    <row r="143" spans="1:3">
      <c r="B143" s="1"/>
      <c r="C143" s="2"/>
    </row>
    <row r="144" spans="1:3">
      <c r="B144" s="1"/>
      <c r="C144" s="2"/>
    </row>
    <row r="145" spans="1:3">
      <c r="B145" s="1"/>
      <c r="C145" s="2"/>
    </row>
    <row r="146" spans="1:3">
      <c r="B146" s="1"/>
      <c r="C146" s="2"/>
    </row>
    <row r="147" spans="1:3">
      <c r="B147" s="1"/>
      <c r="C147" s="2"/>
    </row>
    <row r="148" spans="1:3">
      <c r="B148" s="1"/>
      <c r="C148" s="2"/>
    </row>
    <row r="149" spans="1:3">
      <c r="B149" s="1"/>
      <c r="C149" s="2"/>
    </row>
    <row r="150" spans="1:3">
      <c r="B150" s="1"/>
      <c r="C150" s="2"/>
    </row>
    <row r="151" spans="1:3">
      <c r="B151" s="1"/>
      <c r="C151" s="2"/>
    </row>
    <row r="152" spans="1:3">
      <c r="B152" s="1"/>
      <c r="C152" s="2"/>
    </row>
    <row r="153" spans="1:3">
      <c r="B153" s="1"/>
      <c r="C153" s="2"/>
    </row>
    <row r="154" spans="1:3">
      <c r="B154" s="1"/>
      <c r="C154" s="2"/>
    </row>
    <row r="155" spans="1:3">
      <c r="B155" s="1"/>
      <c r="C155" s="2"/>
    </row>
    <row r="156" spans="1:3">
      <c r="B156" s="1"/>
      <c r="C156" s="2"/>
    </row>
    <row r="157" spans="1:3">
      <c r="B157" s="1"/>
      <c r="C157" s="2"/>
    </row>
    <row r="158" spans="1:3">
      <c r="B158" s="1"/>
      <c r="C158" s="2"/>
    </row>
    <row r="159" spans="1:3">
      <c r="A159" s="3"/>
      <c r="B159" s="1"/>
      <c r="C159" s="2"/>
    </row>
    <row r="160" spans="1:3">
      <c r="B160" s="1"/>
      <c r="C160" s="2"/>
    </row>
    <row r="161" spans="1:3">
      <c r="A161" s="3"/>
      <c r="B161" s="1"/>
      <c r="C161" s="2"/>
    </row>
    <row r="162" spans="1:3">
      <c r="B162" s="1"/>
      <c r="C162" s="2"/>
    </row>
    <row r="163" spans="1:3">
      <c r="B163" s="1"/>
      <c r="C163" s="2"/>
    </row>
    <row r="164" spans="1:3">
      <c r="B164" s="1"/>
      <c r="C164" s="2"/>
    </row>
    <row r="165" spans="1:3">
      <c r="B165" s="1"/>
      <c r="C165" s="2"/>
    </row>
    <row r="166" spans="1:3">
      <c r="B166" s="1"/>
      <c r="C166" s="2"/>
    </row>
    <row r="167" spans="1:3">
      <c r="B167" s="1"/>
      <c r="C167" s="2"/>
    </row>
    <row r="168" spans="1:3">
      <c r="B168" s="1"/>
      <c r="C168" s="2"/>
    </row>
    <row r="169" spans="1:3">
      <c r="A169" s="3"/>
      <c r="B169" s="1"/>
      <c r="C169" s="2"/>
    </row>
    <row r="170" spans="1:3">
      <c r="A170" s="3"/>
      <c r="B170" s="1"/>
      <c r="C170" s="2"/>
    </row>
    <row r="171" spans="1:3">
      <c r="B171" s="1"/>
      <c r="C171" s="2"/>
    </row>
    <row r="172" spans="1:3">
      <c r="B172" s="1"/>
      <c r="C172" s="2"/>
    </row>
    <row r="173" spans="1:3">
      <c r="B173" s="1"/>
      <c r="C173" s="2"/>
    </row>
    <row r="174" spans="1:3">
      <c r="B174" s="1"/>
      <c r="C174" s="2"/>
    </row>
    <row r="175" spans="1:3">
      <c r="B175" s="1"/>
      <c r="C175" s="2"/>
    </row>
    <row r="176" spans="1:3">
      <c r="B176" s="1"/>
      <c r="C176" s="2"/>
    </row>
    <row r="177" spans="1:3">
      <c r="B177" s="1"/>
      <c r="C177" s="2"/>
    </row>
    <row r="178" spans="1:3">
      <c r="A178" s="3"/>
      <c r="B178" s="1"/>
      <c r="C178" s="2"/>
    </row>
    <row r="179" spans="1:3">
      <c r="A179" s="3"/>
      <c r="B179" s="1"/>
      <c r="C179" s="2"/>
    </row>
    <row r="180" spans="1:3">
      <c r="B180" s="1"/>
      <c r="C180" s="2"/>
    </row>
    <row r="181" spans="1:3">
      <c r="B181" s="1"/>
      <c r="C181" s="2"/>
    </row>
    <row r="182" spans="1:3">
      <c r="B182" s="1"/>
      <c r="C182" s="2"/>
    </row>
    <row r="183" spans="1:3">
      <c r="B183" s="1"/>
      <c r="C183" s="2"/>
    </row>
    <row r="184" spans="1:3">
      <c r="B184" s="1"/>
      <c r="C184" s="2"/>
    </row>
    <row r="185" spans="1:3">
      <c r="B185" s="1"/>
      <c r="C185" s="2"/>
    </row>
    <row r="186" spans="1:3">
      <c r="A186" s="3"/>
      <c r="B186" s="1"/>
      <c r="C186" s="2"/>
    </row>
    <row r="187" spans="1:3">
      <c r="A187" s="3"/>
      <c r="B187" s="1"/>
      <c r="C187" s="2"/>
    </row>
    <row r="188" spans="1:3">
      <c r="A188" s="3"/>
      <c r="B188" s="1"/>
      <c r="C188" s="2"/>
    </row>
    <row r="189" spans="1:3">
      <c r="B189" s="1"/>
      <c r="C189" s="2"/>
    </row>
    <row r="190" spans="1:3">
      <c r="A190" s="3"/>
      <c r="B190" s="1"/>
      <c r="C190" s="2"/>
    </row>
    <row r="191" spans="1:3">
      <c r="B191" s="1"/>
      <c r="C191" s="2"/>
    </row>
    <row r="192" spans="1:3">
      <c r="A192" s="3"/>
      <c r="B192" s="1"/>
      <c r="C192" s="2"/>
    </row>
    <row r="193" spans="1:3">
      <c r="B193" s="1"/>
      <c r="C193" s="2"/>
    </row>
    <row r="194" spans="1:3">
      <c r="A194" s="3"/>
      <c r="B194" s="1"/>
      <c r="C194" s="2"/>
    </row>
    <row r="195" spans="1:3">
      <c r="A195" s="3"/>
      <c r="B195" s="1"/>
      <c r="C195" s="2"/>
    </row>
    <row r="196" spans="1:3">
      <c r="A196" s="3"/>
      <c r="B196" s="1"/>
      <c r="C196" s="2"/>
    </row>
    <row r="197" spans="1:3">
      <c r="B197" s="1"/>
      <c r="C197" s="2"/>
    </row>
    <row r="198" spans="1:3">
      <c r="B198" s="1"/>
      <c r="C198" s="2"/>
    </row>
    <row r="199" spans="1:3">
      <c r="B199" s="1"/>
      <c r="C199" s="2"/>
    </row>
    <row r="200" spans="1:3">
      <c r="B200" s="1"/>
      <c r="C200" s="2"/>
    </row>
    <row r="201" spans="1:3">
      <c r="B201" s="1"/>
      <c r="C201" s="2"/>
    </row>
    <row r="202" spans="1:3">
      <c r="B202" s="1"/>
      <c r="C202" s="2"/>
    </row>
    <row r="203" spans="1:3">
      <c r="A203" s="3"/>
      <c r="B203" s="1"/>
      <c r="C203" s="2"/>
    </row>
    <row r="204" spans="1:3">
      <c r="B204" s="1"/>
      <c r="C204" s="2"/>
    </row>
    <row r="205" spans="1:3">
      <c r="B205" s="1"/>
      <c r="C205" s="2"/>
    </row>
    <row r="206" spans="1:3">
      <c r="B206" s="1"/>
      <c r="C206" s="2"/>
    </row>
    <row r="207" spans="1:3">
      <c r="B207" s="1"/>
      <c r="C207" s="2"/>
    </row>
    <row r="208" spans="1:3">
      <c r="B208" s="1"/>
      <c r="C208" s="2"/>
    </row>
    <row r="209" spans="1:3">
      <c r="B209" s="1"/>
      <c r="C209" s="2"/>
    </row>
    <row r="210" spans="1:3">
      <c r="B210" s="1"/>
      <c r="C210" s="2"/>
    </row>
    <row r="211" spans="1:3">
      <c r="B211" s="1"/>
      <c r="C211" s="2"/>
    </row>
    <row r="212" spans="1:3">
      <c r="B212" s="1"/>
      <c r="C212" s="2"/>
    </row>
    <row r="213" spans="1:3">
      <c r="A213" s="3"/>
      <c r="B213" s="1"/>
      <c r="C213" s="2"/>
    </row>
    <row r="214" spans="1:3">
      <c r="A214" s="3"/>
      <c r="B214" s="1"/>
      <c r="C214" s="2"/>
    </row>
    <row r="215" spans="1:3">
      <c r="B215" s="1"/>
      <c r="C215" s="2"/>
    </row>
    <row r="216" spans="1:3">
      <c r="B216" s="1"/>
      <c r="C216" s="2"/>
    </row>
    <row r="217" spans="1:3">
      <c r="B217" s="1"/>
      <c r="C217" s="2"/>
    </row>
    <row r="218" spans="1:3">
      <c r="B218" s="1"/>
      <c r="C218" s="2"/>
    </row>
    <row r="219" spans="1:3">
      <c r="B219" s="1"/>
      <c r="C219" s="2"/>
    </row>
    <row r="220" spans="1:3">
      <c r="B220" s="1"/>
      <c r="C220" s="2"/>
    </row>
    <row r="221" spans="1:3">
      <c r="B221" s="1"/>
      <c r="C221" s="2"/>
    </row>
    <row r="222" spans="1:3">
      <c r="A222" s="3"/>
      <c r="B222" s="1"/>
      <c r="C222" s="2"/>
    </row>
    <row r="223" spans="1:3">
      <c r="A223" s="3"/>
      <c r="B223" s="1"/>
      <c r="C223" s="2"/>
    </row>
    <row r="224" spans="1:3">
      <c r="B224" s="1"/>
      <c r="C224" s="2"/>
    </row>
    <row r="225" spans="1:3">
      <c r="B225" s="1"/>
      <c r="C225" s="2"/>
    </row>
    <row r="226" spans="1:3">
      <c r="B226" s="1"/>
      <c r="C226" s="2"/>
    </row>
    <row r="227" spans="1:3">
      <c r="B227" s="1"/>
      <c r="C227" s="2"/>
    </row>
    <row r="228" spans="1:3">
      <c r="B228" s="1"/>
      <c r="C228" s="2"/>
    </row>
    <row r="229" spans="1:3">
      <c r="B229" s="1"/>
      <c r="C229" s="2"/>
    </row>
    <row r="230" spans="1:3">
      <c r="A230" s="3"/>
      <c r="B230" s="1"/>
      <c r="C230" s="2"/>
    </row>
    <row r="231" spans="1:3">
      <c r="A231" s="3"/>
      <c r="B231" s="1"/>
      <c r="C231" s="2"/>
    </row>
    <row r="232" spans="1:3">
      <c r="A232" s="3"/>
      <c r="B232" s="1"/>
      <c r="C232" s="2"/>
    </row>
    <row r="233" spans="1:3">
      <c r="B233" s="1"/>
      <c r="C233" s="2"/>
    </row>
    <row r="234" spans="1:3">
      <c r="A234" s="3"/>
      <c r="B234" s="1"/>
      <c r="C234" s="2"/>
    </row>
    <row r="235" spans="1:3">
      <c r="B235" s="1"/>
      <c r="C235" s="2"/>
    </row>
    <row r="236" spans="1:3">
      <c r="B236" s="1"/>
      <c r="C236" s="2"/>
    </row>
    <row r="237" spans="1:3">
      <c r="B237" s="1"/>
      <c r="C237" s="2"/>
    </row>
    <row r="238" spans="1:3">
      <c r="B238" s="1"/>
      <c r="C238" s="2"/>
    </row>
    <row r="239" spans="1:3">
      <c r="B239" s="1"/>
      <c r="C239" s="2"/>
    </row>
    <row r="240" spans="1:3">
      <c r="B240" s="1"/>
      <c r="C240" s="2"/>
    </row>
    <row r="241" spans="2:3">
      <c r="B241" s="1"/>
      <c r="C241" s="2"/>
    </row>
    <row r="242" spans="2:3">
      <c r="B242" s="1"/>
      <c r="C242" s="2"/>
    </row>
    <row r="243" spans="2:3">
      <c r="B243" s="1"/>
      <c r="C243" s="2"/>
    </row>
    <row r="244" spans="2:3">
      <c r="B244" s="1"/>
      <c r="C244" s="2"/>
    </row>
    <row r="245" spans="2:3">
      <c r="B245" s="1"/>
      <c r="C245" s="2"/>
    </row>
    <row r="246" spans="2:3">
      <c r="B246" s="1"/>
      <c r="C246" s="2"/>
    </row>
    <row r="247" spans="2:3">
      <c r="B247" s="1"/>
      <c r="C247" s="2"/>
    </row>
    <row r="248" spans="2:3">
      <c r="B248" s="1"/>
      <c r="C248" s="2"/>
    </row>
    <row r="249" spans="2:3">
      <c r="B249" s="1"/>
      <c r="C249" s="2"/>
    </row>
    <row r="250" spans="2:3">
      <c r="B250" s="1"/>
      <c r="C250" s="2"/>
    </row>
    <row r="251" spans="2:3">
      <c r="B251" s="1"/>
      <c r="C251" s="2"/>
    </row>
    <row r="252" spans="2:3">
      <c r="B252" s="1"/>
      <c r="C252" s="2"/>
    </row>
    <row r="253" spans="2:3">
      <c r="B253" s="1"/>
      <c r="C253" s="2"/>
    </row>
    <row r="254" spans="2:3">
      <c r="B254" s="1"/>
      <c r="C254" s="2"/>
    </row>
    <row r="255" spans="2:3">
      <c r="B255" s="1"/>
      <c r="C255" s="2"/>
    </row>
    <row r="256" spans="2:3">
      <c r="B256" s="1"/>
      <c r="C256" s="2"/>
    </row>
    <row r="257" spans="2:3">
      <c r="B257" s="1"/>
      <c r="C257" s="2"/>
    </row>
    <row r="258" spans="2:3">
      <c r="B258" s="1"/>
      <c r="C258" s="2"/>
    </row>
    <row r="259" spans="2:3">
      <c r="B259" s="1"/>
      <c r="C259" s="2"/>
    </row>
    <row r="260" spans="2:3">
      <c r="B260" s="1"/>
      <c r="C260" s="2"/>
    </row>
    <row r="261" spans="2:3">
      <c r="B261" s="1"/>
      <c r="C261" s="2"/>
    </row>
    <row r="262" spans="2:3">
      <c r="B262" s="1"/>
      <c r="C262" s="2"/>
    </row>
    <row r="263" spans="2:3">
      <c r="B263" s="1"/>
      <c r="C263" s="2"/>
    </row>
    <row r="264" spans="2:3">
      <c r="B264" s="1"/>
      <c r="C264" s="2"/>
    </row>
    <row r="265" spans="2:3">
      <c r="B265" s="1"/>
      <c r="C265" s="2"/>
    </row>
    <row r="266" spans="2:3">
      <c r="B266" s="1"/>
      <c r="C266" s="2"/>
    </row>
    <row r="267" spans="2:3">
      <c r="B267" s="1"/>
      <c r="C267" s="2"/>
    </row>
    <row r="268" spans="2:3">
      <c r="B268" s="1"/>
      <c r="C268" s="2"/>
    </row>
    <row r="269" spans="2:3">
      <c r="B269" s="1"/>
      <c r="C269" s="2"/>
    </row>
    <row r="270" spans="2:3">
      <c r="B270" s="1"/>
      <c r="C270" s="2"/>
    </row>
    <row r="271" spans="2:3">
      <c r="B271" s="1"/>
      <c r="C271" s="2"/>
    </row>
    <row r="272" spans="2:3">
      <c r="B272" s="1"/>
      <c r="C272" s="2"/>
    </row>
    <row r="273" spans="2:3">
      <c r="B273" s="1"/>
      <c r="C273" s="2"/>
    </row>
    <row r="274" spans="2:3">
      <c r="B274" s="1"/>
      <c r="C274" s="2"/>
    </row>
    <row r="275" spans="2:3">
      <c r="B275" s="1"/>
      <c r="C275" s="2"/>
    </row>
    <row r="276" spans="2:3">
      <c r="B276" s="1"/>
      <c r="C276" s="2"/>
    </row>
    <row r="277" spans="2:3">
      <c r="B277" s="1"/>
      <c r="C277" s="2"/>
    </row>
    <row r="278" spans="2:3">
      <c r="B278" s="1"/>
      <c r="C278" s="2"/>
    </row>
    <row r="279" spans="2:3">
      <c r="B279" s="1"/>
      <c r="C279" s="2"/>
    </row>
    <row r="280" spans="2:3">
      <c r="B280" s="1"/>
      <c r="C280" s="2"/>
    </row>
    <row r="281" spans="2:3">
      <c r="B281" s="1"/>
      <c r="C281" s="2"/>
    </row>
    <row r="282" spans="2:3">
      <c r="B282" s="1"/>
      <c r="C282" s="2"/>
    </row>
    <row r="283" spans="2:3">
      <c r="B283" s="1"/>
      <c r="C283" s="2"/>
    </row>
    <row r="284" spans="2:3">
      <c r="B284" s="1"/>
      <c r="C284" s="2"/>
    </row>
    <row r="285" spans="2:3">
      <c r="B285" s="1"/>
      <c r="C285" s="2"/>
    </row>
    <row r="286" spans="2:3">
      <c r="B286" s="1"/>
      <c r="C286" s="2"/>
    </row>
    <row r="287" spans="2:3">
      <c r="B287" s="1"/>
      <c r="C287" s="2"/>
    </row>
    <row r="288" spans="2:3">
      <c r="B288" s="1"/>
      <c r="C288" s="2"/>
    </row>
    <row r="289" spans="2:3">
      <c r="B289" s="1"/>
      <c r="C289" s="2"/>
    </row>
    <row r="290" spans="2:3">
      <c r="B290" s="1"/>
      <c r="C290" s="2"/>
    </row>
    <row r="291" spans="2:3">
      <c r="B291" s="1"/>
      <c r="C291" s="2"/>
    </row>
    <row r="292" spans="2:3">
      <c r="B292" s="1"/>
      <c r="C292" s="2"/>
    </row>
    <row r="293" spans="2:3">
      <c r="B293" s="1"/>
      <c r="C293" s="2"/>
    </row>
    <row r="294" spans="2:3">
      <c r="B294" s="1"/>
      <c r="C294" s="2"/>
    </row>
    <row r="295" spans="2:3">
      <c r="B295" s="1"/>
      <c r="C295" s="2"/>
    </row>
    <row r="296" spans="2:3">
      <c r="B296" s="1"/>
      <c r="C296" s="2"/>
    </row>
    <row r="297" spans="2:3">
      <c r="B297" s="1"/>
      <c r="C297" s="2"/>
    </row>
    <row r="298" spans="2:3">
      <c r="B298" s="1"/>
      <c r="C298" s="2"/>
    </row>
    <row r="299" spans="2:3">
      <c r="B299" s="1"/>
      <c r="C299" s="2"/>
    </row>
    <row r="300" spans="2:3">
      <c r="B300" s="1"/>
      <c r="C300" s="2"/>
    </row>
    <row r="301" spans="2:3">
      <c r="B301" s="1"/>
      <c r="C301" s="2"/>
    </row>
    <row r="302" spans="2:3">
      <c r="B302" s="1"/>
      <c r="C302" s="2"/>
    </row>
    <row r="303" spans="2:3">
      <c r="B303" s="1"/>
      <c r="C303" s="2"/>
    </row>
    <row r="304" spans="2:3">
      <c r="B304" s="1"/>
      <c r="C304" s="2"/>
    </row>
    <row r="305" spans="2:3">
      <c r="B305" s="1"/>
      <c r="C305" s="2"/>
    </row>
    <row r="306" spans="2:3">
      <c r="B306" s="1"/>
      <c r="C306" s="2"/>
    </row>
    <row r="307" spans="2:3">
      <c r="B307" s="1"/>
      <c r="C307" s="2"/>
    </row>
    <row r="308" spans="2:3">
      <c r="B308" s="1"/>
      <c r="C308" s="2"/>
    </row>
    <row r="309" spans="2:3">
      <c r="B309" s="1"/>
      <c r="C309" s="2"/>
    </row>
    <row r="310" spans="2:3">
      <c r="B310" s="1"/>
      <c r="C310" s="2"/>
    </row>
    <row r="311" spans="2:3">
      <c r="B311" s="1"/>
      <c r="C311" s="2"/>
    </row>
    <row r="312" spans="2:3">
      <c r="B312" s="1"/>
      <c r="C312" s="2"/>
    </row>
    <row r="313" spans="2:3">
      <c r="B313" s="1"/>
      <c r="C313" s="2"/>
    </row>
    <row r="314" spans="2:3">
      <c r="B314" s="1"/>
      <c r="C314" s="2"/>
    </row>
    <row r="315" spans="2:3">
      <c r="B315" s="1"/>
      <c r="C315" s="2"/>
    </row>
    <row r="316" spans="2:3">
      <c r="B316" s="1"/>
      <c r="C316" s="2"/>
    </row>
    <row r="317" spans="2:3">
      <c r="B317" s="1"/>
      <c r="C317" s="2"/>
    </row>
    <row r="318" spans="2:3">
      <c r="B318" s="1"/>
      <c r="C318" s="2"/>
    </row>
    <row r="319" spans="2:3">
      <c r="B319" s="1"/>
      <c r="C319" s="2"/>
    </row>
    <row r="320" spans="2:3">
      <c r="B320" s="1"/>
      <c r="C320" s="2"/>
    </row>
    <row r="321" spans="2:3">
      <c r="B321" s="1"/>
      <c r="C321" s="2"/>
    </row>
    <row r="322" spans="2:3">
      <c r="B322" s="1"/>
      <c r="C322" s="2"/>
    </row>
    <row r="323" spans="2:3">
      <c r="B323" s="1"/>
      <c r="C323" s="2"/>
    </row>
    <row r="324" spans="2:3">
      <c r="B324" s="1"/>
      <c r="C324" s="2"/>
    </row>
    <row r="325" spans="2:3">
      <c r="B325" s="1"/>
      <c r="C325" s="2"/>
    </row>
    <row r="326" spans="2:3">
      <c r="B326" s="1"/>
      <c r="C326" s="2"/>
    </row>
    <row r="327" spans="2:3">
      <c r="B327" s="1"/>
      <c r="C327" s="2"/>
    </row>
    <row r="328" spans="2:3">
      <c r="B328" s="1"/>
      <c r="C328" s="2"/>
    </row>
    <row r="329" spans="2:3">
      <c r="B329" s="1"/>
      <c r="C329" s="2"/>
    </row>
    <row r="330" spans="2:3">
      <c r="B330" s="1"/>
      <c r="C330" s="2"/>
    </row>
    <row r="331" spans="2:3">
      <c r="B331" s="1"/>
      <c r="C331" s="2"/>
    </row>
    <row r="332" spans="2:3">
      <c r="B332" s="1"/>
      <c r="C332" s="2"/>
    </row>
    <row r="333" spans="2:3">
      <c r="B333" s="1"/>
      <c r="C333" s="2"/>
    </row>
    <row r="334" spans="2:3">
      <c r="B334" s="1"/>
      <c r="C334" s="2"/>
    </row>
    <row r="335" spans="2:3">
      <c r="B335" s="1"/>
      <c r="C335" s="2"/>
    </row>
    <row r="336" spans="2:3">
      <c r="B336" s="1"/>
      <c r="C336" s="2"/>
    </row>
    <row r="337" spans="2:3">
      <c r="B337" s="1"/>
      <c r="C337" s="2"/>
    </row>
    <row r="338" spans="2:3">
      <c r="B338" s="1"/>
      <c r="C338" s="2"/>
    </row>
    <row r="339" spans="2:3">
      <c r="B339" s="1"/>
      <c r="C339" s="2"/>
    </row>
    <row r="340" spans="2:3">
      <c r="B340" s="1"/>
      <c r="C340" s="2"/>
    </row>
    <row r="341" spans="2:3">
      <c r="B341" s="1"/>
      <c r="C341" s="2"/>
    </row>
    <row r="342" spans="2:3">
      <c r="B342" s="1"/>
      <c r="C342" s="2"/>
    </row>
    <row r="343" spans="2:3">
      <c r="B343" s="1"/>
      <c r="C343" s="2"/>
    </row>
    <row r="344" spans="2:3">
      <c r="B344" s="1"/>
      <c r="C344" s="2"/>
    </row>
    <row r="345" spans="2:3">
      <c r="B345" s="1"/>
      <c r="C345" s="2"/>
    </row>
    <row r="346" spans="2:3">
      <c r="B346" s="1"/>
      <c r="C346" s="2"/>
    </row>
    <row r="347" spans="2:3">
      <c r="B347" s="1"/>
      <c r="C347" s="2"/>
    </row>
    <row r="348" spans="2:3">
      <c r="B348" s="1"/>
      <c r="C348" s="2"/>
    </row>
    <row r="349" spans="2:3">
      <c r="B349" s="1"/>
      <c r="C349" s="2"/>
    </row>
    <row r="350" spans="2:3">
      <c r="B350" s="1"/>
      <c r="C350" s="2"/>
    </row>
    <row r="351" spans="2:3">
      <c r="B351" s="1"/>
      <c r="C351" s="2"/>
    </row>
    <row r="352" spans="2:3">
      <c r="B352" s="1"/>
      <c r="C352" s="2"/>
    </row>
    <row r="353" spans="2:3">
      <c r="B353" s="1"/>
      <c r="C353" s="2"/>
    </row>
    <row r="354" spans="2:3">
      <c r="B354" s="1"/>
      <c r="C354" s="2"/>
    </row>
    <row r="355" spans="2:3">
      <c r="B355" s="1"/>
      <c r="C355" s="2"/>
    </row>
    <row r="356" spans="2:3">
      <c r="B356" s="1"/>
      <c r="C356" s="2"/>
    </row>
    <row r="357" spans="2:3">
      <c r="B357" s="1"/>
      <c r="C357" s="2"/>
    </row>
    <row r="358" spans="2:3">
      <c r="B358" s="1"/>
      <c r="C358" s="2"/>
    </row>
    <row r="359" spans="2:3">
      <c r="B359" s="1"/>
      <c r="C359" s="2"/>
    </row>
    <row r="360" spans="2:3">
      <c r="B360" s="1"/>
      <c r="C360" s="2"/>
    </row>
    <row r="361" spans="2:3">
      <c r="B361" s="1"/>
      <c r="C361" s="2"/>
    </row>
    <row r="362" spans="2:3">
      <c r="B362" s="1"/>
      <c r="C362" s="2"/>
    </row>
    <row r="363" spans="2:3">
      <c r="B363" s="1"/>
      <c r="C363" s="2"/>
    </row>
    <row r="364" spans="2:3">
      <c r="B364" s="1"/>
      <c r="C364" s="2"/>
    </row>
    <row r="365" spans="2:3">
      <c r="B365" s="1"/>
      <c r="C365" s="2"/>
    </row>
    <row r="366" spans="2:3">
      <c r="B366" s="1"/>
      <c r="C366" s="2"/>
    </row>
    <row r="367" spans="2:3">
      <c r="B367" s="1"/>
      <c r="C367" s="2"/>
    </row>
    <row r="368" spans="2:3">
      <c r="B368" s="1"/>
      <c r="C368" s="2"/>
    </row>
    <row r="369" spans="2:3">
      <c r="B369" s="1"/>
      <c r="C369" s="2"/>
    </row>
    <row r="370" spans="2:3">
      <c r="B370" s="1"/>
      <c r="C370" s="2"/>
    </row>
    <row r="371" spans="2:3">
      <c r="B371" s="1"/>
      <c r="C371" s="2"/>
    </row>
    <row r="372" spans="2:3">
      <c r="B372" s="1"/>
      <c r="C372" s="2"/>
    </row>
    <row r="373" spans="2:3">
      <c r="B373" s="1"/>
      <c r="C373" s="2"/>
    </row>
    <row r="374" spans="2:3">
      <c r="B374" s="1"/>
      <c r="C374" s="2"/>
    </row>
    <row r="375" spans="2:3">
      <c r="B375" s="1"/>
      <c r="C375" s="2"/>
    </row>
    <row r="376" spans="2:3">
      <c r="B376" s="1"/>
      <c r="C376" s="2"/>
    </row>
    <row r="377" spans="2:3">
      <c r="B377" s="1"/>
      <c r="C377" s="2"/>
    </row>
    <row r="378" spans="2:3">
      <c r="B378" s="1"/>
      <c r="C378" s="2"/>
    </row>
    <row r="379" spans="2:3">
      <c r="B379" s="1"/>
      <c r="C379" s="2"/>
    </row>
    <row r="380" spans="2:3">
      <c r="B380" s="1"/>
      <c r="C380" s="2"/>
    </row>
    <row r="381" spans="2:3">
      <c r="B381" s="1"/>
      <c r="C381" s="2"/>
    </row>
    <row r="382" spans="2:3">
      <c r="B382" s="1"/>
      <c r="C382" s="2"/>
    </row>
    <row r="383" spans="2:3">
      <c r="B383" s="1"/>
      <c r="C383" s="2"/>
    </row>
    <row r="384" spans="2:3">
      <c r="B384" s="1"/>
      <c r="C384" s="2"/>
    </row>
    <row r="385" spans="2:3">
      <c r="B385" s="1"/>
      <c r="C385" s="2"/>
    </row>
    <row r="386" spans="2:3">
      <c r="B386" s="1"/>
      <c r="C386" s="2"/>
    </row>
    <row r="387" spans="2:3">
      <c r="B387" s="1"/>
      <c r="C387" s="2"/>
    </row>
    <row r="388" spans="2:3">
      <c r="B388" s="1"/>
      <c r="C388" s="2"/>
    </row>
    <row r="389" spans="2:3">
      <c r="B389" s="1"/>
      <c r="C389" s="2"/>
    </row>
    <row r="390" spans="2:3">
      <c r="B390" s="1"/>
      <c r="C390" s="2"/>
    </row>
    <row r="391" spans="2:3">
      <c r="B391" s="1"/>
      <c r="C391" s="2"/>
    </row>
    <row r="392" spans="2:3">
      <c r="B392" s="1"/>
      <c r="C392" s="2"/>
    </row>
    <row r="393" spans="2:3">
      <c r="B393" s="1"/>
      <c r="C393" s="2"/>
    </row>
    <row r="394" spans="2:3">
      <c r="B394" s="1"/>
      <c r="C394" s="2"/>
    </row>
    <row r="395" spans="2:3">
      <c r="B395" s="1"/>
      <c r="C395" s="2"/>
    </row>
    <row r="396" spans="2:3">
      <c r="B396" s="1"/>
      <c r="C396" s="2"/>
    </row>
    <row r="397" spans="2:3">
      <c r="B397" s="1"/>
      <c r="C397" s="2"/>
    </row>
    <row r="398" spans="2:3">
      <c r="B398" s="1"/>
      <c r="C398" s="2"/>
    </row>
    <row r="399" spans="2:3">
      <c r="B399" s="1"/>
      <c r="C399" s="2"/>
    </row>
    <row r="400" spans="2:3">
      <c r="B400" s="1"/>
      <c r="C400" s="2"/>
    </row>
    <row r="401" spans="2:3">
      <c r="B401" s="1"/>
      <c r="C401" s="2"/>
    </row>
    <row r="402" spans="2:3">
      <c r="B402" s="1"/>
      <c r="C402" s="2"/>
    </row>
    <row r="403" spans="2:3">
      <c r="B403" s="1"/>
      <c r="C403" s="2"/>
    </row>
    <row r="404" spans="2:3">
      <c r="B404" s="1"/>
      <c r="C404" s="2"/>
    </row>
    <row r="405" spans="2:3">
      <c r="B405" s="1"/>
      <c r="C405" s="2"/>
    </row>
    <row r="406" spans="2:3">
      <c r="B406" s="1"/>
      <c r="C406" s="2"/>
    </row>
    <row r="407" spans="2:3">
      <c r="B407" s="1"/>
      <c r="C407" s="2"/>
    </row>
    <row r="408" spans="2:3">
      <c r="B408" s="1"/>
      <c r="C408" s="2"/>
    </row>
    <row r="409" spans="2:3">
      <c r="B409" s="1"/>
      <c r="C409" s="2"/>
    </row>
    <row r="410" spans="2:3">
      <c r="B410" s="1"/>
      <c r="C410" s="2"/>
    </row>
    <row r="411" spans="2:3">
      <c r="B411" s="1"/>
      <c r="C411" s="2"/>
    </row>
    <row r="412" spans="2:3">
      <c r="B412" s="1"/>
      <c r="C412" s="2"/>
    </row>
    <row r="413" spans="2:3">
      <c r="B413" s="1"/>
      <c r="C413" s="2"/>
    </row>
    <row r="414" spans="2:3">
      <c r="B414" s="1"/>
      <c r="C414" s="2"/>
    </row>
    <row r="415" spans="2:3">
      <c r="B415" s="1"/>
      <c r="C415" s="2"/>
    </row>
    <row r="416" spans="2:3">
      <c r="B416" s="1"/>
      <c r="C416" s="2"/>
    </row>
    <row r="417" spans="2:3">
      <c r="B417" s="1"/>
      <c r="C417" s="2"/>
    </row>
    <row r="418" spans="2:3">
      <c r="B418" s="1"/>
      <c r="C418" s="2"/>
    </row>
    <row r="419" spans="2:3">
      <c r="B419" s="1"/>
      <c r="C419" s="2"/>
    </row>
    <row r="420" spans="2:3">
      <c r="B420" s="1"/>
      <c r="C420" s="2"/>
    </row>
    <row r="421" spans="2:3">
      <c r="B421" s="1"/>
      <c r="C421" s="2"/>
    </row>
    <row r="422" spans="2:3">
      <c r="B422" s="1"/>
      <c r="C422" s="2"/>
    </row>
    <row r="423" spans="2:3">
      <c r="B423" s="1"/>
      <c r="C423" s="2"/>
    </row>
    <row r="424" spans="2:3">
      <c r="B424" s="1"/>
      <c r="C424" s="2"/>
    </row>
    <row r="425" spans="2:3">
      <c r="B425" s="1"/>
      <c r="C425" s="2"/>
    </row>
    <row r="426" spans="2:3">
      <c r="B426" s="1"/>
      <c r="C426" s="2"/>
    </row>
    <row r="427" spans="2:3">
      <c r="B427" s="1"/>
      <c r="C427" s="2"/>
    </row>
    <row r="428" spans="2:3">
      <c r="B428" s="1"/>
      <c r="C428" s="2"/>
    </row>
    <row r="429" spans="2:3">
      <c r="B429" s="1"/>
      <c r="C429" s="2"/>
    </row>
    <row r="430" spans="2:3">
      <c r="B430" s="1"/>
      <c r="C430" s="2"/>
    </row>
    <row r="431" spans="2:3">
      <c r="B431" s="1"/>
      <c r="C431" s="2"/>
    </row>
    <row r="432" spans="2:3">
      <c r="B432" s="1"/>
      <c r="C432" s="2"/>
    </row>
    <row r="433" spans="2:3">
      <c r="B433" s="1"/>
      <c r="C433" s="2"/>
    </row>
    <row r="434" spans="2:3">
      <c r="B434" s="1"/>
      <c r="C434" s="2"/>
    </row>
    <row r="435" spans="2:3">
      <c r="B435" s="1"/>
      <c r="C435" s="2"/>
    </row>
    <row r="436" spans="2:3">
      <c r="B436" s="1"/>
      <c r="C436" s="2"/>
    </row>
    <row r="437" spans="2:3">
      <c r="B437" s="1"/>
      <c r="C437" s="2"/>
    </row>
    <row r="438" spans="2:3">
      <c r="B438" s="1"/>
      <c r="C438" s="2"/>
    </row>
    <row r="439" spans="2:3">
      <c r="B439" s="1"/>
      <c r="C439" s="2"/>
    </row>
    <row r="440" spans="2:3">
      <c r="B440" s="1"/>
      <c r="C440" s="2"/>
    </row>
    <row r="441" spans="2:3">
      <c r="B441" s="1"/>
      <c r="C441" s="2"/>
    </row>
    <row r="442" spans="2:3">
      <c r="B442" s="1"/>
      <c r="C442" s="2"/>
    </row>
    <row r="443" spans="2:3">
      <c r="B443" s="1"/>
      <c r="C443" s="2"/>
    </row>
    <row r="444" spans="2:3">
      <c r="B444" s="1"/>
      <c r="C444" s="2"/>
    </row>
    <row r="445" spans="2:3">
      <c r="B445" s="1"/>
      <c r="C445" s="2"/>
    </row>
    <row r="446" spans="2:3">
      <c r="B446" s="1"/>
      <c r="C446" s="2"/>
    </row>
    <row r="447" spans="2:3">
      <c r="B447" s="1"/>
      <c r="C447" s="2"/>
    </row>
    <row r="448" spans="2:3">
      <c r="B448" s="1"/>
      <c r="C448" s="2"/>
    </row>
    <row r="449" spans="2:3">
      <c r="B449" s="1"/>
      <c r="C449" s="2"/>
    </row>
    <row r="450" spans="2:3">
      <c r="B450" s="1"/>
      <c r="C450" s="2"/>
    </row>
    <row r="451" spans="2:3">
      <c r="B451" s="1"/>
      <c r="C451" s="2"/>
    </row>
    <row r="452" spans="2:3">
      <c r="B452" s="1"/>
      <c r="C452" s="2"/>
    </row>
    <row r="453" spans="2:3">
      <c r="B453" s="1"/>
      <c r="C453" s="2"/>
    </row>
    <row r="454" spans="2:3">
      <c r="B454" s="1"/>
      <c r="C454" s="2"/>
    </row>
    <row r="455" spans="2:3">
      <c r="B455" s="1"/>
      <c r="C455" s="2"/>
    </row>
    <row r="456" spans="2:3">
      <c r="B456" s="1"/>
      <c r="C456" s="2"/>
    </row>
    <row r="457" spans="2:3">
      <c r="B457" s="1"/>
      <c r="C457" s="2"/>
    </row>
    <row r="458" spans="2:3">
      <c r="B458" s="1"/>
      <c r="C458" s="2"/>
    </row>
    <row r="459" spans="2:3">
      <c r="B459" s="1"/>
      <c r="C459" s="2"/>
    </row>
    <row r="460" spans="2:3">
      <c r="B460" s="1"/>
      <c r="C460" s="2"/>
    </row>
    <row r="461" spans="2:3">
      <c r="B461" s="1"/>
      <c r="C461" s="2"/>
    </row>
    <row r="462" spans="2:3">
      <c r="B462" s="1"/>
      <c r="C462" s="2"/>
    </row>
    <row r="463" spans="2:3">
      <c r="B463" s="1"/>
      <c r="C463" s="2"/>
    </row>
    <row r="464" spans="2:3">
      <c r="B464" s="1"/>
      <c r="C464" s="2"/>
    </row>
    <row r="465" spans="2:3">
      <c r="B465" s="1"/>
      <c r="C465" s="2"/>
    </row>
    <row r="466" spans="2:3">
      <c r="B466" s="1"/>
      <c r="C466" s="2"/>
    </row>
    <row r="467" spans="2:3">
      <c r="B467" s="1"/>
      <c r="C467" s="2"/>
    </row>
    <row r="468" spans="2:3">
      <c r="B468" s="1"/>
      <c r="C468" s="2"/>
    </row>
    <row r="469" spans="2:3">
      <c r="B469" s="1"/>
      <c r="C469" s="2"/>
    </row>
    <row r="470" spans="2:3">
      <c r="B470" s="1"/>
      <c r="C470" s="2"/>
    </row>
    <row r="471" spans="2:3">
      <c r="B471" s="1"/>
      <c r="C471" s="2"/>
    </row>
    <row r="472" spans="2:3">
      <c r="B472" s="1"/>
      <c r="C472" s="2"/>
    </row>
    <row r="473" spans="2:3">
      <c r="B473" s="1"/>
      <c r="C473" s="2"/>
    </row>
    <row r="474" spans="2:3">
      <c r="B474" s="1"/>
      <c r="C474" s="2"/>
    </row>
    <row r="475" spans="2:3">
      <c r="B475" s="1"/>
      <c r="C475" s="2"/>
    </row>
    <row r="476" spans="2:3">
      <c r="B476" s="1"/>
      <c r="C476" s="2"/>
    </row>
    <row r="477" spans="2:3">
      <c r="B477" s="1"/>
      <c r="C477" s="2"/>
    </row>
    <row r="478" spans="2:3">
      <c r="B478" s="1"/>
      <c r="C478" s="2"/>
    </row>
    <row r="479" spans="2:3">
      <c r="B479" s="1"/>
      <c r="C479" s="2"/>
    </row>
    <row r="480" spans="2:3">
      <c r="B480" s="1"/>
      <c r="C480" s="2"/>
    </row>
    <row r="481" spans="2:3">
      <c r="B481" s="1"/>
      <c r="C481" s="2"/>
    </row>
    <row r="482" spans="2:3">
      <c r="B482" s="1"/>
      <c r="C482" s="2"/>
    </row>
    <row r="483" spans="2:3">
      <c r="B483" s="1"/>
      <c r="C483" s="2"/>
    </row>
    <row r="484" spans="2:3">
      <c r="B484" s="1"/>
      <c r="C484" s="2"/>
    </row>
    <row r="485" spans="2:3">
      <c r="B485" s="1"/>
      <c r="C485" s="2"/>
    </row>
    <row r="486" spans="2:3">
      <c r="B486" s="1"/>
      <c r="C486" s="2"/>
    </row>
    <row r="487" spans="2:3">
      <c r="B487" s="1"/>
      <c r="C487" s="2"/>
    </row>
    <row r="488" spans="2:3">
      <c r="B488" s="1"/>
      <c r="C488" s="2"/>
    </row>
    <row r="489" spans="2:3">
      <c r="B489" s="1"/>
      <c r="C489" s="2"/>
    </row>
    <row r="490" spans="2:3">
      <c r="B490" s="1"/>
      <c r="C490" s="2"/>
    </row>
    <row r="491" spans="2:3">
      <c r="B491" s="1"/>
      <c r="C491" s="2"/>
    </row>
    <row r="492" spans="2:3">
      <c r="B492" s="1"/>
      <c r="C492" s="2"/>
    </row>
    <row r="493" spans="2:3">
      <c r="B493" s="1"/>
      <c r="C493" s="2"/>
    </row>
    <row r="494" spans="2:3">
      <c r="B494" s="1"/>
      <c r="C494" s="2"/>
    </row>
    <row r="495" spans="2:3">
      <c r="B495" s="1"/>
      <c r="C495" s="2"/>
    </row>
    <row r="496" spans="2:3">
      <c r="B496" s="1"/>
      <c r="C496" s="2"/>
    </row>
    <row r="497" spans="2:3">
      <c r="B497" s="1"/>
      <c r="C497" s="2"/>
    </row>
    <row r="498" spans="2:3">
      <c r="B498" s="1"/>
      <c r="C498" s="2"/>
    </row>
    <row r="499" spans="2:3">
      <c r="B499" s="1"/>
      <c r="C499" s="2"/>
    </row>
    <row r="500" spans="2:3">
      <c r="B500" s="1"/>
      <c r="C500" s="2"/>
    </row>
    <row r="501" spans="2:3">
      <c r="B501" s="1"/>
      <c r="C501" s="2"/>
    </row>
    <row r="502" spans="2:3">
      <c r="B502" s="1"/>
      <c r="C502" s="2"/>
    </row>
    <row r="503" spans="2:3">
      <c r="B503" s="1"/>
      <c r="C503" s="2"/>
    </row>
    <row r="504" spans="2:3">
      <c r="B504" s="1"/>
      <c r="C504" s="2"/>
    </row>
    <row r="505" spans="2:3">
      <c r="B505" s="1"/>
      <c r="C505" s="2"/>
    </row>
    <row r="506" spans="2:3">
      <c r="B506" s="1"/>
      <c r="C506" s="2"/>
    </row>
    <row r="507" spans="2:3">
      <c r="B507" s="1"/>
      <c r="C507" s="2"/>
    </row>
    <row r="508" spans="2:3">
      <c r="B508" s="1"/>
      <c r="C508" s="2"/>
    </row>
    <row r="509" spans="2:3">
      <c r="B509" s="1"/>
      <c r="C509" s="2"/>
    </row>
    <row r="510" spans="2:3">
      <c r="B510" s="1"/>
      <c r="C510" s="2"/>
    </row>
    <row r="511" spans="2:3">
      <c r="B511" s="1"/>
      <c r="C511" s="2"/>
    </row>
    <row r="512" spans="2:3">
      <c r="B512" s="1"/>
      <c r="C512" s="2"/>
    </row>
    <row r="513" spans="2:3">
      <c r="B513" s="1"/>
      <c r="C513" s="2"/>
    </row>
    <row r="514" spans="2:3">
      <c r="B514" s="1"/>
      <c r="C514" s="2"/>
    </row>
    <row r="515" spans="2:3">
      <c r="B515" s="1"/>
      <c r="C515" s="2"/>
    </row>
    <row r="516" spans="2:3">
      <c r="B516" s="1"/>
      <c r="C516" s="2"/>
    </row>
    <row r="517" spans="2:3">
      <c r="B517" s="1"/>
      <c r="C517" s="2"/>
    </row>
    <row r="518" spans="2:3">
      <c r="B518" s="1"/>
      <c r="C518" s="2"/>
    </row>
    <row r="519" spans="2:3">
      <c r="B519" s="1"/>
      <c r="C519" s="2"/>
    </row>
    <row r="520" spans="2:3">
      <c r="B520" s="1"/>
      <c r="C520" s="2"/>
    </row>
    <row r="521" spans="2:3">
      <c r="B521" s="1"/>
      <c r="C521" s="2"/>
    </row>
    <row r="522" spans="2:3">
      <c r="B522" s="1"/>
      <c r="C522" s="2"/>
    </row>
    <row r="523" spans="2:3">
      <c r="B523" s="1"/>
      <c r="C523" s="2"/>
    </row>
    <row r="524" spans="2:3">
      <c r="B524" s="1"/>
      <c r="C524" s="2"/>
    </row>
    <row r="525" spans="2:3">
      <c r="B525" s="1"/>
      <c r="C525" s="2"/>
    </row>
    <row r="526" spans="2:3">
      <c r="B526" s="1"/>
      <c r="C526" s="2"/>
    </row>
    <row r="527" spans="2:3">
      <c r="B527" s="1"/>
      <c r="C527" s="2"/>
    </row>
    <row r="528" spans="2:3">
      <c r="B528" s="1"/>
      <c r="C528" s="2"/>
    </row>
    <row r="529" spans="2:3">
      <c r="B529" s="1"/>
      <c r="C529" s="2"/>
    </row>
    <row r="530" spans="2:3">
      <c r="B530" s="1"/>
      <c r="C530" s="2"/>
    </row>
    <row r="531" spans="2:3">
      <c r="B531" s="1"/>
      <c r="C531" s="2"/>
    </row>
    <row r="532" spans="2:3">
      <c r="B532" s="1"/>
      <c r="C532" s="2"/>
    </row>
    <row r="533" spans="2:3">
      <c r="B533" s="1"/>
      <c r="C533" s="2"/>
    </row>
    <row r="534" spans="2:3">
      <c r="B534" s="1"/>
      <c r="C534" s="2"/>
    </row>
    <row r="535" spans="2:3">
      <c r="B535" s="1"/>
      <c r="C535" s="2"/>
    </row>
    <row r="536" spans="2:3">
      <c r="B536" s="1"/>
      <c r="C536" s="2"/>
    </row>
    <row r="537" spans="2:3">
      <c r="B537" s="1"/>
      <c r="C537" s="2"/>
    </row>
    <row r="538" spans="2:3">
      <c r="B538" s="1"/>
      <c r="C538" s="2"/>
    </row>
    <row r="539" spans="2:3">
      <c r="B539" s="1"/>
      <c r="C539" s="2"/>
    </row>
    <row r="540" spans="2:3">
      <c r="B540" s="1"/>
      <c r="C540" s="2"/>
    </row>
    <row r="541" spans="2:3">
      <c r="B541" s="1"/>
      <c r="C541" s="2"/>
    </row>
    <row r="542" spans="2:3">
      <c r="B542" s="1"/>
      <c r="C542" s="2"/>
    </row>
    <row r="543" spans="2:3">
      <c r="B543" s="1"/>
      <c r="C543" s="2"/>
    </row>
    <row r="544" spans="2:3">
      <c r="B544" s="1"/>
      <c r="C544" s="2"/>
    </row>
    <row r="545" spans="2:3">
      <c r="B545" s="1"/>
      <c r="C545" s="2"/>
    </row>
    <row r="546" spans="2:3">
      <c r="B546" s="1"/>
      <c r="C546" s="2"/>
    </row>
    <row r="547" spans="2:3">
      <c r="B547" s="1"/>
      <c r="C547" s="2"/>
    </row>
    <row r="548" spans="2:3">
      <c r="B548" s="1"/>
      <c r="C548" s="2"/>
    </row>
    <row r="549" spans="2:3">
      <c r="B549" s="1"/>
      <c r="C549" s="2"/>
    </row>
    <row r="550" spans="2:3">
      <c r="B550" s="1"/>
      <c r="C550" s="2"/>
    </row>
    <row r="551" spans="2:3">
      <c r="B551" s="1"/>
      <c r="C551" s="2"/>
    </row>
    <row r="552" spans="2:3">
      <c r="B552" s="1"/>
      <c r="C552" s="2"/>
    </row>
    <row r="553" spans="2:3">
      <c r="B553" s="1"/>
      <c r="C553" s="2"/>
    </row>
    <row r="554" spans="2:3">
      <c r="B554" s="1"/>
      <c r="C554" s="2"/>
    </row>
    <row r="555" spans="2:3">
      <c r="B555" s="1"/>
      <c r="C555" s="2"/>
    </row>
    <row r="556" spans="2:3">
      <c r="B556" s="1"/>
      <c r="C556" s="2"/>
    </row>
    <row r="557" spans="2:3">
      <c r="B557" s="1"/>
      <c r="C557" s="2"/>
    </row>
    <row r="558" spans="2:3">
      <c r="B558" s="1"/>
      <c r="C558" s="2"/>
    </row>
    <row r="559" spans="2:3">
      <c r="B559" s="1"/>
      <c r="C559" s="2"/>
    </row>
    <row r="560" spans="2:3">
      <c r="B560" s="1"/>
      <c r="C560" s="2"/>
    </row>
    <row r="561" spans="2:3">
      <c r="B561" s="1"/>
      <c r="C561" s="2"/>
    </row>
    <row r="562" spans="2:3">
      <c r="B562" s="1"/>
      <c r="C562" s="2"/>
    </row>
    <row r="563" spans="2:3">
      <c r="B563" s="1"/>
      <c r="C563" s="2"/>
    </row>
    <row r="564" spans="2:3">
      <c r="B564" s="1"/>
      <c r="C564" s="2"/>
    </row>
    <row r="565" spans="2:3">
      <c r="B565" s="1"/>
      <c r="C565" s="2"/>
    </row>
    <row r="566" spans="2:3">
      <c r="B566" s="1"/>
      <c r="C566" s="2"/>
    </row>
    <row r="567" spans="2:3">
      <c r="B567" s="1"/>
      <c r="C567" s="2"/>
    </row>
    <row r="568" spans="2:3">
      <c r="B568" s="1"/>
      <c r="C568" s="2"/>
    </row>
    <row r="569" spans="2:3">
      <c r="B569" s="1"/>
      <c r="C569" s="2"/>
    </row>
    <row r="570" spans="2:3">
      <c r="B570" s="1"/>
      <c r="C570" s="2"/>
    </row>
    <row r="571" spans="2:3">
      <c r="B571" s="1"/>
      <c r="C571" s="2"/>
    </row>
    <row r="572" spans="2:3">
      <c r="B572" s="1"/>
      <c r="C572" s="2"/>
    </row>
    <row r="573" spans="2:3">
      <c r="B573" s="1"/>
      <c r="C573" s="2"/>
    </row>
    <row r="574" spans="2:3">
      <c r="B574" s="1"/>
      <c r="C574" s="2"/>
    </row>
    <row r="575" spans="2:3">
      <c r="B575" s="1"/>
      <c r="C575" s="2"/>
    </row>
    <row r="576" spans="2:3">
      <c r="B576" s="1"/>
      <c r="C576" s="2"/>
    </row>
    <row r="577" spans="2:3">
      <c r="B577" s="1"/>
      <c r="C577" s="2"/>
    </row>
    <row r="578" spans="2:3">
      <c r="B578" s="1"/>
      <c r="C578" s="2"/>
    </row>
    <row r="579" spans="2:3">
      <c r="B579" s="1"/>
      <c r="C579" s="2"/>
    </row>
    <row r="580" spans="2:3">
      <c r="B580" s="1"/>
      <c r="C580" s="2"/>
    </row>
    <row r="581" spans="2:3">
      <c r="B581" s="1"/>
      <c r="C581" s="2"/>
    </row>
    <row r="582" spans="2:3">
      <c r="B582" s="1"/>
      <c r="C582" s="2"/>
    </row>
    <row r="583" spans="2:3">
      <c r="B583" s="1"/>
      <c r="C583" s="2"/>
    </row>
    <row r="584" spans="2:3">
      <c r="B584" s="1"/>
      <c r="C584" s="2"/>
    </row>
    <row r="585" spans="2:3">
      <c r="B585" s="1"/>
      <c r="C585" s="2"/>
    </row>
    <row r="586" spans="2:3">
      <c r="B586" s="1"/>
      <c r="C586" s="2"/>
    </row>
    <row r="587" spans="2:3">
      <c r="B587" s="1"/>
      <c r="C587" s="2"/>
    </row>
    <row r="588" spans="2:3">
      <c r="B588" s="1"/>
      <c r="C588" s="2"/>
    </row>
    <row r="589" spans="2:3">
      <c r="B589" s="1"/>
      <c r="C589" s="2"/>
    </row>
    <row r="590" spans="2:3">
      <c r="B590" s="1"/>
      <c r="C590" s="2"/>
    </row>
    <row r="591" spans="2:3">
      <c r="B591" s="1"/>
      <c r="C591" s="2"/>
    </row>
    <row r="592" spans="2:3">
      <c r="B592" s="1"/>
      <c r="C592" s="2"/>
    </row>
    <row r="593" spans="2:3">
      <c r="B593" s="1"/>
      <c r="C593" s="2"/>
    </row>
    <row r="594" spans="2:3">
      <c r="B594" s="1"/>
      <c r="C594" s="2"/>
    </row>
    <row r="595" spans="2:3">
      <c r="B595" s="1"/>
      <c r="C595" s="2"/>
    </row>
    <row r="596" spans="2:3">
      <c r="B596" s="1"/>
      <c r="C596" s="2"/>
    </row>
    <row r="597" spans="2:3">
      <c r="B597" s="1"/>
      <c r="C597" s="2"/>
    </row>
    <row r="598" spans="2:3">
      <c r="B598" s="1"/>
      <c r="C598" s="2"/>
    </row>
    <row r="599" spans="2:3">
      <c r="B599" s="1"/>
      <c r="C599" s="2"/>
    </row>
    <row r="600" spans="2:3">
      <c r="B600" s="1"/>
      <c r="C600" s="2"/>
    </row>
    <row r="601" spans="2:3">
      <c r="B601" s="1"/>
      <c r="C601" s="2"/>
    </row>
    <row r="602" spans="2:3">
      <c r="B602" s="1"/>
      <c r="C602" s="2"/>
    </row>
    <row r="603" spans="2:3">
      <c r="B603" s="1"/>
      <c r="C603" s="2"/>
    </row>
    <row r="604" spans="2:3">
      <c r="B604" s="1"/>
      <c r="C604" s="2"/>
    </row>
    <row r="605" spans="2:3">
      <c r="B605" s="1"/>
      <c r="C605" s="2"/>
    </row>
    <row r="606" spans="2:3">
      <c r="B606" s="1"/>
      <c r="C606" s="2"/>
    </row>
    <row r="607" spans="2:3">
      <c r="B607" s="1"/>
      <c r="C607" s="2"/>
    </row>
    <row r="608" spans="2:3">
      <c r="B608" s="1"/>
      <c r="C608" s="2"/>
    </row>
    <row r="609" spans="2:3">
      <c r="B609" s="1"/>
      <c r="C609" s="2"/>
    </row>
    <row r="610" spans="2:3">
      <c r="B610" s="1"/>
      <c r="C610" s="2"/>
    </row>
    <row r="611" spans="2:3">
      <c r="B611" s="1"/>
      <c r="C611" s="2"/>
    </row>
    <row r="612" spans="2:3">
      <c r="B612" s="1"/>
      <c r="C612" s="2"/>
    </row>
    <row r="613" spans="2:3">
      <c r="B613" s="1"/>
      <c r="C613" s="2"/>
    </row>
    <row r="614" spans="2:3">
      <c r="B614" s="1"/>
      <c r="C614" s="2"/>
    </row>
    <row r="615" spans="2:3">
      <c r="B615" s="1"/>
      <c r="C615" s="2"/>
    </row>
    <row r="616" spans="2:3">
      <c r="B616" s="1"/>
      <c r="C616" s="2"/>
    </row>
    <row r="617" spans="2:3">
      <c r="B617" s="1"/>
      <c r="C617" s="2"/>
    </row>
    <row r="618" spans="2:3">
      <c r="B618" s="1"/>
      <c r="C618" s="2"/>
    </row>
    <row r="619" spans="2:3">
      <c r="B619" s="1"/>
      <c r="C619" s="2"/>
    </row>
    <row r="620" spans="2:3">
      <c r="B620" s="1"/>
      <c r="C620" s="2"/>
    </row>
    <row r="621" spans="2:3">
      <c r="B621" s="1"/>
      <c r="C621" s="2"/>
    </row>
    <row r="622" spans="2:3">
      <c r="B622" s="1"/>
      <c r="C622" s="2"/>
    </row>
    <row r="623" spans="2:3">
      <c r="B623" s="1"/>
      <c r="C623" s="2"/>
    </row>
    <row r="624" spans="2:3">
      <c r="B624" s="1"/>
      <c r="C624" s="2"/>
    </row>
    <row r="625" spans="2:3">
      <c r="B625" s="1"/>
      <c r="C625" s="2"/>
    </row>
    <row r="626" spans="2:3">
      <c r="B626" s="1"/>
      <c r="C626" s="2"/>
    </row>
    <row r="627" spans="2:3">
      <c r="B627" s="1"/>
      <c r="C627" s="2"/>
    </row>
    <row r="628" spans="2:3">
      <c r="B628" s="1"/>
      <c r="C628" s="2"/>
    </row>
    <row r="629" spans="2:3">
      <c r="B629" s="1"/>
      <c r="C629" s="2"/>
    </row>
    <row r="630" spans="2:3">
      <c r="B630" s="1"/>
      <c r="C630" s="2"/>
    </row>
    <row r="631" spans="2:3">
      <c r="B631" s="1"/>
      <c r="C631" s="2"/>
    </row>
    <row r="632" spans="2:3">
      <c r="B632" s="1"/>
      <c r="C632" s="2"/>
    </row>
    <row r="633" spans="2:3">
      <c r="B633" s="1"/>
      <c r="C633" s="2"/>
    </row>
    <row r="634" spans="2:3">
      <c r="B634" s="1"/>
      <c r="C634" s="2"/>
    </row>
    <row r="635" spans="2:3">
      <c r="B635" s="1"/>
      <c r="C635" s="2"/>
    </row>
    <row r="636" spans="2:3">
      <c r="B636" s="1"/>
      <c r="C636" s="2"/>
    </row>
    <row r="637" spans="2:3">
      <c r="B637" s="1"/>
      <c r="C637" s="2"/>
    </row>
    <row r="638" spans="2:3">
      <c r="B638" s="1"/>
      <c r="C638" s="2"/>
    </row>
    <row r="639" spans="2:3">
      <c r="B639" s="1"/>
      <c r="C639" s="2"/>
    </row>
    <row r="640" spans="2:3">
      <c r="B640" s="1"/>
      <c r="C640" s="2"/>
    </row>
    <row r="641" spans="2:3">
      <c r="B641" s="1"/>
      <c r="C641" s="2"/>
    </row>
    <row r="642" spans="2:3">
      <c r="B642" s="1"/>
      <c r="C642" s="2"/>
    </row>
    <row r="643" spans="2:3">
      <c r="B643" s="1"/>
      <c r="C643" s="2"/>
    </row>
    <row r="644" spans="2:3">
      <c r="B644" s="1"/>
      <c r="C644" s="2"/>
    </row>
    <row r="645" spans="2:3">
      <c r="B645" s="1"/>
      <c r="C645" s="2"/>
    </row>
    <row r="646" spans="2:3">
      <c r="B646" s="1"/>
      <c r="C646" s="2"/>
    </row>
    <row r="647" spans="2:3">
      <c r="B647" s="1"/>
      <c r="C647" s="2"/>
    </row>
    <row r="648" spans="2:3">
      <c r="B648" s="1"/>
      <c r="C648" s="2"/>
    </row>
    <row r="649" spans="2:3">
      <c r="B649" s="1"/>
      <c r="C649" s="2"/>
    </row>
    <row r="650" spans="2:3">
      <c r="B650" s="1"/>
      <c r="C650" s="2"/>
    </row>
    <row r="651" spans="2:3">
      <c r="B651" s="1"/>
      <c r="C651" s="2"/>
    </row>
    <row r="652" spans="2:3">
      <c r="B652" s="1"/>
      <c r="C652" s="2"/>
    </row>
    <row r="653" spans="2:3">
      <c r="B653" s="1"/>
      <c r="C653" s="2"/>
    </row>
    <row r="654" spans="2:3">
      <c r="B654" s="1"/>
      <c r="C654" s="2"/>
    </row>
    <row r="655" spans="2:3">
      <c r="B655" s="1"/>
      <c r="C655" s="2"/>
    </row>
    <row r="656" spans="2:3">
      <c r="B656" s="1"/>
      <c r="C656" s="2"/>
    </row>
    <row r="657" spans="2:3">
      <c r="B657" s="1"/>
      <c r="C657" s="2"/>
    </row>
    <row r="658" spans="2:3">
      <c r="B658" s="1"/>
      <c r="C658" s="2"/>
    </row>
    <row r="659" spans="2:3">
      <c r="B659" s="1"/>
      <c r="C659" s="2"/>
    </row>
    <row r="660" spans="2:3">
      <c r="B660" s="1"/>
      <c r="C660" s="2"/>
    </row>
    <row r="661" spans="2:3">
      <c r="B661" s="1"/>
      <c r="C661" s="2"/>
    </row>
    <row r="662" spans="2:3">
      <c r="B662" s="1"/>
      <c r="C662" s="2"/>
    </row>
    <row r="663" spans="2:3">
      <c r="B663" s="1"/>
      <c r="C663" s="2"/>
    </row>
    <row r="664" spans="2:3">
      <c r="B664" s="1"/>
      <c r="C664" s="2"/>
    </row>
    <row r="665" spans="2:3">
      <c r="B665" s="1"/>
      <c r="C665" s="2"/>
    </row>
    <row r="666" spans="2:3">
      <c r="B666" s="1"/>
      <c r="C666" s="2"/>
    </row>
    <row r="667" spans="2:3">
      <c r="B667" s="1"/>
      <c r="C667" s="2"/>
    </row>
    <row r="668" spans="2:3">
      <c r="B668" s="1"/>
      <c r="C668" s="2"/>
    </row>
    <row r="669" spans="2:3">
      <c r="B669" s="1"/>
      <c r="C669" s="2"/>
    </row>
    <row r="670" spans="2:3">
      <c r="B670" s="1"/>
      <c r="C670" s="2"/>
    </row>
    <row r="671" spans="2:3">
      <c r="B671" s="1"/>
      <c r="C671" s="2"/>
    </row>
    <row r="672" spans="2:3">
      <c r="B672" s="1"/>
      <c r="C672" s="2"/>
    </row>
    <row r="673" spans="2:3">
      <c r="B673" s="1"/>
      <c r="C673" s="2"/>
    </row>
    <row r="674" spans="2:3">
      <c r="B674" s="1"/>
      <c r="C674" s="2"/>
    </row>
    <row r="675" spans="2:3">
      <c r="B675" s="1"/>
      <c r="C675" s="2"/>
    </row>
    <row r="676" spans="2:3">
      <c r="B676" s="1"/>
      <c r="C676" s="2"/>
    </row>
    <row r="677" spans="2:3">
      <c r="B677" s="1"/>
      <c r="C677" s="2"/>
    </row>
    <row r="678" spans="2:3">
      <c r="B678" s="1"/>
      <c r="C678" s="2"/>
    </row>
    <row r="679" spans="2:3">
      <c r="B679" s="1"/>
      <c r="C679" s="2"/>
    </row>
    <row r="680" spans="2:3">
      <c r="B680" s="1"/>
      <c r="C680" s="2"/>
    </row>
    <row r="681" spans="2:3">
      <c r="B681" s="1"/>
      <c r="C681" s="2"/>
    </row>
    <row r="682" spans="2:3">
      <c r="B682" s="1"/>
      <c r="C682" s="2"/>
    </row>
    <row r="683" spans="2:3">
      <c r="B683" s="1"/>
      <c r="C683" s="2"/>
    </row>
    <row r="684" spans="2:3">
      <c r="B684" s="1"/>
      <c r="C684" s="2"/>
    </row>
    <row r="685" spans="2:3">
      <c r="B685" s="1"/>
      <c r="C685" s="2"/>
    </row>
    <row r="686" spans="2:3">
      <c r="B686" s="1"/>
      <c r="C686" s="2"/>
    </row>
    <row r="687" spans="2:3">
      <c r="B687" s="1"/>
      <c r="C687" s="2"/>
    </row>
    <row r="688" spans="2:3">
      <c r="B688" s="1"/>
      <c r="C688" s="2"/>
    </row>
    <row r="689" spans="2:3">
      <c r="B689" s="1"/>
      <c r="C689" s="2"/>
    </row>
    <row r="690" spans="2:3">
      <c r="B690" s="1"/>
      <c r="C690" s="2"/>
    </row>
    <row r="691" spans="2:3">
      <c r="B691" s="1"/>
      <c r="C691" s="2"/>
    </row>
    <row r="692" spans="2:3">
      <c r="B692" s="1"/>
      <c r="C692" s="2"/>
    </row>
    <row r="693" spans="2:3">
      <c r="B693" s="1"/>
      <c r="C693" s="2"/>
    </row>
    <row r="694" spans="2:3">
      <c r="B694" s="1"/>
      <c r="C694" s="2"/>
    </row>
    <row r="695" spans="2:3">
      <c r="B695" s="1"/>
      <c r="C695" s="2"/>
    </row>
    <row r="696" spans="2:3">
      <c r="B696" s="1"/>
      <c r="C696" s="2"/>
    </row>
    <row r="697" spans="2:3">
      <c r="B697" s="1"/>
      <c r="C697" s="2"/>
    </row>
    <row r="698" spans="2:3">
      <c r="B698" s="1"/>
      <c r="C698" s="2"/>
    </row>
    <row r="699" spans="2:3">
      <c r="B699" s="1"/>
      <c r="C699" s="2"/>
    </row>
    <row r="700" spans="2:3">
      <c r="B700" s="1"/>
      <c r="C700" s="2"/>
    </row>
    <row r="701" spans="2:3">
      <c r="B701" s="1"/>
      <c r="C701" s="2"/>
    </row>
    <row r="702" spans="2:3">
      <c r="B702" s="1"/>
      <c r="C702" s="2"/>
    </row>
    <row r="703" spans="2:3">
      <c r="B703" s="1"/>
      <c r="C703" s="2"/>
    </row>
    <row r="704" spans="2:3">
      <c r="B704" s="1"/>
      <c r="C704" s="2"/>
    </row>
    <row r="705" spans="2:3">
      <c r="B705" s="1"/>
      <c r="C705" s="2"/>
    </row>
    <row r="706" spans="2:3">
      <c r="B706" s="1"/>
      <c r="C706" s="2"/>
    </row>
    <row r="707" spans="2:3">
      <c r="B707" s="1"/>
      <c r="C707" s="2"/>
    </row>
    <row r="708" spans="2:3">
      <c r="B708" s="1"/>
      <c r="C708" s="2"/>
    </row>
    <row r="709" spans="2:3">
      <c r="B709" s="1"/>
      <c r="C709" s="2"/>
    </row>
    <row r="710" spans="2:3">
      <c r="B710" s="1"/>
      <c r="C710" s="2"/>
    </row>
    <row r="711" spans="2:3">
      <c r="B711" s="1"/>
      <c r="C711" s="2"/>
    </row>
    <row r="712" spans="2:3">
      <c r="B712" s="1"/>
      <c r="C712" s="2"/>
    </row>
    <row r="713" spans="2:3">
      <c r="B713" s="1"/>
      <c r="C713" s="2"/>
    </row>
    <row r="714" spans="2:3">
      <c r="B714" s="1"/>
      <c r="C714" s="2"/>
    </row>
    <row r="715" spans="2:3">
      <c r="B715" s="1"/>
      <c r="C715" s="2"/>
    </row>
    <row r="716" spans="2:3">
      <c r="B716" s="1"/>
      <c r="C716" s="2"/>
    </row>
    <row r="717" spans="2:3">
      <c r="B717" s="1"/>
      <c r="C717" s="2"/>
    </row>
    <row r="718" spans="2:3">
      <c r="B718" s="1"/>
      <c r="C718" s="2"/>
    </row>
    <row r="719" spans="2:3">
      <c r="B719" s="1"/>
      <c r="C719" s="2"/>
    </row>
    <row r="720" spans="2:3">
      <c r="B720" s="1"/>
      <c r="C720" s="2"/>
    </row>
    <row r="721" spans="2:3">
      <c r="B721" s="1"/>
      <c r="C721" s="2"/>
    </row>
    <row r="722" spans="2:3">
      <c r="B722" s="1"/>
      <c r="C722" s="2"/>
    </row>
    <row r="723" spans="2:3">
      <c r="B723" s="1"/>
      <c r="C723" s="2"/>
    </row>
    <row r="724" spans="2:3">
      <c r="B724" s="1"/>
      <c r="C724" s="2"/>
    </row>
    <row r="725" spans="2:3">
      <c r="B725" s="1"/>
      <c r="C725" s="2"/>
    </row>
    <row r="726" spans="2:3">
      <c r="B726" s="1"/>
      <c r="C726" s="2"/>
    </row>
    <row r="727" spans="2:3">
      <c r="B727" s="1"/>
      <c r="C727" s="2"/>
    </row>
    <row r="728" spans="2:3">
      <c r="B728" s="1"/>
      <c r="C728" s="2"/>
    </row>
    <row r="729" spans="2:3">
      <c r="B729" s="1"/>
      <c r="C729" s="2"/>
    </row>
    <row r="730" spans="2:3">
      <c r="B730" s="1"/>
      <c r="C730" s="2"/>
    </row>
    <row r="731" spans="2:3">
      <c r="B731" s="1"/>
      <c r="C731" s="2"/>
    </row>
    <row r="732" spans="2:3">
      <c r="B732" s="1"/>
      <c r="C732" s="2"/>
    </row>
    <row r="733" spans="2:3">
      <c r="B733" s="1"/>
      <c r="C733" s="2"/>
    </row>
    <row r="734" spans="2:3">
      <c r="B734" s="1"/>
      <c r="C734" s="2"/>
    </row>
    <row r="735" spans="2:3">
      <c r="B735" s="1"/>
      <c r="C735" s="2"/>
    </row>
    <row r="736" spans="2:3">
      <c r="B736" s="1"/>
      <c r="C736" s="2"/>
    </row>
    <row r="737" spans="2:3">
      <c r="B737" s="1"/>
      <c r="C737" s="2"/>
    </row>
    <row r="738" spans="2:3">
      <c r="B738" s="1"/>
      <c r="C738" s="2"/>
    </row>
    <row r="739" spans="2:3">
      <c r="B739" s="1"/>
      <c r="C739" s="2"/>
    </row>
    <row r="740" spans="2:3">
      <c r="B740" s="1"/>
      <c r="C740" s="2"/>
    </row>
    <row r="741" spans="2:3">
      <c r="B741" s="1"/>
      <c r="C741" s="2"/>
    </row>
    <row r="742" spans="2:3">
      <c r="B742" s="1"/>
      <c r="C742" s="2"/>
    </row>
    <row r="743" spans="2:3">
      <c r="B743" s="1"/>
      <c r="C743" s="2"/>
    </row>
    <row r="744" spans="2:3">
      <c r="B744" s="1"/>
      <c r="C744" s="2"/>
    </row>
    <row r="745" spans="2:3">
      <c r="B745" s="1"/>
      <c r="C745" s="2"/>
    </row>
    <row r="746" spans="2:3">
      <c r="B746" s="1"/>
      <c r="C746" s="2"/>
    </row>
    <row r="747" spans="2:3">
      <c r="B747" s="1"/>
      <c r="C747" s="2"/>
    </row>
    <row r="748" spans="2:3">
      <c r="B748" s="1"/>
      <c r="C748" s="2"/>
    </row>
    <row r="749" spans="2:3">
      <c r="B749" s="1"/>
      <c r="C749" s="2"/>
    </row>
    <row r="750" spans="2:3">
      <c r="B750" s="1"/>
      <c r="C750" s="2"/>
    </row>
    <row r="751" spans="2:3">
      <c r="B751" s="1"/>
      <c r="C751" s="2"/>
    </row>
    <row r="752" spans="2:3">
      <c r="B752" s="1"/>
      <c r="C752" s="2"/>
    </row>
    <row r="753" spans="2:3">
      <c r="B753" s="1"/>
      <c r="C753" s="2"/>
    </row>
    <row r="754" spans="2:3">
      <c r="B754" s="1"/>
      <c r="C754" s="2"/>
    </row>
    <row r="755" spans="2:3">
      <c r="B755" s="1"/>
      <c r="C755" s="2"/>
    </row>
    <row r="756" spans="2:3">
      <c r="B756" s="1"/>
      <c r="C756" s="2"/>
    </row>
    <row r="757" spans="2:3">
      <c r="B757" s="1"/>
      <c r="C757" s="2"/>
    </row>
    <row r="758" spans="2:3">
      <c r="B758" s="1"/>
      <c r="C758" s="2"/>
    </row>
    <row r="759" spans="2:3">
      <c r="B759" s="1"/>
      <c r="C759" s="2"/>
    </row>
    <row r="760" spans="2:3">
      <c r="B760" s="1"/>
      <c r="C760" s="2"/>
    </row>
    <row r="761" spans="2:3">
      <c r="B761" s="1"/>
      <c r="C761" s="2"/>
    </row>
    <row r="762" spans="2:3">
      <c r="B762" s="1"/>
      <c r="C762" s="2"/>
    </row>
    <row r="763" spans="2:3">
      <c r="B763" s="1"/>
      <c r="C763" s="2"/>
    </row>
    <row r="764" spans="2:3">
      <c r="B764" s="1"/>
      <c r="C764" s="2"/>
    </row>
    <row r="765" spans="2:3">
      <c r="B765" s="1"/>
      <c r="C765" s="2"/>
    </row>
    <row r="766" spans="2:3">
      <c r="B766" s="1"/>
      <c r="C766" s="2"/>
    </row>
    <row r="767" spans="2:3">
      <c r="B767" s="1"/>
      <c r="C767" s="2"/>
    </row>
    <row r="768" spans="2:3">
      <c r="B768" s="1"/>
      <c r="C768" s="2"/>
    </row>
    <row r="769" spans="2:3">
      <c r="B769" s="1"/>
      <c r="C769" s="2"/>
    </row>
    <row r="770" spans="2:3">
      <c r="B770" s="1"/>
      <c r="C770" s="2"/>
    </row>
    <row r="771" spans="2:3">
      <c r="B771" s="1"/>
      <c r="C771" s="2"/>
    </row>
    <row r="772" spans="2:3">
      <c r="B772" s="1"/>
      <c r="C772" s="2"/>
    </row>
    <row r="773" spans="2:3">
      <c r="B773" s="1"/>
      <c r="C773" s="2"/>
    </row>
    <row r="774" spans="2:3">
      <c r="B774" s="1"/>
      <c r="C774" s="2"/>
    </row>
    <row r="775" spans="2:3">
      <c r="B775" s="1"/>
      <c r="C775" s="2"/>
    </row>
    <row r="776" spans="2:3">
      <c r="B776" s="1"/>
      <c r="C776" s="2"/>
    </row>
    <row r="777" spans="2:3">
      <c r="B777" s="1"/>
      <c r="C777" s="2"/>
    </row>
    <row r="778" spans="2:3">
      <c r="B778" s="1"/>
      <c r="C778" s="2"/>
    </row>
    <row r="779" spans="2:3">
      <c r="B779" s="1"/>
      <c r="C779" s="2"/>
    </row>
    <row r="780" spans="2:3">
      <c r="B780" s="1"/>
      <c r="C780" s="2"/>
    </row>
    <row r="781" spans="2:3">
      <c r="B781" s="1"/>
      <c r="C781" s="2"/>
    </row>
    <row r="782" spans="2:3">
      <c r="B782" s="1"/>
      <c r="C782" s="2"/>
    </row>
    <row r="783" spans="2:3">
      <c r="B783" s="1"/>
      <c r="C783" s="2"/>
    </row>
    <row r="784" spans="2:3">
      <c r="B784" s="1"/>
      <c r="C784" s="2"/>
    </row>
    <row r="785" spans="2:3">
      <c r="B785" s="1"/>
      <c r="C785" s="2"/>
    </row>
    <row r="786" spans="2:3">
      <c r="B786" s="1"/>
      <c r="C786" s="2"/>
    </row>
    <row r="787" spans="2:3">
      <c r="B787" s="1"/>
      <c r="C787" s="2"/>
    </row>
    <row r="788" spans="2:3">
      <c r="B788" s="1"/>
      <c r="C788" s="2"/>
    </row>
    <row r="789" spans="2:3">
      <c r="B789" s="1"/>
      <c r="C789" s="2"/>
    </row>
    <row r="790" spans="2:3">
      <c r="B790" s="1"/>
      <c r="C790" s="2"/>
    </row>
    <row r="791" spans="2:3">
      <c r="B791" s="1"/>
      <c r="C791" s="2"/>
    </row>
    <row r="792" spans="2:3">
      <c r="B792" s="1"/>
      <c r="C792" s="2"/>
    </row>
    <row r="793" spans="2:3">
      <c r="B793" s="1"/>
      <c r="C793" s="2"/>
    </row>
    <row r="794" spans="2:3">
      <c r="B794" s="1"/>
      <c r="C794" s="2"/>
    </row>
    <row r="795" spans="2:3">
      <c r="B795" s="1"/>
      <c r="C795" s="2"/>
    </row>
    <row r="796" spans="2:3">
      <c r="B796" s="1"/>
      <c r="C796" s="2"/>
    </row>
    <row r="797" spans="2:3">
      <c r="B797" s="1"/>
      <c r="C797" s="2"/>
    </row>
    <row r="798" spans="2:3">
      <c r="B798" s="1"/>
      <c r="C798" s="2"/>
    </row>
    <row r="799" spans="2:3">
      <c r="B799" s="1"/>
      <c r="C799" s="2"/>
    </row>
    <row r="800" spans="2:3">
      <c r="B800" s="1"/>
      <c r="C800" s="2"/>
    </row>
    <row r="801" spans="2:3">
      <c r="B801" s="1"/>
      <c r="C801" s="2"/>
    </row>
    <row r="802" spans="2:3">
      <c r="B802" s="1"/>
      <c r="C802" s="2"/>
    </row>
    <row r="803" spans="2:3">
      <c r="B803" s="1"/>
      <c r="C803" s="2"/>
    </row>
    <row r="804" spans="2:3">
      <c r="B804" s="1"/>
      <c r="C804" s="2"/>
    </row>
    <row r="805" spans="2:3">
      <c r="B805" s="1"/>
      <c r="C805" s="2"/>
    </row>
    <row r="806" spans="2:3">
      <c r="B806" s="1"/>
      <c r="C806" s="2"/>
    </row>
    <row r="807" spans="2:3">
      <c r="B807" s="1"/>
      <c r="C807" s="2"/>
    </row>
    <row r="808" spans="2:3">
      <c r="B808" s="1"/>
      <c r="C808" s="2"/>
    </row>
    <row r="809" spans="2:3">
      <c r="B809" s="1"/>
      <c r="C809" s="2"/>
    </row>
    <row r="810" spans="2:3">
      <c r="B810" s="1"/>
      <c r="C810" s="2"/>
    </row>
    <row r="811" spans="2:3">
      <c r="B811" s="1"/>
      <c r="C811" s="2"/>
    </row>
    <row r="812" spans="2:3">
      <c r="B812" s="1"/>
      <c r="C812" s="2"/>
    </row>
    <row r="813" spans="2:3">
      <c r="B813" s="1"/>
      <c r="C813" s="2"/>
    </row>
    <row r="814" spans="2:3">
      <c r="B814" s="1"/>
      <c r="C814" s="2"/>
    </row>
    <row r="815" spans="2:3">
      <c r="B815" s="1"/>
      <c r="C815" s="2"/>
    </row>
    <row r="816" spans="2:3">
      <c r="B816" s="1"/>
      <c r="C816" s="2"/>
    </row>
    <row r="817" spans="2:3">
      <c r="B817" s="1"/>
      <c r="C817" s="2"/>
    </row>
    <row r="818" spans="2:3">
      <c r="B818" s="1"/>
      <c r="C818" s="2"/>
    </row>
    <row r="819" spans="2:3">
      <c r="B819" s="1"/>
      <c r="C819" s="2"/>
    </row>
    <row r="820" spans="2:3">
      <c r="B820" s="1"/>
      <c r="C820" s="2"/>
    </row>
    <row r="821" spans="2:3">
      <c r="B821" s="1"/>
      <c r="C821" s="2"/>
    </row>
    <row r="822" spans="2:3">
      <c r="B822" s="1"/>
      <c r="C822" s="2"/>
    </row>
    <row r="823" spans="2:3">
      <c r="B823" s="1"/>
      <c r="C823" s="2"/>
    </row>
    <row r="824" spans="2:3">
      <c r="B824" s="1"/>
      <c r="C824" s="2"/>
    </row>
    <row r="825" spans="2:3">
      <c r="B825" s="1"/>
      <c r="C825" s="2"/>
    </row>
    <row r="826" spans="2:3">
      <c r="B826" s="1"/>
      <c r="C826" s="2"/>
    </row>
    <row r="827" spans="2:3">
      <c r="B827" s="1"/>
      <c r="C827" s="2"/>
    </row>
    <row r="828" spans="2:3">
      <c r="B828" s="1"/>
      <c r="C828" s="2"/>
    </row>
    <row r="829" spans="2:3">
      <c r="B829" s="1"/>
      <c r="C829" s="2"/>
    </row>
    <row r="830" spans="2:3">
      <c r="B830" s="1"/>
      <c r="C830" s="2"/>
    </row>
    <row r="831" spans="2:3">
      <c r="B831" s="1"/>
      <c r="C831" s="2"/>
    </row>
    <row r="832" spans="2:3">
      <c r="B832" s="1"/>
      <c r="C832" s="2"/>
    </row>
    <row r="833" spans="2:3">
      <c r="B833" s="1"/>
      <c r="C833" s="2"/>
    </row>
    <row r="834" spans="2:3">
      <c r="B834" s="1"/>
      <c r="C834" s="2"/>
    </row>
    <row r="835" spans="2:3">
      <c r="B835" s="1"/>
      <c r="C835" s="2"/>
    </row>
    <row r="836" spans="2:3">
      <c r="B836" s="1"/>
      <c r="C836" s="2"/>
    </row>
    <row r="837" spans="2:3">
      <c r="B837" s="1"/>
      <c r="C837" s="2"/>
    </row>
    <row r="838" spans="2:3">
      <c r="B838" s="1"/>
      <c r="C838" s="2"/>
    </row>
    <row r="839" spans="2:3">
      <c r="B839" s="1"/>
      <c r="C839" s="2"/>
    </row>
    <row r="840" spans="2:3">
      <c r="B840" s="1"/>
      <c r="C840" s="2"/>
    </row>
    <row r="841" spans="2:3">
      <c r="B841" s="1"/>
      <c r="C841" s="2"/>
    </row>
    <row r="842" spans="2:3">
      <c r="B842" s="1"/>
      <c r="C842" s="2"/>
    </row>
    <row r="843" spans="2:3">
      <c r="B843" s="1"/>
      <c r="C843" s="2"/>
    </row>
    <row r="844" spans="2:3">
      <c r="B844" s="1"/>
      <c r="C844" s="2"/>
    </row>
    <row r="845" spans="2:3">
      <c r="B845" s="1"/>
      <c r="C845" s="2"/>
    </row>
    <row r="846" spans="2:3">
      <c r="B846" s="1"/>
      <c r="C846" s="2"/>
    </row>
    <row r="847" spans="2:3">
      <c r="B847" s="1"/>
      <c r="C847" s="2"/>
    </row>
    <row r="848" spans="2:3">
      <c r="B848" s="1"/>
      <c r="C848" s="2"/>
    </row>
    <row r="849" spans="2:3">
      <c r="B849" s="1"/>
      <c r="C849" s="2"/>
    </row>
    <row r="850" spans="2:3">
      <c r="B850" s="1"/>
      <c r="C850" s="2"/>
    </row>
    <row r="851" spans="2:3">
      <c r="B851" s="1"/>
      <c r="C851" s="2"/>
    </row>
    <row r="852" spans="2:3">
      <c r="B852" s="1"/>
      <c r="C852" s="2"/>
    </row>
    <row r="853" spans="2:3">
      <c r="B853" s="1"/>
      <c r="C853" s="2"/>
    </row>
    <row r="854" spans="2:3">
      <c r="B854" s="1"/>
      <c r="C854" s="2"/>
    </row>
    <row r="855" spans="2:3">
      <c r="B855" s="1"/>
      <c r="C855" s="2"/>
    </row>
    <row r="856" spans="2:3">
      <c r="B856" s="1"/>
      <c r="C856" s="2"/>
    </row>
    <row r="857" spans="2:3">
      <c r="B857" s="1"/>
      <c r="C857" s="2"/>
    </row>
    <row r="858" spans="2:3">
      <c r="B858" s="1"/>
      <c r="C858" s="2"/>
    </row>
    <row r="859" spans="2:3">
      <c r="B859" s="1"/>
      <c r="C859" s="2"/>
    </row>
    <row r="860" spans="2:3">
      <c r="B860" s="1"/>
      <c r="C860" s="2"/>
    </row>
    <row r="861" spans="2:3">
      <c r="B861" s="1"/>
      <c r="C861" s="2"/>
    </row>
    <row r="862" spans="2:3">
      <c r="B862" s="1"/>
      <c r="C862" s="2"/>
    </row>
    <row r="863" spans="2:3">
      <c r="B863" s="1"/>
      <c r="C863" s="2"/>
    </row>
    <row r="864" spans="2:3">
      <c r="B864" s="1"/>
      <c r="C864" s="2"/>
    </row>
    <row r="865" spans="2:3">
      <c r="B865" s="1"/>
      <c r="C865" s="2"/>
    </row>
    <row r="866" spans="2:3">
      <c r="B866" s="1"/>
      <c r="C866" s="2"/>
    </row>
    <row r="867" spans="2:3">
      <c r="B867" s="1"/>
      <c r="C867" s="2"/>
    </row>
    <row r="868" spans="2:3">
      <c r="B868" s="1"/>
      <c r="C868" s="2"/>
    </row>
    <row r="869" spans="2:3">
      <c r="B869" s="1"/>
      <c r="C869" s="2"/>
    </row>
    <row r="870" spans="2:3">
      <c r="B870" s="1"/>
      <c r="C870" s="2"/>
    </row>
    <row r="871" spans="2:3">
      <c r="B871" s="1"/>
      <c r="C871" s="2"/>
    </row>
    <row r="872" spans="2:3">
      <c r="B872" s="1"/>
      <c r="C872" s="2"/>
    </row>
    <row r="873" spans="2:3">
      <c r="B873" s="1"/>
      <c r="C873" s="2"/>
    </row>
    <row r="874" spans="2:3">
      <c r="B874" s="1"/>
      <c r="C874" s="2"/>
    </row>
    <row r="875" spans="2:3">
      <c r="B875" s="1"/>
      <c r="C875" s="2"/>
    </row>
    <row r="876" spans="2:3">
      <c r="B876" s="1"/>
      <c r="C876" s="2"/>
    </row>
    <row r="877" spans="2:3">
      <c r="B877" s="1"/>
      <c r="C877" s="2"/>
    </row>
    <row r="878" spans="2:3">
      <c r="B878" s="1"/>
      <c r="C878" s="2"/>
    </row>
    <row r="879" spans="2:3">
      <c r="B879" s="1"/>
      <c r="C879" s="2"/>
    </row>
    <row r="880" spans="2:3">
      <c r="B880" s="1"/>
      <c r="C880" s="2"/>
    </row>
    <row r="881" spans="2:3">
      <c r="B881" s="1"/>
      <c r="C881" s="2"/>
    </row>
    <row r="882" spans="2:3">
      <c r="B882" s="1"/>
      <c r="C882" s="2"/>
    </row>
    <row r="883" spans="2:3">
      <c r="B883" s="1"/>
      <c r="C883" s="2"/>
    </row>
    <row r="884" spans="2:3">
      <c r="B884" s="1"/>
      <c r="C884" s="2"/>
    </row>
    <row r="885" spans="2:3">
      <c r="B885" s="1"/>
      <c r="C885" s="2"/>
    </row>
    <row r="886" spans="2:3">
      <c r="B886" s="1"/>
      <c r="C886" s="2"/>
    </row>
    <row r="887" spans="2:3">
      <c r="B887" s="1"/>
      <c r="C887" s="2"/>
    </row>
    <row r="888" spans="2:3">
      <c r="B888" s="1"/>
      <c r="C888" s="2"/>
    </row>
    <row r="889" spans="2:3">
      <c r="B889" s="1"/>
      <c r="C889" s="2"/>
    </row>
    <row r="890" spans="2:3">
      <c r="B890" s="1"/>
      <c r="C890" s="2"/>
    </row>
    <row r="891" spans="2:3">
      <c r="B891" s="1"/>
      <c r="C891" s="2"/>
    </row>
    <row r="892" spans="2:3">
      <c r="B892" s="1"/>
      <c r="C892" s="2"/>
    </row>
    <row r="893" spans="2:3">
      <c r="B893" s="1"/>
      <c r="C893" s="2"/>
    </row>
    <row r="894" spans="2:3">
      <c r="B894" s="1"/>
      <c r="C894" s="2"/>
    </row>
    <row r="895" spans="2:3">
      <c r="B895" s="1"/>
      <c r="C895" s="2"/>
    </row>
    <row r="896" spans="2:3">
      <c r="B896" s="1"/>
      <c r="C896" s="2"/>
    </row>
    <row r="897" spans="2:3">
      <c r="B897" s="1"/>
      <c r="C897" s="2"/>
    </row>
    <row r="898" spans="2:3">
      <c r="B898" s="1"/>
      <c r="C898" s="2"/>
    </row>
    <row r="899" spans="2:3">
      <c r="B899" s="1"/>
      <c r="C899" s="2"/>
    </row>
    <row r="900" spans="2:3">
      <c r="B900" s="1"/>
      <c r="C900" s="2"/>
    </row>
    <row r="901" spans="2:3">
      <c r="B901" s="1"/>
      <c r="C901" s="2"/>
    </row>
    <row r="902" spans="2:3">
      <c r="B902" s="1"/>
      <c r="C902" s="2"/>
    </row>
    <row r="903" spans="2:3">
      <c r="B903" s="1"/>
      <c r="C903" s="2"/>
    </row>
    <row r="904" spans="2:3">
      <c r="B904" s="1"/>
      <c r="C904" s="2"/>
    </row>
    <row r="905" spans="2:3">
      <c r="B905" s="1"/>
      <c r="C905" s="2"/>
    </row>
    <row r="906" spans="2:3">
      <c r="B906" s="1"/>
      <c r="C906" s="2"/>
    </row>
    <row r="907" spans="2:3">
      <c r="B907" s="1"/>
      <c r="C907" s="2"/>
    </row>
    <row r="908" spans="2:3">
      <c r="B908" s="1"/>
      <c r="C908" s="2"/>
    </row>
    <row r="909" spans="2:3">
      <c r="B909" s="1"/>
      <c r="C909" s="2"/>
    </row>
    <row r="910" spans="2:3">
      <c r="B910" s="1"/>
      <c r="C910" s="2"/>
    </row>
    <row r="911" spans="2:3">
      <c r="B911" s="1"/>
      <c r="C911" s="2"/>
    </row>
    <row r="912" spans="2:3">
      <c r="B912" s="1"/>
      <c r="C912" s="2"/>
    </row>
    <row r="913" spans="2:3">
      <c r="B913" s="1"/>
      <c r="C913" s="2"/>
    </row>
    <row r="914" spans="2:3">
      <c r="B914" s="1"/>
      <c r="C914" s="2"/>
    </row>
    <row r="915" spans="2:3">
      <c r="B915" s="1"/>
      <c r="C915" s="2"/>
    </row>
    <row r="916" spans="2:3">
      <c r="B916" s="1"/>
      <c r="C916" s="2"/>
    </row>
    <row r="917" spans="2:3">
      <c r="B917" s="1"/>
      <c r="C917" s="2"/>
    </row>
    <row r="918" spans="2:3">
      <c r="B918" s="1"/>
      <c r="C918" s="2"/>
    </row>
    <row r="919" spans="2:3">
      <c r="B919" s="1"/>
      <c r="C919" s="2"/>
    </row>
    <row r="920" spans="2:3">
      <c r="B920" s="1"/>
      <c r="C920" s="2"/>
    </row>
    <row r="921" spans="2:3">
      <c r="B921" s="1"/>
      <c r="C921" s="2"/>
    </row>
    <row r="922" spans="2:3">
      <c r="B922" s="1"/>
      <c r="C922" s="2"/>
    </row>
    <row r="923" spans="2:3">
      <c r="B923" s="1"/>
      <c r="C923" s="2"/>
    </row>
    <row r="924" spans="2:3">
      <c r="B924" s="1"/>
      <c r="C924" s="2"/>
    </row>
    <row r="925" spans="2:3">
      <c r="B925" s="1"/>
      <c r="C925" s="2"/>
    </row>
    <row r="926" spans="2:3">
      <c r="B926" s="1"/>
      <c r="C926" s="2"/>
    </row>
    <row r="927" spans="2:3">
      <c r="B927" s="1"/>
      <c r="C927" s="2"/>
    </row>
    <row r="928" spans="2:3">
      <c r="B928" s="1"/>
      <c r="C928" s="2"/>
    </row>
    <row r="929" spans="2:3">
      <c r="B929" s="1"/>
      <c r="C929" s="2"/>
    </row>
    <row r="930" spans="2:3">
      <c r="B930" s="1"/>
      <c r="C930" s="2"/>
    </row>
    <row r="931" spans="2:3">
      <c r="B931" s="1"/>
      <c r="C931" s="2"/>
    </row>
    <row r="932" spans="2:3">
      <c r="B932" s="1"/>
      <c r="C932" s="2"/>
    </row>
    <row r="933" spans="2:3">
      <c r="B933" s="1"/>
      <c r="C933" s="2"/>
    </row>
    <row r="934" spans="2:3">
      <c r="B934" s="1"/>
      <c r="C934" s="2"/>
    </row>
    <row r="935" spans="2:3">
      <c r="B935" s="1"/>
      <c r="C935" s="2"/>
    </row>
    <row r="936" spans="2:3">
      <c r="B936" s="1"/>
      <c r="C936" s="2"/>
    </row>
    <row r="937" spans="2:3">
      <c r="B937" s="1"/>
      <c r="C937" s="2"/>
    </row>
    <row r="938" spans="2:3">
      <c r="B938" s="1"/>
      <c r="C938" s="2"/>
    </row>
    <row r="939" spans="2:3">
      <c r="B939" s="1"/>
      <c r="C939" s="2"/>
    </row>
    <row r="940" spans="2:3">
      <c r="B940" s="1"/>
      <c r="C940" s="2"/>
    </row>
    <row r="941" spans="2:3">
      <c r="B941" s="1"/>
      <c r="C941" s="2"/>
    </row>
    <row r="942" spans="2:3">
      <c r="B942" s="1"/>
      <c r="C942" s="2"/>
    </row>
    <row r="943" spans="2:3">
      <c r="B943" s="1"/>
      <c r="C943" s="2"/>
    </row>
    <row r="944" spans="2:3">
      <c r="B944" s="1"/>
      <c r="C944" s="2"/>
    </row>
    <row r="945" spans="2:3">
      <c r="B945" s="1"/>
      <c r="C945" s="2"/>
    </row>
    <row r="946" spans="2:3">
      <c r="B946" s="1"/>
      <c r="C946" s="2"/>
    </row>
    <row r="947" spans="2:3">
      <c r="B947" s="1"/>
      <c r="C947" s="2"/>
    </row>
    <row r="948" spans="2:3">
      <c r="B948" s="1"/>
      <c r="C948" s="2"/>
    </row>
    <row r="949" spans="2:3">
      <c r="B949" s="1"/>
      <c r="C949" s="2"/>
    </row>
    <row r="950" spans="2:3">
      <c r="B950" s="1"/>
      <c r="C950" s="2"/>
    </row>
    <row r="951" spans="2:3">
      <c r="B951" s="1"/>
      <c r="C951" s="2"/>
    </row>
    <row r="952" spans="2:3">
      <c r="B952" s="1"/>
      <c r="C952" s="2"/>
    </row>
    <row r="953" spans="2:3">
      <c r="B953" s="1"/>
      <c r="C953" s="2"/>
    </row>
    <row r="954" spans="2:3">
      <c r="B954" s="1"/>
      <c r="C954" s="2"/>
    </row>
    <row r="955" spans="2:3">
      <c r="B955" s="1"/>
      <c r="C955" s="2"/>
    </row>
    <row r="956" spans="2:3">
      <c r="B956" s="1"/>
      <c r="C956" s="2"/>
    </row>
    <row r="957" spans="2:3">
      <c r="B957" s="1"/>
      <c r="C957" s="2"/>
    </row>
    <row r="958" spans="2:3">
      <c r="B958" s="1"/>
      <c r="C958" s="2"/>
    </row>
    <row r="959" spans="2:3">
      <c r="B959" s="1"/>
      <c r="C959" s="2"/>
    </row>
    <row r="960" spans="2:3">
      <c r="B960" s="1"/>
      <c r="C960" s="2"/>
    </row>
    <row r="961" spans="2:3">
      <c r="B961" s="1"/>
      <c r="C961" s="2"/>
    </row>
    <row r="962" spans="2:3">
      <c r="B962" s="1"/>
      <c r="C962" s="2"/>
    </row>
    <row r="963" spans="2:3">
      <c r="B963" s="1"/>
      <c r="C963" s="2"/>
    </row>
    <row r="964" spans="2:3">
      <c r="B964" s="1"/>
      <c r="C964" s="2"/>
    </row>
    <row r="965" spans="2:3">
      <c r="B965" s="1"/>
      <c r="C965" s="2"/>
    </row>
    <row r="966" spans="2:3">
      <c r="B966" s="1"/>
      <c r="C966" s="2"/>
    </row>
    <row r="967" spans="2:3">
      <c r="B967" s="1"/>
      <c r="C967" s="2"/>
    </row>
    <row r="968" spans="2:3">
      <c r="B968" s="1"/>
      <c r="C968" s="2"/>
    </row>
    <row r="969" spans="2:3">
      <c r="B969" s="1"/>
      <c r="C969" s="2"/>
    </row>
    <row r="970" spans="2:3">
      <c r="B970" s="1"/>
      <c r="C970" s="2"/>
    </row>
    <row r="971" spans="2:3">
      <c r="B971" s="1"/>
      <c r="C971" s="2"/>
    </row>
    <row r="972" spans="2:3">
      <c r="B972" s="1"/>
      <c r="C972" s="2"/>
    </row>
    <row r="973" spans="2:3">
      <c r="B973" s="1"/>
      <c r="C973" s="2"/>
    </row>
    <row r="974" spans="2:3">
      <c r="B974" s="1"/>
      <c r="C974" s="2"/>
    </row>
    <row r="975" spans="2:3">
      <c r="B975" s="1"/>
      <c r="C975" s="2"/>
    </row>
    <row r="976" spans="2:3">
      <c r="B976" s="1"/>
      <c r="C976" s="2"/>
    </row>
    <row r="977" spans="2:3">
      <c r="B977" s="1"/>
      <c r="C977" s="2"/>
    </row>
    <row r="978" spans="2:3">
      <c r="B978" s="1"/>
      <c r="C978" s="2"/>
    </row>
    <row r="979" spans="2:3">
      <c r="B979" s="1"/>
      <c r="C979" s="2"/>
    </row>
    <row r="980" spans="2:3">
      <c r="B980" s="1"/>
      <c r="C980" s="2"/>
    </row>
    <row r="981" spans="2:3">
      <c r="B981" s="1"/>
      <c r="C981" s="2"/>
    </row>
    <row r="982" spans="2:3">
      <c r="B982" s="1"/>
      <c r="C982" s="2"/>
    </row>
    <row r="983" spans="2:3">
      <c r="B983" s="1"/>
      <c r="C983" s="2"/>
    </row>
    <row r="984" spans="2:3">
      <c r="B984" s="1"/>
      <c r="C984" s="2"/>
    </row>
    <row r="985" spans="2:3">
      <c r="B985" s="1"/>
      <c r="C985" s="2"/>
    </row>
    <row r="986" spans="2:3">
      <c r="B986" s="1"/>
      <c r="C986" s="2"/>
    </row>
    <row r="987" spans="2:3">
      <c r="B987" s="1"/>
      <c r="C987" s="2"/>
    </row>
    <row r="988" spans="2:3">
      <c r="B988" s="1"/>
      <c r="C988" s="2"/>
    </row>
    <row r="989" spans="2:3">
      <c r="B989" s="1"/>
      <c r="C989" s="2"/>
    </row>
    <row r="990" spans="2:3">
      <c r="B990" s="1"/>
      <c r="C990" s="2"/>
    </row>
    <row r="991" spans="2:3">
      <c r="B991" s="1"/>
      <c r="C991" s="2"/>
    </row>
    <row r="992" spans="2:3">
      <c r="B992" s="1"/>
      <c r="C992" s="2"/>
    </row>
    <row r="993" spans="2:3">
      <c r="B993" s="1"/>
      <c r="C993" s="2"/>
    </row>
    <row r="994" spans="2:3">
      <c r="B994" s="1"/>
      <c r="C994" s="2"/>
    </row>
    <row r="995" spans="2:3">
      <c r="B995" s="1"/>
      <c r="C995" s="2"/>
    </row>
    <row r="996" spans="2:3">
      <c r="B996" s="1"/>
      <c r="C996" s="2"/>
    </row>
    <row r="997" spans="2:3">
      <c r="B997" s="1"/>
      <c r="C997" s="2"/>
    </row>
    <row r="998" spans="2:3">
      <c r="B998" s="1"/>
      <c r="C998" s="2"/>
    </row>
    <row r="999" spans="2:3">
      <c r="B999" s="1"/>
      <c r="C999" s="2"/>
    </row>
    <row r="1000" spans="2:3">
      <c r="B1000" s="1"/>
      <c r="C1000" s="2"/>
    </row>
  </sheetData>
  <mergeCells count="1">
    <mergeCell ref="A1:H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I43"/>
  <sheetViews>
    <sheetView showGridLines="0" workbookViewId="0">
      <selection activeCell="F8" sqref="F8"/>
    </sheetView>
  </sheetViews>
  <sheetFormatPr defaultColWidth="0" defaultRowHeight="15" customHeight="1" zeroHeight="1"/>
  <cols>
    <col min="1" max="1" width="4" style="51" customWidth="1"/>
    <col min="2" max="2" width="4.28515625" style="51" customWidth="1"/>
    <col min="3" max="3" width="41.140625" style="51" customWidth="1"/>
    <col min="4" max="4" width="6" style="52" customWidth="1"/>
    <col min="5" max="6" width="10.42578125" style="51" bestFit="1" customWidth="1"/>
    <col min="7" max="7" width="9.42578125" style="51" customWidth="1"/>
    <col min="8" max="8" width="9.42578125" style="51" bestFit="1" customWidth="1"/>
    <col min="9" max="9" width="3.42578125" style="51" customWidth="1"/>
    <col min="10" max="16384" width="9.140625" style="51" hidden="1"/>
  </cols>
  <sheetData>
    <row r="1" spans="2:8" ht="15" customHeight="1"/>
    <row r="2" spans="2:8"/>
    <row r="3" spans="2:8"/>
    <row r="4" spans="2:8" ht="20.25">
      <c r="C4" s="181" t="s">
        <v>249</v>
      </c>
      <c r="D4" s="181"/>
      <c r="E4" s="181"/>
      <c r="F4" s="181"/>
      <c r="G4" s="181"/>
      <c r="H4" s="181"/>
    </row>
    <row r="5" spans="2:8" ht="15.75">
      <c r="G5" s="182" t="str">
        <f>"Đơn vị: "&amp;IF(TONGHOP!G4=1,"Triệu đồng","đồng")</f>
        <v>Đơn vị: Triệu đồng</v>
      </c>
      <c r="H5" s="182"/>
    </row>
    <row r="6" spans="2:8" s="53" customFormat="1" ht="18.75" customHeight="1">
      <c r="B6" s="183" t="s">
        <v>125</v>
      </c>
      <c r="C6" s="185" t="s">
        <v>109</v>
      </c>
      <c r="D6" s="185" t="s">
        <v>197</v>
      </c>
      <c r="E6" s="187" t="str">
        <f>CONCATENATE("Năm"," ",YEAR('BCTC Nam N-1'!B4))</f>
        <v>Năm 1900</v>
      </c>
      <c r="F6" s="185" t="str">
        <f>CONCATENATE("Năm"," ",YEAR('BCTC Nam N'!B4))</f>
        <v>Năm 1900</v>
      </c>
      <c r="G6" s="188" t="str">
        <f>CONCATENATE("So sánh ",RIGHT('BCTC Nam N'!B4,4),"-",RIGHT('BCTC Nam N-1'!B4,4))</f>
        <v>So sánh -</v>
      </c>
      <c r="H6" s="189"/>
    </row>
    <row r="7" spans="2:8" s="53" customFormat="1" ht="17.25" customHeight="1">
      <c r="B7" s="184"/>
      <c r="C7" s="186"/>
      <c r="D7" s="186"/>
      <c r="E7" s="186"/>
      <c r="F7" s="186"/>
      <c r="G7" s="128" t="s">
        <v>250</v>
      </c>
      <c r="H7" s="128" t="s">
        <v>251</v>
      </c>
    </row>
    <row r="8" spans="2:8">
      <c r="B8" s="54">
        <v>1</v>
      </c>
      <c r="C8" s="55" t="s">
        <v>72</v>
      </c>
      <c r="D8" s="56" t="s">
        <v>252</v>
      </c>
      <c r="E8" s="57">
        <f>CAN_DOI!F44</f>
        <v>0</v>
      </c>
      <c r="F8" s="57">
        <f>CAN_DOI!G44</f>
        <v>0</v>
      </c>
      <c r="G8" s="91">
        <f t="shared" ref="G8:G25" si="0">F8-E8</f>
        <v>0</v>
      </c>
      <c r="H8" s="58" t="str">
        <f t="shared" ref="H8:H25" si="1">IFERROR(IF(E8&gt;0,G8/E8,"-"),0)</f>
        <v>-</v>
      </c>
    </row>
    <row r="9" spans="2:8">
      <c r="B9" s="54">
        <v>2</v>
      </c>
      <c r="C9" s="55" t="s">
        <v>232</v>
      </c>
      <c r="D9" s="56" t="s">
        <v>253</v>
      </c>
      <c r="E9" s="57">
        <f>CAN_DOI!F45</f>
        <v>0</v>
      </c>
      <c r="F9" s="57">
        <f>CAN_DOI!G45</f>
        <v>0</v>
      </c>
      <c r="G9" s="91">
        <f t="shared" si="0"/>
        <v>0</v>
      </c>
      <c r="H9" s="58" t="str">
        <f t="shared" si="1"/>
        <v>-</v>
      </c>
    </row>
    <row r="10" spans="2:8" s="63" customFormat="1" ht="28.5">
      <c r="B10" s="59">
        <v>3</v>
      </c>
      <c r="C10" s="60" t="s">
        <v>254</v>
      </c>
      <c r="D10" s="61" t="s">
        <v>26</v>
      </c>
      <c r="E10" s="62">
        <f>E8-E9</f>
        <v>0</v>
      </c>
      <c r="F10" s="62">
        <f>F8-F9</f>
        <v>0</v>
      </c>
      <c r="G10" s="92">
        <f t="shared" si="0"/>
        <v>0</v>
      </c>
      <c r="H10" s="58" t="str">
        <f t="shared" si="1"/>
        <v>-</v>
      </c>
    </row>
    <row r="11" spans="2:8">
      <c r="B11" s="54">
        <v>4</v>
      </c>
      <c r="C11" s="55" t="s">
        <v>74</v>
      </c>
      <c r="D11" s="56">
        <v>11</v>
      </c>
      <c r="E11" s="57">
        <f>CAN_DOI!F47</f>
        <v>0</v>
      </c>
      <c r="F11" s="57">
        <f>CAN_DOI!G47</f>
        <v>0</v>
      </c>
      <c r="G11" s="91">
        <f t="shared" si="0"/>
        <v>0</v>
      </c>
      <c r="H11" s="58" t="str">
        <f t="shared" si="1"/>
        <v>-</v>
      </c>
    </row>
    <row r="12" spans="2:8" s="63" customFormat="1" ht="28.5">
      <c r="B12" s="59">
        <v>5</v>
      </c>
      <c r="C12" s="60" t="s">
        <v>255</v>
      </c>
      <c r="D12" s="61">
        <v>20</v>
      </c>
      <c r="E12" s="62">
        <f>E10-E11</f>
        <v>0</v>
      </c>
      <c r="F12" s="62">
        <f>F10-F11</f>
        <v>0</v>
      </c>
      <c r="G12" s="92">
        <f t="shared" si="0"/>
        <v>0</v>
      </c>
      <c r="H12" s="58" t="str">
        <f t="shared" si="1"/>
        <v>-</v>
      </c>
    </row>
    <row r="13" spans="2:8">
      <c r="B13" s="54">
        <v>6</v>
      </c>
      <c r="C13" s="55" t="s">
        <v>236</v>
      </c>
      <c r="D13" s="56">
        <v>21</v>
      </c>
      <c r="E13" s="57">
        <f>CAN_DOI!F49</f>
        <v>0</v>
      </c>
      <c r="F13" s="57">
        <f>CAN_DOI!G49</f>
        <v>0</v>
      </c>
      <c r="G13" s="91">
        <f t="shared" si="0"/>
        <v>0</v>
      </c>
      <c r="H13" s="58" t="str">
        <f t="shared" si="1"/>
        <v>-</v>
      </c>
    </row>
    <row r="14" spans="2:8">
      <c r="B14" s="54">
        <v>7</v>
      </c>
      <c r="C14" s="55" t="s">
        <v>237</v>
      </c>
      <c r="D14" s="56">
        <v>22</v>
      </c>
      <c r="E14" s="57">
        <f>CAN_DOI!F50</f>
        <v>0</v>
      </c>
      <c r="F14" s="57">
        <f>CAN_DOI!G50</f>
        <v>0</v>
      </c>
      <c r="G14" s="91">
        <f t="shared" si="0"/>
        <v>0</v>
      </c>
      <c r="H14" s="58" t="str">
        <f t="shared" si="1"/>
        <v>-</v>
      </c>
    </row>
    <row r="15" spans="2:8" s="66" customFormat="1">
      <c r="B15" s="64"/>
      <c r="C15" s="65" t="s">
        <v>238</v>
      </c>
      <c r="D15" s="56">
        <v>23</v>
      </c>
      <c r="E15" s="57">
        <f>CAN_DOI!F51</f>
        <v>0</v>
      </c>
      <c r="F15" s="57">
        <f>CAN_DOI!G51</f>
        <v>0</v>
      </c>
      <c r="G15" s="91">
        <f t="shared" si="0"/>
        <v>0</v>
      </c>
      <c r="H15" s="58" t="str">
        <f t="shared" si="1"/>
        <v>-</v>
      </c>
    </row>
    <row r="16" spans="2:8">
      <c r="B16" s="54">
        <v>8</v>
      </c>
      <c r="C16" s="55" t="s">
        <v>239</v>
      </c>
      <c r="D16" s="67" t="s">
        <v>185</v>
      </c>
      <c r="E16" s="57">
        <f>CAN_DOI!F52</f>
        <v>0</v>
      </c>
      <c r="F16" s="57">
        <f>CAN_DOI!G52</f>
        <v>0</v>
      </c>
      <c r="G16" s="91">
        <f t="shared" si="0"/>
        <v>0</v>
      </c>
      <c r="H16" s="58" t="str">
        <f t="shared" si="1"/>
        <v>-</v>
      </c>
    </row>
    <row r="17" spans="2:8">
      <c r="B17" s="54">
        <v>9</v>
      </c>
      <c r="C17" s="55" t="s">
        <v>240</v>
      </c>
      <c r="D17" s="67" t="s">
        <v>186</v>
      </c>
      <c r="E17" s="57">
        <f>CAN_DOI!F53</f>
        <v>0</v>
      </c>
      <c r="F17" s="57">
        <f>CAN_DOI!G53</f>
        <v>0</v>
      </c>
      <c r="G17" s="91">
        <f t="shared" si="0"/>
        <v>0</v>
      </c>
      <c r="H17" s="58" t="str">
        <f t="shared" si="1"/>
        <v>-</v>
      </c>
    </row>
    <row r="18" spans="2:8" s="63" customFormat="1" ht="28.5">
      <c r="B18" s="59">
        <v>10</v>
      </c>
      <c r="C18" s="60" t="s">
        <v>256</v>
      </c>
      <c r="D18" s="61">
        <v>30</v>
      </c>
      <c r="E18" s="62">
        <f>(E12+(E13-E14)-(E16+E17))</f>
        <v>0</v>
      </c>
      <c r="F18" s="62">
        <f>(F12+(F13-F14)-(F16+F17))</f>
        <v>0</v>
      </c>
      <c r="G18" s="92">
        <f t="shared" si="0"/>
        <v>0</v>
      </c>
      <c r="H18" s="58" t="str">
        <f t="shared" si="1"/>
        <v>-</v>
      </c>
    </row>
    <row r="19" spans="2:8">
      <c r="B19" s="54">
        <v>11</v>
      </c>
      <c r="C19" s="55" t="s">
        <v>242</v>
      </c>
      <c r="D19" s="56">
        <v>31</v>
      </c>
      <c r="E19" s="57">
        <f>CAN_DOI!F55</f>
        <v>0</v>
      </c>
      <c r="F19" s="57">
        <f>CAN_DOI!G55</f>
        <v>0</v>
      </c>
      <c r="G19" s="91">
        <f t="shared" si="0"/>
        <v>0</v>
      </c>
      <c r="H19" s="58" t="str">
        <f t="shared" si="1"/>
        <v>-</v>
      </c>
    </row>
    <row r="20" spans="2:8">
      <c r="B20" s="54">
        <v>12</v>
      </c>
      <c r="C20" s="55" t="s">
        <v>243</v>
      </c>
      <c r="D20" s="56">
        <v>32</v>
      </c>
      <c r="E20" s="57">
        <f>CAN_DOI!F56</f>
        <v>0</v>
      </c>
      <c r="F20" s="57">
        <f>CAN_DOI!G56</f>
        <v>0</v>
      </c>
      <c r="G20" s="91">
        <f t="shared" si="0"/>
        <v>0</v>
      </c>
      <c r="H20" s="58" t="str">
        <f t="shared" si="1"/>
        <v>-</v>
      </c>
    </row>
    <row r="21" spans="2:8" s="63" customFormat="1">
      <c r="B21" s="59">
        <v>13</v>
      </c>
      <c r="C21" s="60" t="s">
        <v>257</v>
      </c>
      <c r="D21" s="61">
        <v>40</v>
      </c>
      <c r="E21" s="62">
        <f>E19-E20</f>
        <v>0</v>
      </c>
      <c r="F21" s="62">
        <f>F19-F20</f>
        <v>0</v>
      </c>
      <c r="G21" s="92">
        <f t="shared" si="0"/>
        <v>0</v>
      </c>
      <c r="H21" s="58" t="str">
        <f t="shared" si="1"/>
        <v>-</v>
      </c>
    </row>
    <row r="22" spans="2:8" s="63" customFormat="1">
      <c r="B22" s="59">
        <v>14</v>
      </c>
      <c r="C22" s="60" t="s">
        <v>258</v>
      </c>
      <c r="D22" s="61">
        <v>50</v>
      </c>
      <c r="E22" s="62">
        <f>E18+E21</f>
        <v>0</v>
      </c>
      <c r="F22" s="62">
        <f>F18+F21</f>
        <v>0</v>
      </c>
      <c r="G22" s="92">
        <f t="shared" si="0"/>
        <v>0</v>
      </c>
      <c r="H22" s="58" t="str">
        <f t="shared" si="1"/>
        <v>-</v>
      </c>
    </row>
    <row r="23" spans="2:8">
      <c r="B23" s="54">
        <v>15</v>
      </c>
      <c r="C23" s="55" t="s">
        <v>246</v>
      </c>
      <c r="D23" s="56" t="s">
        <v>193</v>
      </c>
      <c r="E23" s="68">
        <f>CAN_DOI!F59</f>
        <v>0</v>
      </c>
      <c r="F23" s="68">
        <f>CAN_DOI!G59</f>
        <v>0</v>
      </c>
      <c r="G23" s="92">
        <f t="shared" si="0"/>
        <v>0</v>
      </c>
      <c r="H23" s="58" t="str">
        <f t="shared" si="1"/>
        <v>-</v>
      </c>
    </row>
    <row r="24" spans="2:8" ht="15.75" customHeight="1">
      <c r="B24" s="54">
        <v>16</v>
      </c>
      <c r="C24" s="55" t="s">
        <v>247</v>
      </c>
      <c r="D24" s="67" t="s">
        <v>194</v>
      </c>
      <c r="E24" s="68">
        <f>CAN_DOI!F60</f>
        <v>0</v>
      </c>
      <c r="F24" s="68">
        <f>CAN_DOI!G60</f>
        <v>0</v>
      </c>
      <c r="G24" s="92">
        <f t="shared" si="0"/>
        <v>0</v>
      </c>
      <c r="H24" s="58" t="str">
        <f t="shared" si="1"/>
        <v>-</v>
      </c>
    </row>
    <row r="25" spans="2:8" s="63" customFormat="1">
      <c r="B25" s="59">
        <v>17</v>
      </c>
      <c r="C25" s="60" t="s">
        <v>248</v>
      </c>
      <c r="D25" s="69" t="s">
        <v>28</v>
      </c>
      <c r="E25" s="62">
        <f>E22-E23-E24</f>
        <v>0</v>
      </c>
      <c r="F25" s="62">
        <f>F22-F23-F24</f>
        <v>0</v>
      </c>
      <c r="G25" s="92">
        <f t="shared" si="0"/>
        <v>0</v>
      </c>
      <c r="H25" s="58" t="str">
        <f t="shared" si="1"/>
        <v>-</v>
      </c>
    </row>
    <row r="26" spans="2:8"/>
    <row r="27" spans="2:8">
      <c r="B27" s="157" t="s">
        <v>259</v>
      </c>
      <c r="C27" s="157"/>
      <c r="D27" s="137"/>
      <c r="E27" s="138">
        <f>E10+E13+E19</f>
        <v>0</v>
      </c>
      <c r="F27" s="138">
        <f>F10+F13+F19</f>
        <v>0</v>
      </c>
    </row>
    <row r="28" spans="2:8">
      <c r="B28" s="156" t="s">
        <v>260</v>
      </c>
      <c r="C28" s="156"/>
      <c r="D28" s="137"/>
      <c r="E28" s="139">
        <f>E29+E30</f>
        <v>0</v>
      </c>
      <c r="F28" s="139">
        <f>F29+F30</f>
        <v>0</v>
      </c>
    </row>
    <row r="29" spans="2:8">
      <c r="B29" s="140"/>
      <c r="C29" s="140" t="s">
        <v>261</v>
      </c>
      <c r="D29" s="137"/>
      <c r="E29" s="139">
        <f>E22+E15</f>
        <v>0</v>
      </c>
      <c r="F29" s="139">
        <f>F22+F15</f>
        <v>0</v>
      </c>
    </row>
    <row r="30" spans="2:8" s="71" customFormat="1">
      <c r="B30" s="140"/>
      <c r="C30" s="140" t="s">
        <v>262</v>
      </c>
      <c r="D30" s="137"/>
      <c r="E30" s="139">
        <f>(('BCTC Nam N-2'!C53-'BCTC Nam N-1'!C53)+('BCTC Nam N-2'!C59-'BCTC Nam N-1'!C59)+('BCTC Nam N-2'!C56-'BCTC Nam N-1'!C56))/1000000</f>
        <v>0</v>
      </c>
      <c r="F30" s="139">
        <f>(CAN_DOI!F15-CAN_DOI!G15)+(CAN_DOI!F18-CAN_DOI!G18)</f>
        <v>0</v>
      </c>
    </row>
    <row r="31" spans="2:8">
      <c r="B31" s="140"/>
      <c r="C31" s="141" t="s">
        <v>263</v>
      </c>
      <c r="D31" s="137"/>
      <c r="E31" s="138">
        <f>E25+E30</f>
        <v>0</v>
      </c>
      <c r="F31" s="138">
        <f>F25+F30</f>
        <v>0</v>
      </c>
    </row>
    <row r="32" spans="2:8">
      <c r="B32" s="142"/>
      <c r="C32" s="143"/>
      <c r="D32" s="144"/>
      <c r="E32" s="145"/>
      <c r="F32" s="145"/>
    </row>
    <row r="33" spans="2:6">
      <c r="B33" s="142"/>
      <c r="C33" s="146" t="s">
        <v>264</v>
      </c>
      <c r="D33" s="144"/>
      <c r="E33" s="147"/>
      <c r="F33" s="147"/>
    </row>
    <row r="34" spans="2:6" s="63" customFormat="1">
      <c r="B34" s="148"/>
      <c r="C34" s="149" t="s">
        <v>265</v>
      </c>
      <c r="D34" s="150"/>
      <c r="E34" s="151">
        <f>YEAR('BCTC Nam N-1'!B4)</f>
        <v>1900</v>
      </c>
      <c r="F34" s="151">
        <f>YEAR('BCTC Nam N'!B4)</f>
        <v>1900</v>
      </c>
    </row>
    <row r="35" spans="2:6">
      <c r="B35" s="142"/>
      <c r="C35" s="152" t="s">
        <v>266</v>
      </c>
      <c r="D35" s="144"/>
      <c r="E35" s="147" t="e">
        <f>E12/E10</f>
        <v>#DIV/0!</v>
      </c>
      <c r="F35" s="147" t="e">
        <f>F12/F10</f>
        <v>#DIV/0!</v>
      </c>
    </row>
    <row r="36" spans="2:6" hidden="1">
      <c r="B36" s="142"/>
      <c r="C36" s="152" t="s">
        <v>267</v>
      </c>
      <c r="D36" s="144"/>
      <c r="E36" s="153"/>
      <c r="F36" s="153"/>
    </row>
    <row r="37" spans="2:6">
      <c r="B37" s="142"/>
      <c r="C37" s="152" t="s">
        <v>268</v>
      </c>
      <c r="D37" s="144"/>
      <c r="E37" s="153" t="e">
        <f>E25/E27</f>
        <v>#DIV/0!</v>
      </c>
      <c r="F37" s="153" t="e">
        <f>F25/F27</f>
        <v>#DIV/0!</v>
      </c>
    </row>
    <row r="38" spans="2:6" s="63" customFormat="1">
      <c r="B38" s="148"/>
      <c r="C38" s="154" t="s">
        <v>269</v>
      </c>
      <c r="D38" s="150"/>
      <c r="E38" s="155">
        <f>YEAR('BCTC Nam N-1'!B4)</f>
        <v>1900</v>
      </c>
      <c r="F38" s="155">
        <f>YEAR('BCTC Nam N'!B4)</f>
        <v>1900</v>
      </c>
    </row>
    <row r="39" spans="2:6">
      <c r="B39" s="152"/>
      <c r="C39" s="152" t="s">
        <v>270</v>
      </c>
      <c r="D39" s="144"/>
      <c r="E39" s="147" t="e">
        <f>E11/E10</f>
        <v>#DIV/0!</v>
      </c>
      <c r="F39" s="147" t="e">
        <f>F11/F10</f>
        <v>#DIV/0!</v>
      </c>
    </row>
    <row r="40" spans="2:6">
      <c r="B40" s="152"/>
      <c r="C40" s="152" t="s">
        <v>271</v>
      </c>
      <c r="D40" s="144"/>
      <c r="E40" s="153" t="e">
        <f>E14/E10</f>
        <v>#DIV/0!</v>
      </c>
      <c r="F40" s="153" t="e">
        <f>F14/F10</f>
        <v>#DIV/0!</v>
      </c>
    </row>
    <row r="41" spans="2:6">
      <c r="B41" s="152"/>
      <c r="C41" s="152" t="s">
        <v>272</v>
      </c>
      <c r="D41" s="144"/>
      <c r="E41" s="153" t="e">
        <f>E16/E10</f>
        <v>#DIV/0!</v>
      </c>
      <c r="F41" s="153" t="e">
        <f>F16/F10</f>
        <v>#DIV/0!</v>
      </c>
    </row>
    <row r="42" spans="2:6">
      <c r="B42" s="152"/>
      <c r="C42" s="152" t="s">
        <v>273</v>
      </c>
      <c r="D42" s="144"/>
      <c r="E42" s="153" t="e">
        <f>E17/E10</f>
        <v>#DIV/0!</v>
      </c>
      <c r="F42" s="153" t="e">
        <f>F17/F10</f>
        <v>#DIV/0!</v>
      </c>
    </row>
    <row r="43" spans="2:6" ht="15.75">
      <c r="B43" s="72"/>
      <c r="C43" s="72"/>
      <c r="D43" s="70"/>
      <c r="E43" s="73"/>
      <c r="F43" s="73"/>
    </row>
  </sheetData>
  <mergeCells count="8">
    <mergeCell ref="C4:H4"/>
    <mergeCell ref="G5:H5"/>
    <mergeCell ref="B6:B7"/>
    <mergeCell ref="C6:C7"/>
    <mergeCell ref="D6:D7"/>
    <mergeCell ref="E6:E7"/>
    <mergeCell ref="F6:F7"/>
    <mergeCell ref="G6:H6"/>
  </mergeCells>
  <pageMargins left="0.39" right="0.39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50"/>
  </sheetPr>
  <dimension ref="A1:H29"/>
  <sheetViews>
    <sheetView showGridLines="0" zoomScale="85" zoomScaleNormal="85" workbookViewId="0">
      <selection activeCell="G14" sqref="G14"/>
    </sheetView>
  </sheetViews>
  <sheetFormatPr defaultColWidth="0" defaultRowHeight="15" customHeight="1" zeroHeight="1"/>
  <cols>
    <col min="1" max="1" width="5.28515625" style="29" customWidth="1"/>
    <col min="2" max="2" width="49.5703125" style="29" bestFit="1" customWidth="1"/>
    <col min="3" max="3" width="11.85546875" style="29" customWidth="1"/>
    <col min="4" max="4" width="11.28515625" style="29" bestFit="1" customWidth="1"/>
    <col min="5" max="5" width="18.85546875" style="29" bestFit="1" customWidth="1"/>
    <col min="6" max="6" width="3.7109375" style="30" customWidth="1"/>
    <col min="7" max="7" width="69.7109375" style="29" bestFit="1" customWidth="1"/>
    <col min="8" max="8" width="4.42578125" style="29" customWidth="1"/>
    <col min="9" max="16384" width="8.85546875" style="29" hidden="1"/>
  </cols>
  <sheetData>
    <row r="1" spans="1:7"/>
    <row r="2" spans="1:7"/>
    <row r="3" spans="1:7"/>
    <row r="4" spans="1:7" ht="20.25" customHeight="1">
      <c r="A4" s="190" t="s">
        <v>274</v>
      </c>
      <c r="B4" s="190"/>
      <c r="C4" s="190"/>
      <c r="D4" s="190"/>
      <c r="E4" s="190"/>
      <c r="F4" s="31"/>
      <c r="G4" s="31"/>
    </row>
    <row r="5" spans="1:7" ht="11.25" customHeight="1">
      <c r="A5" s="32"/>
      <c r="B5" s="32"/>
      <c r="C5" s="32"/>
      <c r="D5" s="32"/>
      <c r="E5" s="32"/>
      <c r="F5" s="31"/>
      <c r="G5" s="31"/>
    </row>
    <row r="6" spans="1:7" s="33" customFormat="1" ht="30" customHeight="1">
      <c r="A6" s="93" t="s">
        <v>125</v>
      </c>
      <c r="B6" s="94" t="s">
        <v>109</v>
      </c>
      <c r="C6" s="95" t="str">
        <f>KETQUA_KD!E6</f>
        <v>Năm 1900</v>
      </c>
      <c r="D6" s="95" t="str">
        <f>KETQUA_KD!F6</f>
        <v>Năm 1900</v>
      </c>
      <c r="E6" s="96" t="str">
        <f>CONCATENATE("So sánh ",RIGHT('BCTC Nam N'!B4,4),"-",RIGHT('BCTC Nam N-1'!B4,4))</f>
        <v>So sánh -</v>
      </c>
      <c r="F6" s="97"/>
      <c r="G6" s="35" t="s">
        <v>131</v>
      </c>
    </row>
    <row r="7" spans="1:7" ht="19.5" customHeight="1">
      <c r="A7" s="74" t="s">
        <v>111</v>
      </c>
      <c r="B7" s="79" t="s">
        <v>132</v>
      </c>
      <c r="C7" s="80"/>
      <c r="D7" s="81"/>
      <c r="E7" s="81"/>
      <c r="F7" s="34"/>
      <c r="G7" s="35"/>
    </row>
    <row r="8" spans="1:7" ht="20.25" customHeight="1">
      <c r="A8" s="75">
        <v>1</v>
      </c>
      <c r="B8" s="82" t="s">
        <v>133</v>
      </c>
      <c r="C8" s="83">
        <f>IFERROR(CAN_DOI!F5/CAN_DOI!F24,0)</f>
        <v>0</v>
      </c>
      <c r="D8" s="83">
        <f>IFERROR(CAN_DOI!G5/CAN_DOI!G24,0)</f>
        <v>0</v>
      </c>
      <c r="E8" s="90">
        <f>D8-C8</f>
        <v>0</v>
      </c>
      <c r="F8" s="36"/>
      <c r="G8" s="37" t="s">
        <v>134</v>
      </c>
    </row>
    <row r="9" spans="1:7" ht="20.25" customHeight="1">
      <c r="A9" s="76">
        <v>2</v>
      </c>
      <c r="B9" s="82" t="s">
        <v>135</v>
      </c>
      <c r="C9" s="84">
        <f>IFERROR((CAN_DOI!F5-CAN_DOI!F9)/CAN_DOI!F24,0)</f>
        <v>0</v>
      </c>
      <c r="D9" s="84">
        <f>IFERROR((CAN_DOI!G5-CAN_DOI!G9)/CAN_DOI!G24,0)</f>
        <v>0</v>
      </c>
      <c r="E9" s="90">
        <f>D9-C9</f>
        <v>0</v>
      </c>
      <c r="F9" s="36"/>
      <c r="G9" s="37" t="s">
        <v>136</v>
      </c>
    </row>
    <row r="10" spans="1:7" ht="20.25" customHeight="1">
      <c r="A10" s="76">
        <v>3</v>
      </c>
      <c r="B10" s="82" t="s">
        <v>137</v>
      </c>
      <c r="C10" s="84">
        <f>IFERROR(CAN_DOI!F6/CAN_DOI!F24,0)</f>
        <v>0</v>
      </c>
      <c r="D10" s="84">
        <f>IFERROR(CAN_DOI!G6/CAN_DOI!G24,0)</f>
        <v>0</v>
      </c>
      <c r="E10" s="90">
        <f>D10-C10</f>
        <v>0</v>
      </c>
      <c r="F10" s="36"/>
      <c r="G10" s="38" t="s">
        <v>138</v>
      </c>
    </row>
    <row r="11" spans="1:7" s="39" customFormat="1" ht="20.25" customHeight="1">
      <c r="A11" s="76">
        <v>4</v>
      </c>
      <c r="B11" s="82" t="s">
        <v>139</v>
      </c>
      <c r="C11" s="84">
        <f>IFERROR((CAN_DOI!F58+CAN_DOI!F51)/CAN_DOI!F51,0)</f>
        <v>0</v>
      </c>
      <c r="D11" s="84">
        <f>IFERROR((CAN_DOI!G58+CAN_DOI!G51)/CAN_DOI!G51,0)</f>
        <v>0</v>
      </c>
      <c r="E11" s="90">
        <f>D11-C11</f>
        <v>0</v>
      </c>
      <c r="F11" s="36"/>
      <c r="G11" s="38" t="s">
        <v>140</v>
      </c>
    </row>
    <row r="12" spans="1:7" s="41" customFormat="1" ht="20.25" customHeight="1">
      <c r="A12" s="77" t="s">
        <v>118</v>
      </c>
      <c r="B12" s="85" t="s">
        <v>141</v>
      </c>
      <c r="C12" s="86"/>
      <c r="D12" s="86"/>
      <c r="E12" s="90"/>
      <c r="F12" s="34"/>
      <c r="G12" s="40"/>
    </row>
    <row r="13" spans="1:7" s="41" customFormat="1" ht="20.25" customHeight="1">
      <c r="A13" s="78">
        <v>1</v>
      </c>
      <c r="B13" s="87" t="s">
        <v>142</v>
      </c>
      <c r="C13" s="83">
        <f>IFERROR(CAN_DOI!F32/CAN_DOI!F39,0)</f>
        <v>0</v>
      </c>
      <c r="D13" s="83">
        <f>IFERROR(CAN_DOI!G32/CAN_DOI!G39,0)</f>
        <v>0</v>
      </c>
      <c r="E13" s="90">
        <f>D13-C13</f>
        <v>0</v>
      </c>
      <c r="F13" s="42"/>
      <c r="G13" s="43" t="s">
        <v>143</v>
      </c>
    </row>
    <row r="14" spans="1:7" s="41" customFormat="1" ht="20.25" customHeight="1">
      <c r="A14" s="78">
        <v>2</v>
      </c>
      <c r="B14" s="87" t="s">
        <v>144</v>
      </c>
      <c r="C14" s="83">
        <f>IFERROR(CAN_DOI!F23/CAN_DOI!F32,0)</f>
        <v>0</v>
      </c>
      <c r="D14" s="83">
        <f>IFERROR(CAN_DOI!G23/CAN_DOI!G32,0)</f>
        <v>0</v>
      </c>
      <c r="E14" s="90">
        <f>D14-C14</f>
        <v>0</v>
      </c>
      <c r="F14" s="42"/>
      <c r="G14" s="44" t="s">
        <v>145</v>
      </c>
    </row>
    <row r="15" spans="1:7" s="41" customFormat="1" ht="20.25" customHeight="1">
      <c r="A15" s="77" t="s">
        <v>146</v>
      </c>
      <c r="B15" s="85" t="s">
        <v>147</v>
      </c>
      <c r="C15" s="86"/>
      <c r="D15" s="86"/>
      <c r="E15" s="90"/>
      <c r="F15" s="34"/>
      <c r="G15" s="40"/>
    </row>
    <row r="16" spans="1:7" ht="20.25" customHeight="1">
      <c r="A16" s="76">
        <v>1</v>
      </c>
      <c r="B16" s="82" t="s">
        <v>148</v>
      </c>
      <c r="C16" s="84">
        <f>IFERROR(ROUNDUP(CAN_DOI!F46/((CAN_DOI!E5+CAN_DOI!F5)/2),2),0)</f>
        <v>0</v>
      </c>
      <c r="D16" s="84">
        <f>IFERROR(ROUNDUP(CAN_DOI!G46/((CAN_DOI!F5+CAN_DOI!G5)/2),2),0)</f>
        <v>0</v>
      </c>
      <c r="E16" s="90">
        <f>D16-C16</f>
        <v>0</v>
      </c>
      <c r="F16" s="36"/>
      <c r="G16" s="38" t="s">
        <v>149</v>
      </c>
    </row>
    <row r="17" spans="1:7" ht="20.25" customHeight="1">
      <c r="A17" s="76">
        <v>2</v>
      </c>
      <c r="B17" s="82" t="s">
        <v>150</v>
      </c>
      <c r="C17" s="84">
        <f>IFERROR((CAN_DOI!F47/((CAN_DOI!E9+CAN_DOI!F9)/2)),0)</f>
        <v>0</v>
      </c>
      <c r="D17" s="84">
        <f>IFERROR((CAN_DOI!G47/((CAN_DOI!F9+CAN_DOI!G9)/2)),0)</f>
        <v>0</v>
      </c>
      <c r="E17" s="90">
        <f>D17-C17</f>
        <v>0</v>
      </c>
      <c r="F17" s="36"/>
      <c r="G17" s="38" t="s">
        <v>151</v>
      </c>
    </row>
    <row r="18" spans="1:7" ht="20.25" customHeight="1">
      <c r="A18" s="76">
        <v>3</v>
      </c>
      <c r="B18" s="82" t="s">
        <v>152</v>
      </c>
      <c r="C18" s="84">
        <f>IFERROR((CAN_DOI!F46/((CAN_DOI!E8+CAN_DOI!F8)/2)),0)</f>
        <v>0</v>
      </c>
      <c r="D18" s="84">
        <f>IFERROR((CAN_DOI!G46/((CAN_DOI!F8+CAN_DOI!G8)/2)),0)</f>
        <v>0</v>
      </c>
      <c r="E18" s="90">
        <f>D18-C18</f>
        <v>0</v>
      </c>
      <c r="F18" s="36"/>
      <c r="G18" s="38" t="s">
        <v>153</v>
      </c>
    </row>
    <row r="19" spans="1:7" ht="20.25" customHeight="1">
      <c r="A19" s="76">
        <v>4</v>
      </c>
      <c r="B19" s="82" t="s">
        <v>154</v>
      </c>
      <c r="C19" s="84">
        <f>IFERROR((KETQUA_KD!E27/((CAN_DOI!E11+CAN_DOI!F11)/2)),0)</f>
        <v>0</v>
      </c>
      <c r="D19" s="84">
        <f>IFERROR((KETQUA_KD!F27/((CAN_DOI!F11+CAN_DOI!G11)/2)),0)</f>
        <v>0</v>
      </c>
      <c r="E19" s="90">
        <f>D19-C19</f>
        <v>0</v>
      </c>
      <c r="F19" s="36"/>
      <c r="G19" s="38" t="s">
        <v>155</v>
      </c>
    </row>
    <row r="20" spans="1:7" ht="20.25" customHeight="1">
      <c r="A20" s="76">
        <v>5</v>
      </c>
      <c r="B20" s="82" t="s">
        <v>156</v>
      </c>
      <c r="C20" s="84">
        <f>IFERROR((KETQUA_KD!E27/((CAN_DOI!E22+CAN_DOI!F22)/2)),0)</f>
        <v>0</v>
      </c>
      <c r="D20" s="84">
        <f>IFERROR((KETQUA_KD!F27/((CAN_DOI!F22+CAN_DOI!G22)/2)),0)</f>
        <v>0</v>
      </c>
      <c r="E20" s="90">
        <f>D20-C20</f>
        <v>0</v>
      </c>
      <c r="F20" s="36"/>
      <c r="G20" s="38" t="s">
        <v>157</v>
      </c>
    </row>
    <row r="21" spans="1:7" s="41" customFormat="1" ht="20.25" customHeight="1">
      <c r="A21" s="77" t="s">
        <v>158</v>
      </c>
      <c r="B21" s="85" t="s">
        <v>159</v>
      </c>
      <c r="C21" s="88"/>
      <c r="D21" s="88"/>
      <c r="E21" s="90"/>
      <c r="F21" s="45"/>
      <c r="G21" s="46"/>
    </row>
    <row r="22" spans="1:7" s="41" customFormat="1" ht="20.25" customHeight="1">
      <c r="A22" s="78">
        <v>1</v>
      </c>
      <c r="B22" s="87" t="s">
        <v>160</v>
      </c>
      <c r="C22" s="89">
        <f>IFERROR(CAN_DOI!F61/KETQUA_KD!E27,0)</f>
        <v>0</v>
      </c>
      <c r="D22" s="89">
        <f>IFERROR(CAN_DOI!G61/KETQUA_KD!F27,0)</f>
        <v>0</v>
      </c>
      <c r="E22" s="90">
        <f>D22-C22</f>
        <v>0</v>
      </c>
      <c r="F22" s="47"/>
      <c r="G22" s="48" t="s">
        <v>161</v>
      </c>
    </row>
    <row r="23" spans="1:7" s="41" customFormat="1" ht="20.25" customHeight="1">
      <c r="A23" s="78">
        <v>2</v>
      </c>
      <c r="B23" s="87" t="s">
        <v>162</v>
      </c>
      <c r="C23" s="89">
        <f>IFERROR((CAN_DOI!F61/((CAN_DOI!E22+CAN_DOI!F22)/2)),0)</f>
        <v>0</v>
      </c>
      <c r="D23" s="89">
        <f>IFERROR((CAN_DOI!G61/((CAN_DOI!F22+CAN_DOI!G22)/2)),0)</f>
        <v>0</v>
      </c>
      <c r="E23" s="90">
        <f>D23-C23</f>
        <v>0</v>
      </c>
      <c r="F23" s="47"/>
      <c r="G23" s="48" t="s">
        <v>163</v>
      </c>
    </row>
    <row r="24" spans="1:7" s="41" customFormat="1" ht="20.25" customHeight="1">
      <c r="A24" s="78">
        <v>3</v>
      </c>
      <c r="B24" s="87" t="s">
        <v>164</v>
      </c>
      <c r="C24" s="89">
        <f>IFERROR((CAN_DOI!F61/((CAN_DOI!E32+CAN_DOI!F32)/2)),0)</f>
        <v>0</v>
      </c>
      <c r="D24" s="89">
        <f>IFERROR((CAN_DOI!G61/((CAN_DOI!F32+CAN_DOI!G32)/2)),0)</f>
        <v>0</v>
      </c>
      <c r="E24" s="90">
        <f>D24-C24</f>
        <v>0</v>
      </c>
      <c r="F24" s="47"/>
      <c r="G24" s="48" t="s">
        <v>165</v>
      </c>
    </row>
    <row r="25" spans="1:7" s="41" customFormat="1" ht="20.25" customHeight="1">
      <c r="A25" s="78">
        <v>4</v>
      </c>
      <c r="B25" s="87" t="s">
        <v>166</v>
      </c>
      <c r="C25" s="89">
        <f>IFERROR((CAN_DOI!F58+CAN_DOI!F51)/CAN_DOI!F22,0)</f>
        <v>0</v>
      </c>
      <c r="D25" s="89">
        <f>IFERROR((CAN_DOI!G58+CAN_DOI!G51)/CAN_DOI!G22,0)</f>
        <v>0</v>
      </c>
      <c r="E25" s="90">
        <f>D25-C25</f>
        <v>0</v>
      </c>
      <c r="F25" s="47"/>
      <c r="G25" s="48" t="s">
        <v>167</v>
      </c>
    </row>
    <row r="26" spans="1:7" s="41" customFormat="1">
      <c r="F26" s="49"/>
    </row>
    <row r="27" spans="1:7" s="41" customFormat="1" hidden="1">
      <c r="D27" s="50"/>
      <c r="E27" s="50"/>
      <c r="F27" s="49"/>
    </row>
    <row r="28" spans="1:7" s="41" customFormat="1" hidden="1">
      <c r="F28" s="49"/>
    </row>
    <row r="29" spans="1:7" s="41" customFormat="1" hidden="1">
      <c r="F29" s="49"/>
    </row>
  </sheetData>
  <mergeCells count="1">
    <mergeCell ref="A4:E4"/>
  </mergeCells>
  <pageMargins left="0.7" right="0.7" top="0.75" bottom="0.75" header="0.3" footer="0.3"/>
  <pageSetup paperSize="9" orientation="portrait" verticalDpi="0" r:id="rId1"/>
  <ignoredErrors>
    <ignoredError sqref="E6" unlocked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00"/>
  </sheetPr>
  <dimension ref="A1:K64"/>
  <sheetViews>
    <sheetView showGridLines="0" zoomScale="85" zoomScaleNormal="85" workbookViewId="0">
      <pane ySplit="4" topLeftCell="A35" activePane="bottomLeft" state="frozen"/>
      <selection pane="bottomLeft" activeCell="G21" sqref="G21"/>
    </sheetView>
  </sheetViews>
  <sheetFormatPr defaultColWidth="0" defaultRowHeight="15" customHeight="1" zeroHeight="1"/>
  <cols>
    <col min="1" max="1" width="3.85546875" style="115" customWidth="1"/>
    <col min="2" max="2" width="4.85546875" style="115" customWidth="1"/>
    <col min="3" max="3" width="47.7109375" style="115" customWidth="1"/>
    <col min="4" max="4" width="7.7109375" style="115" customWidth="1"/>
    <col min="5" max="7" width="13.42578125" style="115" customWidth="1"/>
    <col min="8" max="8" width="4.42578125" style="115" customWidth="1"/>
    <col min="9" max="9" width="10.28515625" style="115" hidden="1" customWidth="1"/>
    <col min="10" max="10" width="47.28515625" style="115" hidden="1" customWidth="1"/>
    <col min="11" max="11" width="26.42578125" style="115" hidden="1" customWidth="1"/>
    <col min="12" max="16384" width="8.85546875" style="115" hidden="1"/>
  </cols>
  <sheetData>
    <row r="1" spans="2:8"/>
    <row r="2" spans="2:8"/>
    <row r="3" spans="2:8" ht="28.5" customHeight="1">
      <c r="B3" s="194" t="s">
        <v>195</v>
      </c>
      <c r="C3" s="194"/>
      <c r="D3" s="194"/>
      <c r="E3" s="194"/>
      <c r="F3" s="194"/>
      <c r="G3" s="194"/>
    </row>
    <row r="4" spans="2:8" ht="22.5" customHeight="1">
      <c r="B4" s="94" t="s">
        <v>125</v>
      </c>
      <c r="C4" s="94" t="s">
        <v>196</v>
      </c>
      <c r="D4" s="94" t="s">
        <v>197</v>
      </c>
      <c r="E4" s="98">
        <f>'BCTC Nam N-2'!B4</f>
        <v>0</v>
      </c>
      <c r="F4" s="98">
        <f>'BCTC Nam N-1'!B4</f>
        <v>0</v>
      </c>
      <c r="G4" s="98">
        <f>'BCTC Nam N'!B4</f>
        <v>0</v>
      </c>
      <c r="H4" s="116"/>
    </row>
    <row r="5" spans="2:8">
      <c r="B5" s="99" t="s">
        <v>198</v>
      </c>
      <c r="C5" s="100" t="s">
        <v>199</v>
      </c>
      <c r="D5" s="101" t="s">
        <v>0</v>
      </c>
      <c r="E5" s="129">
        <f>IFERROR((VLOOKUP(D5,'BCTC Nam N-2'!$B$15:$C$131,2,0))/1000000,0)</f>
        <v>0</v>
      </c>
      <c r="F5" s="129">
        <f>IFERROR((VLOOKUP(D5,'BCTC Nam N-1'!$B$15:$C$131,2,0))/1000000,0)</f>
        <v>0</v>
      </c>
      <c r="G5" s="129">
        <f>IFERROR((VLOOKUP(D5,'BCTC Nam N'!$B$15:$C$131,2,0))/1000000,0)</f>
        <v>0</v>
      </c>
    </row>
    <row r="6" spans="2:8">
      <c r="B6" s="102" t="s">
        <v>111</v>
      </c>
      <c r="C6" s="103" t="s">
        <v>200</v>
      </c>
      <c r="D6" s="101" t="s">
        <v>1</v>
      </c>
      <c r="E6" s="129">
        <f>IFERROR((VLOOKUP(D6,'BCTC Nam N-2'!$B$15:$C$131,2,0))/1000000,0)</f>
        <v>0</v>
      </c>
      <c r="F6" s="129">
        <f>IFERROR((VLOOKUP(D6,'BCTC Nam N-1'!$B$15:$C$131,2,0))/1000000,0)</f>
        <v>0</v>
      </c>
      <c r="G6" s="129">
        <f>IFERROR((VLOOKUP(D6,'BCTC Nam N'!$B$15:$C$131,2,0))/1000000,0)</f>
        <v>0</v>
      </c>
    </row>
    <row r="7" spans="2:8">
      <c r="B7" s="102" t="s">
        <v>118</v>
      </c>
      <c r="C7" s="103" t="s">
        <v>201</v>
      </c>
      <c r="D7" s="101" t="s">
        <v>2</v>
      </c>
      <c r="E7" s="129">
        <f>IFERROR((VLOOKUP(D7,'BCTC Nam N-2'!$B$15:$C$131,2,0))/1000000,0)</f>
        <v>0</v>
      </c>
      <c r="F7" s="129">
        <f>IFERROR((VLOOKUP(D7,'BCTC Nam N-1'!$B$15:$C$131,2,0))/1000000,0)</f>
        <v>0</v>
      </c>
      <c r="G7" s="129">
        <f>IFERROR((VLOOKUP(D7,'BCTC Nam N'!$B$15:$C$131,2,0))/1000000,0)</f>
        <v>0</v>
      </c>
    </row>
    <row r="8" spans="2:8">
      <c r="B8" s="102" t="s">
        <v>146</v>
      </c>
      <c r="C8" s="103" t="s">
        <v>50</v>
      </c>
      <c r="D8" s="101" t="s">
        <v>3</v>
      </c>
      <c r="E8" s="129">
        <f>IFERROR((VLOOKUP(D8,'BCTC Nam N-2'!$B$15:$C$131,2,0))/1000000,0)</f>
        <v>0</v>
      </c>
      <c r="F8" s="129">
        <f>IFERROR((VLOOKUP(D8,'BCTC Nam N-1'!$B$15:$C$131,2,0))/1000000,0)</f>
        <v>0</v>
      </c>
      <c r="G8" s="129">
        <f>IFERROR((VLOOKUP(D8,'BCTC Nam N'!$B$15:$C$131,2,0))/1000000,0)</f>
        <v>0</v>
      </c>
    </row>
    <row r="9" spans="2:8">
      <c r="B9" s="102" t="s">
        <v>158</v>
      </c>
      <c r="C9" s="103" t="s">
        <v>202</v>
      </c>
      <c r="D9" s="101" t="s">
        <v>7</v>
      </c>
      <c r="E9" s="129">
        <f>IFERROR((VLOOKUP(D9,'BCTC Nam N-2'!$B$15:$C$131,2,0))/1000000,0)</f>
        <v>0</v>
      </c>
      <c r="F9" s="129">
        <f>IFERROR((VLOOKUP(D9,'BCTC Nam N-1'!$B$15:$C$131,2,0))/1000000,0)</f>
        <v>0</v>
      </c>
      <c r="G9" s="129">
        <f>IFERROR((VLOOKUP(D9,'BCTC Nam N'!$B$15:$C$131,2,0))/1000000,0)</f>
        <v>0</v>
      </c>
    </row>
    <row r="10" spans="2:8">
      <c r="B10" s="102" t="s">
        <v>203</v>
      </c>
      <c r="C10" s="103" t="s">
        <v>204</v>
      </c>
      <c r="D10" s="101" t="s">
        <v>8</v>
      </c>
      <c r="E10" s="129">
        <f>IFERROR((VLOOKUP(D10,'BCTC Nam N-2'!$B$15:$C$131,2,0))/1000000,0)</f>
        <v>0</v>
      </c>
      <c r="F10" s="129">
        <f>IFERROR((VLOOKUP(D10,'BCTC Nam N-1'!$B$15:$C$131,2,0))/1000000,0)</f>
        <v>0</v>
      </c>
      <c r="G10" s="129">
        <f>IFERROR((VLOOKUP(D10,'BCTC Nam N'!$B$15:$C$131,2,0))/1000000,0)</f>
        <v>0</v>
      </c>
    </row>
    <row r="11" spans="2:8">
      <c r="B11" s="99" t="s">
        <v>205</v>
      </c>
      <c r="C11" s="100" t="s">
        <v>206</v>
      </c>
      <c r="D11" s="104" t="s">
        <v>9</v>
      </c>
      <c r="E11" s="129">
        <f>IFERROR((VLOOKUP(D11,'BCTC Nam N-2'!$B$15:$C$131,2,0))/1000000,0)</f>
        <v>0</v>
      </c>
      <c r="F11" s="129">
        <f>IFERROR((VLOOKUP(D11,'BCTC Nam N-1'!$B$15:$C$131,2,0))/1000000,0)</f>
        <v>0</v>
      </c>
      <c r="G11" s="129">
        <f>IFERROR((VLOOKUP(D11,'BCTC Nam N'!$B$15:$C$131,2,0))/1000000,0)</f>
        <v>0</v>
      </c>
    </row>
    <row r="12" spans="2:8">
      <c r="B12" s="102" t="s">
        <v>111</v>
      </c>
      <c r="C12" s="103" t="s">
        <v>207</v>
      </c>
      <c r="D12" s="104" t="s">
        <v>10</v>
      </c>
      <c r="E12" s="129">
        <f>IFERROR((VLOOKUP(D12,'BCTC Nam N-2'!$B$15:$C$131,2,0))/1000000,0)</f>
        <v>0</v>
      </c>
      <c r="F12" s="129">
        <f>IFERROR((VLOOKUP(D12,'BCTC Nam N-1'!$B$15:$C$131,2,0))/1000000,0)</f>
        <v>0</v>
      </c>
      <c r="G12" s="129">
        <f>IFERROR((VLOOKUP(D12,'BCTC Nam N'!$B$15:$C$131,2,0))/1000000,0)</f>
        <v>0</v>
      </c>
    </row>
    <row r="13" spans="2:8" s="117" customFormat="1">
      <c r="B13" s="102" t="s">
        <v>118</v>
      </c>
      <c r="C13" s="103" t="s">
        <v>208</v>
      </c>
      <c r="D13" s="104" t="s">
        <v>168</v>
      </c>
      <c r="E13" s="129">
        <f>IFERROR((VLOOKUP(D13,'BCTC Nam N-2'!$B$15:$C$131,2,0))/1000000,0)</f>
        <v>0</v>
      </c>
      <c r="F13" s="129">
        <f>IFERROR((VLOOKUP(D13,'BCTC Nam N-1'!$B$15:$C$131,2,0))/1000000,0)</f>
        <v>0</v>
      </c>
      <c r="G13" s="129">
        <f>IFERROR((VLOOKUP(D13,'BCTC Nam N'!$B$15:$C$131,2,0))/1000000,0)</f>
        <v>0</v>
      </c>
    </row>
    <row r="14" spans="2:8">
      <c r="B14" s="105"/>
      <c r="C14" s="130" t="s">
        <v>209</v>
      </c>
      <c r="D14" s="104"/>
      <c r="E14" s="129">
        <f>('BCTC Nam N-2'!C52+'BCTC Nam N-2'!C55+'BCTC Nam N-2'!C58)/1000000</f>
        <v>0</v>
      </c>
      <c r="F14" s="129">
        <f>('BCTC Nam N-1'!C52+'BCTC Nam N-1'!C55+'BCTC Nam N-1'!C58)/1000000</f>
        <v>0</v>
      </c>
      <c r="G14" s="129">
        <f>('BCTC Nam N'!C52+'BCTC Nam N'!C55+'BCTC Nam N'!C58)/1000000</f>
        <v>0</v>
      </c>
    </row>
    <row r="15" spans="2:8">
      <c r="B15" s="105"/>
      <c r="C15" s="130" t="s">
        <v>210</v>
      </c>
      <c r="D15" s="104"/>
      <c r="E15" s="129">
        <f>E13-E14</f>
        <v>0</v>
      </c>
      <c r="F15" s="129">
        <f>(('BCTC Nam N-1'!C53+'BCTC Nam N-1'!C56+'BCTC Nam N-1'!C59))/1000000</f>
        <v>0</v>
      </c>
      <c r="G15" s="129">
        <f>('BCTC Nam N'!C53+'BCTC Nam N'!C56+'BCTC Nam N'!C59)/1000000</f>
        <v>0</v>
      </c>
    </row>
    <row r="16" spans="2:8">
      <c r="B16" s="102" t="s">
        <v>146</v>
      </c>
      <c r="C16" s="103" t="s">
        <v>211</v>
      </c>
      <c r="D16" s="104" t="s">
        <v>169</v>
      </c>
      <c r="E16" s="129">
        <f>IFERROR((VLOOKUP(D16,'BCTC Nam N-2'!$B$15:$C$131,2,0))/1000000,0)</f>
        <v>0</v>
      </c>
      <c r="F16" s="129">
        <f>IFERROR((VLOOKUP(D16,'BCTC Nam N-1'!$B$15:$C$131,2,0))/1000000,0)</f>
        <v>0</v>
      </c>
      <c r="G16" s="129">
        <f>IFERROR((VLOOKUP(D16,'BCTC Nam N'!$B$15:$C$131,2,0))/1000000,0)</f>
        <v>0</v>
      </c>
    </row>
    <row r="17" spans="2:11">
      <c r="B17" s="102"/>
      <c r="C17" s="103" t="s">
        <v>209</v>
      </c>
      <c r="D17" s="106" t="s">
        <v>170</v>
      </c>
      <c r="E17" s="129">
        <f>IFERROR((VLOOKUP(D17,'BCTC Nam N-2'!$B$15:$C$131,2,0))/1000000,0)</f>
        <v>0</v>
      </c>
      <c r="F17" s="129">
        <f>IFERROR((VLOOKUP(D17,'BCTC Nam N-1'!$B$15:$C$131,2,0))/1000000,0)</f>
        <v>0</v>
      </c>
      <c r="G17" s="129">
        <f>IFERROR((VLOOKUP(D17,'BCTC Nam N'!$B$15:$C$131,2,0))/1000000,0)</f>
        <v>0</v>
      </c>
    </row>
    <row r="18" spans="2:11">
      <c r="B18" s="102"/>
      <c r="C18" s="103" t="s">
        <v>210</v>
      </c>
      <c r="D18" s="106" t="s">
        <v>171</v>
      </c>
      <c r="E18" s="129">
        <f>IFERROR((VLOOKUP(D18,'BCTC Nam N-2'!$B$15:$C$131,2,0))/1000000,0)</f>
        <v>0</v>
      </c>
      <c r="F18" s="129">
        <f>IFERROR((VLOOKUP(D18,'BCTC Nam N-1'!$B$15:$C$131,2,0))/1000000,0)</f>
        <v>0</v>
      </c>
      <c r="G18" s="129">
        <f>IFERROR((VLOOKUP(D18,'BCTC Nam N'!$B$15:$C$131,2,0))/1000000,0)</f>
        <v>0</v>
      </c>
    </row>
    <row r="19" spans="2:11">
      <c r="B19" s="102" t="s">
        <v>158</v>
      </c>
      <c r="C19" s="103" t="s">
        <v>212</v>
      </c>
      <c r="D19" s="104" t="s">
        <v>172</v>
      </c>
      <c r="E19" s="129">
        <f>IFERROR((VLOOKUP(D19,'BCTC Nam N-2'!$B$15:$C$131,2,0))/1000000,0)</f>
        <v>0</v>
      </c>
      <c r="F19" s="129">
        <f>IFERROR((VLOOKUP(D19,'BCTC Nam N-1'!$B$15:$C$131,2,0))/1000000,0)</f>
        <v>0</v>
      </c>
      <c r="G19" s="129">
        <f>IFERROR((VLOOKUP(D19,'BCTC Nam N'!$B$15:$C$131,2,0))/1000000,0)</f>
        <v>0</v>
      </c>
    </row>
    <row r="20" spans="2:11">
      <c r="B20" s="102" t="s">
        <v>203</v>
      </c>
      <c r="C20" s="103" t="s">
        <v>59</v>
      </c>
      <c r="D20" s="104" t="s">
        <v>12</v>
      </c>
      <c r="E20" s="129">
        <f>IFERROR((VLOOKUP(D20,'BCTC Nam N-2'!$B$15:$C$131,2,0))/1000000,0)</f>
        <v>0</v>
      </c>
      <c r="F20" s="129">
        <f>IFERROR((VLOOKUP(D20,'BCTC Nam N-1'!$B$15:$C$131,2,0))/1000000,0)</f>
        <v>0</v>
      </c>
      <c r="G20" s="129">
        <f>IFERROR((VLOOKUP(D20,'BCTC Nam N'!$B$15:$C$131,2,0))/1000000,0)</f>
        <v>0</v>
      </c>
    </row>
    <row r="21" spans="2:11">
      <c r="B21" s="102" t="s">
        <v>213</v>
      </c>
      <c r="C21" s="103" t="s">
        <v>214</v>
      </c>
      <c r="D21" s="104" t="s">
        <v>13</v>
      </c>
      <c r="E21" s="129">
        <f>IFERROR((VLOOKUP(D21,'BCTC Nam N-2'!$B$15:$C$131,2,0))/1000000,0)</f>
        <v>0</v>
      </c>
      <c r="F21" s="129">
        <f>IFERROR((VLOOKUP(D21,'BCTC Nam N-1'!$B$15:$C$131,2,0))/1000000,0)</f>
        <v>0</v>
      </c>
      <c r="G21" s="129">
        <f>IFERROR((VLOOKUP(D21,'BCTC Nam N'!$B$15:$C$131,2,0))/1000000,0)</f>
        <v>0</v>
      </c>
    </row>
    <row r="22" spans="2:11">
      <c r="B22" s="191" t="s">
        <v>215</v>
      </c>
      <c r="C22" s="191"/>
      <c r="D22" s="104" t="s">
        <v>14</v>
      </c>
      <c r="E22" s="129">
        <f>IFERROR((VLOOKUP(D22,'BCTC Nam N-2'!$B$15:$C$131,2,0))/1000000,0)</f>
        <v>0</v>
      </c>
      <c r="F22" s="129">
        <f>IFERROR((VLOOKUP(D22,'BCTC Nam N-1'!$B$15:$C$131,2,0))/1000000,0)</f>
        <v>0</v>
      </c>
      <c r="G22" s="129">
        <f>IFERROR((VLOOKUP(D22,'BCTC Nam N'!$B$15:$C$131,2,0))/1000000,0)</f>
        <v>0</v>
      </c>
    </row>
    <row r="23" spans="2:11">
      <c r="B23" s="99" t="s">
        <v>198</v>
      </c>
      <c r="C23" s="100" t="s">
        <v>216</v>
      </c>
      <c r="D23" s="104" t="s">
        <v>173</v>
      </c>
      <c r="E23" s="129">
        <f>IFERROR((VLOOKUP(D23,'BCTC Nam N-2'!$B$15:$C$131,2,0))/1000000,0)</f>
        <v>0</v>
      </c>
      <c r="F23" s="129">
        <f>IFERROR((VLOOKUP(D23,'BCTC Nam N-1'!$B$15:$C$131,2,0))/1000000,0)</f>
        <v>0</v>
      </c>
      <c r="G23" s="129">
        <f>IFERROR((VLOOKUP(D23,'BCTC Nam N'!$B$15:$C$131,2,0))/1000000,0)</f>
        <v>0</v>
      </c>
    </row>
    <row r="24" spans="2:11">
      <c r="B24" s="99" t="s">
        <v>111</v>
      </c>
      <c r="C24" s="100" t="s">
        <v>62</v>
      </c>
      <c r="D24" s="104" t="s">
        <v>15</v>
      </c>
      <c r="E24" s="129">
        <f>IFERROR((VLOOKUP(D24,'BCTC Nam N-2'!$B$15:$C$131,2,0))/1000000,0)</f>
        <v>0</v>
      </c>
      <c r="F24" s="129">
        <f>IFERROR((VLOOKUP(D24,'BCTC Nam N-1'!$B$15:$C$131,2,0))/1000000,0)</f>
        <v>0</v>
      </c>
      <c r="G24" s="129">
        <f>IFERROR((VLOOKUP(D24,'BCTC Nam N'!$B$15:$C$131,2,0))/1000000,0)</f>
        <v>0</v>
      </c>
    </row>
    <row r="25" spans="2:11">
      <c r="B25" s="102">
        <v>1</v>
      </c>
      <c r="C25" s="103" t="s">
        <v>217</v>
      </c>
      <c r="D25" s="104" t="s">
        <v>19</v>
      </c>
      <c r="E25" s="129">
        <f>IFERROR((VLOOKUP(D25,'BCTC Nam N-2'!$B$15:$C$131,2,0))/1000000,0)</f>
        <v>0</v>
      </c>
      <c r="F25" s="129">
        <f>IFERROR((VLOOKUP(D25,'BCTC Nam N-1'!$B$15:$C$131,2,0))/1000000,0)</f>
        <v>0</v>
      </c>
      <c r="G25" s="129">
        <f>IFERROR((VLOOKUP(D25,'BCTC Nam N'!$B$15:$C$131,2,0))/1000000,0)</f>
        <v>0</v>
      </c>
    </row>
    <row r="26" spans="2:11">
      <c r="B26" s="102">
        <v>2</v>
      </c>
      <c r="C26" s="103" t="s">
        <v>218</v>
      </c>
      <c r="D26" s="104" t="s">
        <v>16</v>
      </c>
      <c r="E26" s="129">
        <f>IFERROR((VLOOKUP(D26,'BCTC Nam N-2'!$B$15:$C$131,2,0))/1000000,0)</f>
        <v>0</v>
      </c>
      <c r="F26" s="129">
        <f>IFERROR((VLOOKUP(D26,'BCTC Nam N-1'!$B$15:$C$131,2,0))/1000000,0)</f>
        <v>0</v>
      </c>
      <c r="G26" s="129">
        <f>IFERROR((VLOOKUP(D26,'BCTC Nam N'!$B$15:$C$131,2,0))/1000000,0)</f>
        <v>0</v>
      </c>
    </row>
    <row r="27" spans="2:11">
      <c r="B27" s="131">
        <v>3</v>
      </c>
      <c r="C27" s="132" t="s">
        <v>219</v>
      </c>
      <c r="D27" s="104"/>
      <c r="E27" s="129">
        <f>E24-E25-E26</f>
        <v>0</v>
      </c>
      <c r="F27" s="129">
        <f>F24-F25-F26</f>
        <v>0</v>
      </c>
      <c r="G27" s="129">
        <f>G24-G25-G26</f>
        <v>0</v>
      </c>
    </row>
    <row r="28" spans="2:11">
      <c r="B28" s="99" t="s">
        <v>118</v>
      </c>
      <c r="C28" s="100" t="s">
        <v>220</v>
      </c>
      <c r="D28" s="104" t="s">
        <v>20</v>
      </c>
      <c r="E28" s="129">
        <f>IFERROR((VLOOKUP(D28,'BCTC Nam N-2'!$B$15:$C$131,2,0))/1000000,0)</f>
        <v>0</v>
      </c>
      <c r="F28" s="129">
        <f>IFERROR((VLOOKUP(D28,'BCTC Nam N-1'!$B$15:$C$131,2,0))/1000000,0)</f>
        <v>0</v>
      </c>
      <c r="G28" s="129">
        <f>IFERROR((VLOOKUP(D28,'BCTC Nam N'!$B$15:$C$131,2,0))/1000000,0)</f>
        <v>0</v>
      </c>
    </row>
    <row r="29" spans="2:11">
      <c r="B29" s="102">
        <v>1</v>
      </c>
      <c r="C29" s="103" t="s">
        <v>221</v>
      </c>
      <c r="D29" s="104" t="s">
        <v>174</v>
      </c>
      <c r="E29" s="129">
        <f>IFERROR((VLOOKUP(D29,'BCTC Nam N-2'!$B$15:$C$131,2,0))/1000000,0)</f>
        <v>0</v>
      </c>
      <c r="F29" s="129">
        <f>IFERROR((VLOOKUP(D29,'BCTC Nam N-1'!$B$15:$C$131,2,0))/1000000,0)</f>
        <v>0</v>
      </c>
      <c r="G29" s="129">
        <f>IFERROR((VLOOKUP(D29,'BCTC Nam N'!$B$15:$C$131,2,0))/1000000,0)</f>
        <v>0</v>
      </c>
    </row>
    <row r="30" spans="2:11">
      <c r="B30" s="102">
        <v>2</v>
      </c>
      <c r="C30" s="103" t="s">
        <v>222</v>
      </c>
      <c r="D30" s="107" t="s">
        <v>21</v>
      </c>
      <c r="E30" s="129">
        <f>IFERROR((VLOOKUP(D30,'BCTC Nam N-2'!$B$15:$C$131,2,0))/1000000,0)</f>
        <v>0</v>
      </c>
      <c r="F30" s="129">
        <f>IFERROR((VLOOKUP(D30,'BCTC Nam N-1'!$B$15:$C$131,2,0))/1000000,0)</f>
        <v>0</v>
      </c>
      <c r="G30" s="129">
        <f>IFERROR((VLOOKUP(D30,'BCTC Nam N'!$B$15:$C$131,2,0))/1000000,0)</f>
        <v>0</v>
      </c>
    </row>
    <row r="31" spans="2:11">
      <c r="B31" s="131">
        <v>3</v>
      </c>
      <c r="C31" s="132" t="s">
        <v>223</v>
      </c>
      <c r="D31" s="104"/>
      <c r="E31" s="129">
        <f>E28-E29-E30</f>
        <v>0</v>
      </c>
      <c r="F31" s="129">
        <f>F28-F29-F30</f>
        <v>0</v>
      </c>
      <c r="G31" s="129">
        <f>G28-G29-G30</f>
        <v>0</v>
      </c>
    </row>
    <row r="32" spans="2:11">
      <c r="B32" s="99" t="s">
        <v>205</v>
      </c>
      <c r="C32" s="100" t="s">
        <v>224</v>
      </c>
      <c r="D32" s="104" t="s">
        <v>175</v>
      </c>
      <c r="E32" s="129">
        <f>IFERROR(VLOOKUP(D32,'BCTC Nam N-2'!$B$15:$C$131,2,0)/1000000,0)</f>
        <v>0</v>
      </c>
      <c r="F32" s="129">
        <f>IFERROR((VLOOKUP(D32,'BCTC Nam N-1'!$B$15:$C$131,2,0))/1000000,0)</f>
        <v>0</v>
      </c>
      <c r="G32" s="129">
        <f>IFERROR((VLOOKUP(D32,'BCTC Nam N'!$B$15:$C$131,2,0))/1000000,0)</f>
        <v>0</v>
      </c>
      <c r="J32" s="118"/>
      <c r="K32" s="119"/>
    </row>
    <row r="33" spans="2:11">
      <c r="B33" s="99" t="s">
        <v>111</v>
      </c>
      <c r="C33" s="100" t="s">
        <v>69</v>
      </c>
      <c r="D33" s="104" t="s">
        <v>22</v>
      </c>
      <c r="E33" s="129">
        <f>IFERROR(VLOOKUP(D33,'BCTC Nam N-2'!$B$15:$C$131,2,0)/1000000,0)</f>
        <v>0</v>
      </c>
      <c r="F33" s="129">
        <f>IFERROR((VLOOKUP(D33,'BCTC Nam N-1'!$B$15:$C$131,2,0))/1000000,0)</f>
        <v>0</v>
      </c>
      <c r="G33" s="129">
        <f>IFERROR((VLOOKUP(D33,'BCTC Nam N'!$B$15:$C$131,2,0))/1000000,0)</f>
        <v>0</v>
      </c>
      <c r="J33" s="118"/>
      <c r="K33" s="119"/>
    </row>
    <row r="34" spans="2:11">
      <c r="B34" s="102">
        <v>1</v>
      </c>
      <c r="C34" s="103" t="s">
        <v>225</v>
      </c>
      <c r="D34" s="104" t="s">
        <v>23</v>
      </c>
      <c r="E34" s="129">
        <f>IFERROR(VLOOKUP(D34,'BCTC Nam N-2'!$B$15:$C$131,2,0)/1000000,0)</f>
        <v>0</v>
      </c>
      <c r="F34" s="129">
        <f>IFERROR((VLOOKUP(D34,'BCTC Nam N-1'!$B$15:$C$131,2,0))/1000000,0)</f>
        <v>0</v>
      </c>
      <c r="G34" s="129">
        <f>IFERROR((VLOOKUP(D34,'BCTC Nam N'!$B$15:$C$131,2,0))/1000000,0)</f>
        <v>0</v>
      </c>
      <c r="J34" s="118"/>
      <c r="K34" s="119"/>
    </row>
    <row r="35" spans="2:11">
      <c r="B35" s="102">
        <v>2</v>
      </c>
      <c r="C35" s="103" t="s">
        <v>226</v>
      </c>
      <c r="D35" s="104" t="s">
        <v>176</v>
      </c>
      <c r="E35" s="129">
        <f>IFERROR(VLOOKUP(D35,'BCTC Nam N-2'!$B$15:$C$131,2,0)/1000000,0)</f>
        <v>0</v>
      </c>
      <c r="F35" s="129">
        <f>IFERROR((VLOOKUP(D35,'BCTC Nam N-1'!$B$15:$C$131,2,0))/1000000,0)</f>
        <v>0</v>
      </c>
      <c r="G35" s="129">
        <f>IFERROR((VLOOKUP(D35,'BCTC Nam N'!$B$15:$C$131,2,0))/1000000,0)</f>
        <v>0</v>
      </c>
      <c r="J35" s="118"/>
      <c r="K35" s="119"/>
    </row>
    <row r="36" spans="2:11" s="120" customFormat="1">
      <c r="B36" s="133">
        <v>3</v>
      </c>
      <c r="C36" s="55" t="s">
        <v>227</v>
      </c>
      <c r="D36" s="134" t="s">
        <v>177</v>
      </c>
      <c r="E36" s="135">
        <f>('BCTC Nam N-2'!C110-'BCTC Nam N-2'!C111-'BCTC Nam N-2'!C114-'BCTC Nam N-2'!C123)/1000000</f>
        <v>0</v>
      </c>
      <c r="F36" s="135">
        <f>('BCTC Nam N-1'!C110-'BCTC Nam N-1'!C111-'BCTC Nam N-1'!C114-'BCTC Nam N-1'!C123)/1000000</f>
        <v>0</v>
      </c>
      <c r="G36" s="135">
        <f>('BCTC Nam N'!C110-'BCTC Nam N'!C111-'BCTC Nam N'!C123)/1000000</f>
        <v>0</v>
      </c>
      <c r="J36" s="121"/>
      <c r="K36" s="119"/>
    </row>
    <row r="37" spans="2:11">
      <c r="B37" s="102">
        <v>4</v>
      </c>
      <c r="C37" s="103" t="s">
        <v>71</v>
      </c>
      <c r="D37" s="104" t="s">
        <v>24</v>
      </c>
      <c r="E37" s="129">
        <f>IFERROR(VLOOKUP(D37,'BCTC Nam N-2'!$B$15:$C$131,2,0)/1000000,0)</f>
        <v>0</v>
      </c>
      <c r="F37" s="129">
        <f>IFERROR((VLOOKUP(D37,'BCTC Nam N-1'!$B$15:$C$131,2,0))/1000000,0)</f>
        <v>0</v>
      </c>
      <c r="G37" s="129">
        <f>IFERROR((VLOOKUP(D37,'BCTC Nam N'!$B$15:$C$131,2,0))/1000000,0)</f>
        <v>0</v>
      </c>
      <c r="J37" s="118"/>
      <c r="K37" s="119"/>
    </row>
    <row r="38" spans="2:11">
      <c r="B38" s="99" t="s">
        <v>118</v>
      </c>
      <c r="C38" s="100" t="s">
        <v>228</v>
      </c>
      <c r="D38" s="104" t="s">
        <v>178</v>
      </c>
      <c r="E38" s="129">
        <f>IFERROR((VLOOKUP(D38,'BCTC Nam N-2'!$B$15:$C$131,2,0))/1000000,0)</f>
        <v>0</v>
      </c>
      <c r="F38" s="129">
        <f>IFERROR((VLOOKUP(D38,'BCTC Nam N-1'!$B$15:$C$131,2,0))/1000000,0)</f>
        <v>0</v>
      </c>
      <c r="G38" s="129">
        <f>IFERROR((VLOOKUP(D38,'BCTC Nam N'!$B$15:$C$131,2,0))/1000000,0)</f>
        <v>0</v>
      </c>
      <c r="J38" s="122"/>
    </row>
    <row r="39" spans="2:11">
      <c r="B39" s="192" t="s">
        <v>229</v>
      </c>
      <c r="C39" s="192"/>
      <c r="D39" s="104" t="s">
        <v>179</v>
      </c>
      <c r="E39" s="129">
        <f>IFERROR((VLOOKUP(D39,'BCTC Nam N-2'!$B$15:$C$131,2,0))/1000000,0)</f>
        <v>0</v>
      </c>
      <c r="F39" s="129">
        <f>IFERROR((VLOOKUP(D39,'BCTC Nam N-1'!$B$15:$C$131,2,0))/1000000,0)</f>
        <v>0</v>
      </c>
      <c r="G39" s="129">
        <f>IFERROR((VLOOKUP(D39,'BCTC Nam N'!$B$15:$C$131,2,0))/1000000,0)</f>
        <v>0</v>
      </c>
    </row>
    <row r="40" spans="2:11">
      <c r="D40" s="123"/>
      <c r="E40" s="124"/>
      <c r="F40" s="124"/>
      <c r="G40" s="124"/>
    </row>
    <row r="41" spans="2:11" s="127" customFormat="1" ht="17.25">
      <c r="B41" s="125"/>
      <c r="C41" s="136" t="s">
        <v>230</v>
      </c>
      <c r="D41" s="125"/>
      <c r="E41" s="126" t="str">
        <f t="shared" ref="E41:F41" si="0">IF(E22-E39=0,"Đúng","Sai")</f>
        <v>Đúng</v>
      </c>
      <c r="F41" s="126" t="str">
        <f t="shared" si="0"/>
        <v>Đúng</v>
      </c>
      <c r="G41" s="126" t="str">
        <f>IF(G22-G39=0,"Đúng","Sai")</f>
        <v>Đúng</v>
      </c>
    </row>
    <row r="42" spans="2:11" ht="22.5">
      <c r="B42" s="193" t="s">
        <v>231</v>
      </c>
      <c r="C42" s="193"/>
      <c r="D42" s="193"/>
      <c r="E42" s="193"/>
      <c r="F42" s="193"/>
      <c r="G42" s="193"/>
    </row>
    <row r="43" spans="2:11" ht="15.75">
      <c r="B43" s="108" t="s">
        <v>125</v>
      </c>
      <c r="C43" s="109" t="s">
        <v>109</v>
      </c>
      <c r="D43" s="109" t="s">
        <v>197</v>
      </c>
      <c r="E43" s="12" t="str">
        <f>CONCATENATE("Năm"," ",YEAR('BCTC Nam N-2'!B4))</f>
        <v>Năm 1900</v>
      </c>
      <c r="F43" s="12" t="str">
        <f>CONCATENATE("Năm"," ",YEAR('BCTC Nam N-1'!B4))</f>
        <v>Năm 1900</v>
      </c>
      <c r="G43" s="12" t="str">
        <f>CONCATENATE("Năm"," ",YEAR('BCTC Nam N'!B4))</f>
        <v>Năm 1900</v>
      </c>
    </row>
    <row r="44" spans="2:11">
      <c r="B44" s="110">
        <v>1</v>
      </c>
      <c r="C44" s="55" t="s">
        <v>72</v>
      </c>
      <c r="D44" s="104" t="s">
        <v>25</v>
      </c>
      <c r="E44" s="111">
        <f>IFERROR((VLOOKUP(D44,'BCTC Nam N-2'!$B$135:$C$157,2,0))/1000000,0)</f>
        <v>0</v>
      </c>
      <c r="F44" s="111">
        <f>IFERROR((VLOOKUP(D44,'BCTC Nam N-1'!$B$135:$C$157,2,0))/1000000,0)</f>
        <v>0</v>
      </c>
      <c r="G44" s="112">
        <f>IFERROR((VLOOKUP(D44,'BCTC Nam N'!$B$135:$C$157,2,0)/1000000),0)</f>
        <v>0</v>
      </c>
    </row>
    <row r="45" spans="2:11">
      <c r="B45" s="110">
        <v>2</v>
      </c>
      <c r="C45" s="55" t="s">
        <v>232</v>
      </c>
      <c r="D45" s="104" t="s">
        <v>180</v>
      </c>
      <c r="E45" s="111">
        <f>IFERROR((VLOOKUP(D45,'BCTC Nam N-2'!$B$135:$C$157,2,0))/1000000,0)</f>
        <v>0</v>
      </c>
      <c r="F45" s="111">
        <f>IFERROR((VLOOKUP(D45,'BCTC Nam N-1'!$B$135:$C$157,2,0))/1000000,0)</f>
        <v>0</v>
      </c>
      <c r="G45" s="112">
        <f>IFERROR((VLOOKUP(D45,'BCTC Nam N'!$B$135:$C$157,2,0)/1000000),0)</f>
        <v>0</v>
      </c>
    </row>
    <row r="46" spans="2:11" ht="17.25" customHeight="1">
      <c r="B46" s="113">
        <v>3</v>
      </c>
      <c r="C46" s="60" t="s">
        <v>233</v>
      </c>
      <c r="D46" s="104" t="s">
        <v>26</v>
      </c>
      <c r="E46" s="111">
        <f>IFERROR((VLOOKUP(D46,'BCTC Nam N-2'!$B$135:$C$157,2,0))/1000000,0)</f>
        <v>0</v>
      </c>
      <c r="F46" s="111">
        <f>IFERROR((VLOOKUP(D46,'BCTC Nam N-1'!$B$135:$C$157,2,0))/1000000,0)</f>
        <v>0</v>
      </c>
      <c r="G46" s="112">
        <f>IFERROR((VLOOKUP(D46,'BCTC Nam N'!$B$135:$C$157,2,0)/1000000),0)</f>
        <v>0</v>
      </c>
    </row>
    <row r="47" spans="2:11">
      <c r="B47" s="110">
        <v>4</v>
      </c>
      <c r="C47" s="55" t="s">
        <v>234</v>
      </c>
      <c r="D47" s="104" t="s">
        <v>27</v>
      </c>
      <c r="E47" s="111">
        <f>IFERROR((VLOOKUP(D47,'BCTC Nam N-2'!$B$135:$C$157,2,0))/1000000,0)</f>
        <v>0</v>
      </c>
      <c r="F47" s="111">
        <f>IFERROR((VLOOKUP(D47,'BCTC Nam N-1'!$B$135:$C$157,2,0))/1000000,0)</f>
        <v>0</v>
      </c>
      <c r="G47" s="112">
        <f>IFERROR((VLOOKUP(D47,'BCTC Nam N'!$B$135:$C$157,2,0)/1000000),0)</f>
        <v>0</v>
      </c>
    </row>
    <row r="48" spans="2:11">
      <c r="B48" s="113">
        <v>5</v>
      </c>
      <c r="C48" s="60" t="s">
        <v>235</v>
      </c>
      <c r="D48" s="104" t="s">
        <v>181</v>
      </c>
      <c r="E48" s="111">
        <f>IFERROR((VLOOKUP(D48,'BCTC Nam N-2'!$B$135:$C$157,2,0))/1000000,0)</f>
        <v>0</v>
      </c>
      <c r="F48" s="111">
        <f>IFERROR((VLOOKUP(D48,'BCTC Nam N-1'!$B$135:$C$157,2,0))/1000000,0)</f>
        <v>0</v>
      </c>
      <c r="G48" s="112">
        <f>IFERROR((VLOOKUP(D48,'BCTC Nam N'!$B$135:$C$157,2,0)/1000000),0)</f>
        <v>0</v>
      </c>
    </row>
    <row r="49" spans="2:7">
      <c r="B49" s="110">
        <v>6</v>
      </c>
      <c r="C49" s="55" t="s">
        <v>236</v>
      </c>
      <c r="D49" s="104" t="s">
        <v>182</v>
      </c>
      <c r="E49" s="111">
        <f>IFERROR((VLOOKUP(D49,'BCTC Nam N-2'!$B$135:$C$157,2,0))/1000000,0)</f>
        <v>0</v>
      </c>
      <c r="F49" s="111">
        <f>IFERROR((VLOOKUP(D49,'BCTC Nam N-1'!$B$135:$C$157,2,0))/1000000,0)</f>
        <v>0</v>
      </c>
      <c r="G49" s="112">
        <f>IFERROR((VLOOKUP(D49,'BCTC Nam N'!$B$135:$C$157,2,0)/1000000),0)</f>
        <v>0</v>
      </c>
    </row>
    <row r="50" spans="2:7">
      <c r="B50" s="110">
        <v>7</v>
      </c>
      <c r="C50" s="55" t="s">
        <v>237</v>
      </c>
      <c r="D50" s="104" t="s">
        <v>183</v>
      </c>
      <c r="E50" s="111">
        <f>IFERROR((VLOOKUP(D50,'BCTC Nam N-2'!$B$135:$C$157,2,0))/1000000,0)</f>
        <v>0</v>
      </c>
      <c r="F50" s="111">
        <f>IFERROR((VLOOKUP(D50,'BCTC Nam N-1'!$B$135:$C$157,2,0))/1000000,0)</f>
        <v>0</v>
      </c>
      <c r="G50" s="112">
        <f>IFERROR((VLOOKUP(D50,'BCTC Nam N'!$B$135:$C$157,2,0)/1000000),0)</f>
        <v>0</v>
      </c>
    </row>
    <row r="51" spans="2:7">
      <c r="B51" s="114"/>
      <c r="C51" s="65" t="s">
        <v>238</v>
      </c>
      <c r="D51" s="104" t="s">
        <v>184</v>
      </c>
      <c r="E51" s="111">
        <f>IFERROR((VLOOKUP(D51,'BCTC Nam N-2'!$B$135:$C$157,2,0))/1000000,0)</f>
        <v>0</v>
      </c>
      <c r="F51" s="111">
        <f>IFERROR((VLOOKUP(D51,'BCTC Nam N-1'!$B$135:$C$157,2,0))/1000000,0)</f>
        <v>0</v>
      </c>
      <c r="G51" s="112">
        <f>IFERROR((VLOOKUP(D51,'BCTC Nam N'!$B$135:$C$157,2,0)/1000000),0)</f>
        <v>0</v>
      </c>
    </row>
    <row r="52" spans="2:7">
      <c r="B52" s="110">
        <v>8</v>
      </c>
      <c r="C52" s="55" t="s">
        <v>239</v>
      </c>
      <c r="D52" s="104" t="s">
        <v>186</v>
      </c>
      <c r="E52" s="111">
        <f>IFERROR((VLOOKUP(D52,'BCTC Nam N-2'!$B$135:$C$157,2,0))/1000000,0)</f>
        <v>0</v>
      </c>
      <c r="F52" s="111">
        <f>IFERROR((VLOOKUP(D52,'BCTC Nam N-1'!$B$135:$C$157,2,0))/1000000,0)</f>
        <v>0</v>
      </c>
      <c r="G52" s="112">
        <f>IFERROR((VLOOKUP(D52,'BCTC Nam N'!$B$135:$C$157,2,0)/1000000),0)</f>
        <v>0</v>
      </c>
    </row>
    <row r="53" spans="2:7">
      <c r="B53" s="110">
        <v>9</v>
      </c>
      <c r="C53" s="55" t="s">
        <v>240</v>
      </c>
      <c r="D53" s="104" t="s">
        <v>187</v>
      </c>
      <c r="E53" s="111">
        <f>IFERROR((VLOOKUP(D53,'BCTC Nam N-2'!$B$135:$C$157,2,0))/1000000,0)</f>
        <v>0</v>
      </c>
      <c r="F53" s="111">
        <f>IFERROR((VLOOKUP(D53,'BCTC Nam N-1'!$B$135:$C$157,2,0))/1000000,0)</f>
        <v>0</v>
      </c>
      <c r="G53" s="112">
        <f>IFERROR((VLOOKUP(D53,'BCTC Nam N'!$B$135:$C$157,2,0)/1000000),0)</f>
        <v>0</v>
      </c>
    </row>
    <row r="54" spans="2:7">
      <c r="B54" s="113">
        <v>10</v>
      </c>
      <c r="C54" s="60" t="s">
        <v>241</v>
      </c>
      <c r="D54" s="104" t="s">
        <v>188</v>
      </c>
      <c r="E54" s="111">
        <f>IFERROR((VLOOKUP(D54,'BCTC Nam N-2'!$B$135:$C$157,2,0))/1000000,0)</f>
        <v>0</v>
      </c>
      <c r="F54" s="111">
        <f>IFERROR((VLOOKUP(D54,'BCTC Nam N-1'!$B$135:$C$157,2,0))/1000000,0)</f>
        <v>0</v>
      </c>
      <c r="G54" s="112">
        <f>IFERROR((VLOOKUP(D54,'BCTC Nam N'!$B$135:$C$157,2,0)/1000000),0)</f>
        <v>0</v>
      </c>
    </row>
    <row r="55" spans="2:7">
      <c r="B55" s="110">
        <v>11</v>
      </c>
      <c r="C55" s="55" t="s">
        <v>242</v>
      </c>
      <c r="D55" s="104" t="s">
        <v>189</v>
      </c>
      <c r="E55" s="111">
        <f>IFERROR((VLOOKUP(D55,'BCTC Nam N-2'!$B$135:$C$157,2,0))/1000000,0)</f>
        <v>0</v>
      </c>
      <c r="F55" s="111">
        <f>IFERROR((VLOOKUP(D55,'BCTC Nam N-1'!$B$135:$C$157,2,0))/1000000,0)</f>
        <v>0</v>
      </c>
      <c r="G55" s="112">
        <f>IFERROR((VLOOKUP(D55,'BCTC Nam N'!$B$135:$C$157,2,0)/1000000),0)</f>
        <v>0</v>
      </c>
    </row>
    <row r="56" spans="2:7">
      <c r="B56" s="110">
        <v>12</v>
      </c>
      <c r="C56" s="55" t="s">
        <v>243</v>
      </c>
      <c r="D56" s="104" t="s">
        <v>190</v>
      </c>
      <c r="E56" s="111">
        <f>IFERROR((VLOOKUP(D56,'BCTC Nam N-2'!$B$135:$C$157,2,0))/1000000,0)</f>
        <v>0</v>
      </c>
      <c r="F56" s="111">
        <f>IFERROR((VLOOKUP(D56,'BCTC Nam N-1'!$B$135:$C$157,2,0))/1000000,0)</f>
        <v>0</v>
      </c>
      <c r="G56" s="112">
        <f>IFERROR((VLOOKUP(D56,'BCTC Nam N'!$B$135:$C$157,2,0)/1000000),0)</f>
        <v>0</v>
      </c>
    </row>
    <row r="57" spans="2:7">
      <c r="B57" s="113">
        <v>13</v>
      </c>
      <c r="C57" s="60" t="s">
        <v>244</v>
      </c>
      <c r="D57" s="104" t="s">
        <v>191</v>
      </c>
      <c r="E57" s="111">
        <f>IFERROR((VLOOKUP(D57,'BCTC Nam N-2'!$B$135:$C$157,2,0))/1000000,0)</f>
        <v>0</v>
      </c>
      <c r="F57" s="111">
        <f>IFERROR((VLOOKUP(D57,'BCTC Nam N-1'!$B$135:$C$157,2,0))/1000000,0)</f>
        <v>0</v>
      </c>
      <c r="G57" s="112">
        <f>IFERROR((VLOOKUP(D57,'BCTC Nam N'!$B$135:$C$157,2,0)/1000000),0)</f>
        <v>0</v>
      </c>
    </row>
    <row r="58" spans="2:7">
      <c r="B58" s="113">
        <v>14</v>
      </c>
      <c r="C58" s="60" t="s">
        <v>245</v>
      </c>
      <c r="D58" s="104" t="s">
        <v>192</v>
      </c>
      <c r="E58" s="111">
        <f>IFERROR((VLOOKUP(D58,'BCTC Nam N-2'!$B$135:$C$157,2,0))/1000000,0)</f>
        <v>0</v>
      </c>
      <c r="F58" s="111">
        <f>IFERROR((VLOOKUP(D58,'BCTC Nam N-1'!$B$135:$C$157,2,0))/1000000,0)</f>
        <v>0</v>
      </c>
      <c r="G58" s="112">
        <f>IFERROR((VLOOKUP(D58,'BCTC Nam N'!$B$135:$C$157,2,0)/1000000),0)</f>
        <v>0</v>
      </c>
    </row>
    <row r="59" spans="2:7">
      <c r="B59" s="110">
        <v>15</v>
      </c>
      <c r="C59" s="55" t="s">
        <v>246</v>
      </c>
      <c r="D59" s="104" t="s">
        <v>193</v>
      </c>
      <c r="E59" s="111">
        <f>IFERROR((VLOOKUP(D59,'BCTC Nam N-2'!$B$135:$C$157,2,0))/1000000,0)</f>
        <v>0</v>
      </c>
      <c r="F59" s="111">
        <f>IFERROR((VLOOKUP(D59,'BCTC Nam N-1'!$B$135:$C$157,2,0))/1000000,0)</f>
        <v>0</v>
      </c>
      <c r="G59" s="112">
        <f>IFERROR((VLOOKUP(D59,'BCTC Nam N'!$B$135:$C$157,2,0)/1000000),0)</f>
        <v>0</v>
      </c>
    </row>
    <row r="60" spans="2:7">
      <c r="B60" s="110">
        <v>16</v>
      </c>
      <c r="C60" s="55" t="s">
        <v>247</v>
      </c>
      <c r="D60" s="104" t="s">
        <v>194</v>
      </c>
      <c r="E60" s="111">
        <f>IFERROR((VLOOKUP(D60,'BCTC Nam N-2'!$B$135:$C$157,2,0))/1000000,0)</f>
        <v>0</v>
      </c>
      <c r="F60" s="111">
        <f>IFERROR((VLOOKUP(D60,'BCTC Nam N-1'!$B$135:$C$157,2,0))/1000000,0)</f>
        <v>0</v>
      </c>
      <c r="G60" s="112">
        <f>IFERROR((VLOOKUP(D60,'BCTC Nam N'!$B$135:$C$157,2,0)/1000000),0)</f>
        <v>0</v>
      </c>
    </row>
    <row r="61" spans="2:7">
      <c r="B61" s="113">
        <v>17</v>
      </c>
      <c r="C61" s="60" t="s">
        <v>248</v>
      </c>
      <c r="D61" s="104" t="s">
        <v>28</v>
      </c>
      <c r="E61" s="111">
        <f>IFERROR((VLOOKUP(D61,'BCTC Nam N-2'!$B$135:$C$157,2,0))/1000000,0)</f>
        <v>0</v>
      </c>
      <c r="F61" s="111">
        <f>IFERROR((VLOOKUP(D61,'BCTC Nam N-1'!$B$135:$C$157,2,0))/1000000,0)</f>
        <v>0</v>
      </c>
      <c r="G61" s="112">
        <f>IFERROR((VLOOKUP(D61,'BCTC Nam N'!$B$135:$C$157,2,0)/1000000),0)</f>
        <v>0</v>
      </c>
    </row>
    <row r="62" spans="2:7"/>
    <row r="63" spans="2:7" hidden="1"/>
    <row r="64" spans="2:7" hidden="1"/>
  </sheetData>
  <sheetProtection selectLockedCells="1"/>
  <mergeCells count="4">
    <mergeCell ref="B22:C22"/>
    <mergeCell ref="B39:C39"/>
    <mergeCell ref="B42:G42"/>
    <mergeCell ref="B3:G3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B98"/>
  <sheetViews>
    <sheetView workbookViewId="0">
      <selection activeCell="F12" sqref="F12"/>
    </sheetView>
  </sheetViews>
  <sheetFormatPr defaultRowHeight="15"/>
  <cols>
    <col min="1" max="1" width="12.7109375" customWidth="1"/>
    <col min="2" max="2" width="37.7109375" bestFit="1" customWidth="1"/>
    <col min="3" max="3" width="15.7109375" customWidth="1"/>
    <col min="4" max="4" width="22.5703125" customWidth="1"/>
    <col min="5" max="80" width="17.140625" customWidth="1"/>
  </cols>
  <sheetData>
    <row r="1" spans="1:80" ht="45">
      <c r="A1" s="4" t="s">
        <v>29</v>
      </c>
      <c r="B1" s="4" t="s">
        <v>30</v>
      </c>
      <c r="C1" s="4" t="s">
        <v>31</v>
      </c>
      <c r="D1" s="4" t="s">
        <v>32</v>
      </c>
      <c r="E1" s="4" t="s">
        <v>33</v>
      </c>
      <c r="F1" s="4" t="s">
        <v>34</v>
      </c>
      <c r="G1" s="4" t="s">
        <v>35</v>
      </c>
      <c r="H1" s="4" t="s">
        <v>36</v>
      </c>
      <c r="I1" s="4" t="s">
        <v>37</v>
      </c>
      <c r="J1" s="4" t="s">
        <v>38</v>
      </c>
      <c r="K1" s="4" t="s">
        <v>39</v>
      </c>
      <c r="L1" s="4" t="s">
        <v>40</v>
      </c>
      <c r="M1" s="4" t="s">
        <v>41</v>
      </c>
      <c r="N1" s="4" t="s">
        <v>42</v>
      </c>
      <c r="O1" s="4" t="s">
        <v>43</v>
      </c>
      <c r="P1" s="4" t="s">
        <v>44</v>
      </c>
      <c r="Q1" s="4" t="s">
        <v>45</v>
      </c>
      <c r="R1" s="6" t="s">
        <v>46</v>
      </c>
      <c r="S1" s="6" t="s">
        <v>47</v>
      </c>
      <c r="T1" s="6" t="s">
        <v>48</v>
      </c>
      <c r="U1" s="6" t="s">
        <v>49</v>
      </c>
      <c r="V1" s="6" t="s">
        <v>50</v>
      </c>
      <c r="W1" s="6" t="s">
        <v>51</v>
      </c>
      <c r="X1" s="6" t="s">
        <v>52</v>
      </c>
      <c r="Y1" s="6" t="s">
        <v>53</v>
      </c>
      <c r="Z1" s="6" t="s">
        <v>54</v>
      </c>
      <c r="AA1" s="6" t="s">
        <v>55</v>
      </c>
      <c r="AB1" s="6" t="s">
        <v>56</v>
      </c>
      <c r="AC1" s="6" t="s">
        <v>57</v>
      </c>
      <c r="AD1" s="6" t="s">
        <v>58</v>
      </c>
      <c r="AE1" s="6" t="s">
        <v>59</v>
      </c>
      <c r="AF1" s="6" t="s">
        <v>60</v>
      </c>
      <c r="AG1" s="6" t="s">
        <v>61</v>
      </c>
      <c r="AH1" s="6" t="s">
        <v>62</v>
      </c>
      <c r="AI1" s="6" t="s">
        <v>63</v>
      </c>
      <c r="AJ1" s="6" t="s">
        <v>64</v>
      </c>
      <c r="AK1" s="6" t="s">
        <v>65</v>
      </c>
      <c r="AL1" s="6" t="s">
        <v>66</v>
      </c>
      <c r="AM1" s="6" t="s">
        <v>67</v>
      </c>
      <c r="AN1" s="6" t="s">
        <v>68</v>
      </c>
      <c r="AO1" s="6" t="s">
        <v>69</v>
      </c>
      <c r="AP1" s="6" t="s">
        <v>70</v>
      </c>
      <c r="AQ1" s="6" t="s">
        <v>71</v>
      </c>
      <c r="AR1" s="6" t="s">
        <v>72</v>
      </c>
      <c r="AS1" s="6" t="s">
        <v>73</v>
      </c>
      <c r="AT1" s="6" t="s">
        <v>74</v>
      </c>
      <c r="AU1" s="6" t="s">
        <v>75</v>
      </c>
      <c r="AV1" s="4" t="s">
        <v>76</v>
      </c>
      <c r="AW1" s="7" t="s">
        <v>77</v>
      </c>
      <c r="AX1" s="7" t="s">
        <v>78</v>
      </c>
      <c r="AY1" s="7" t="s">
        <v>79</v>
      </c>
      <c r="AZ1" s="7" t="s">
        <v>80</v>
      </c>
      <c r="BA1" s="7" t="s">
        <v>81</v>
      </c>
      <c r="BB1" s="7" t="s">
        <v>82</v>
      </c>
      <c r="BC1" s="7" t="s">
        <v>83</v>
      </c>
      <c r="BD1" s="7" t="s">
        <v>84</v>
      </c>
      <c r="BE1" s="7" t="s">
        <v>85</v>
      </c>
      <c r="BF1" s="7" t="s">
        <v>86</v>
      </c>
      <c r="BG1" s="7" t="s">
        <v>87</v>
      </c>
      <c r="BH1" s="7" t="s">
        <v>88</v>
      </c>
      <c r="BI1" s="7" t="s">
        <v>89</v>
      </c>
      <c r="BJ1" s="7" t="s">
        <v>90</v>
      </c>
      <c r="BK1" s="7" t="s">
        <v>91</v>
      </c>
      <c r="BL1" s="7" t="s">
        <v>92</v>
      </c>
      <c r="BM1" s="7" t="s">
        <v>93</v>
      </c>
      <c r="BN1" s="7" t="s">
        <v>94</v>
      </c>
      <c r="BO1" s="7" t="s">
        <v>95</v>
      </c>
      <c r="BP1" s="7" t="s">
        <v>96</v>
      </c>
      <c r="BQ1" s="7" t="s">
        <v>97</v>
      </c>
      <c r="BR1" s="7" t="s">
        <v>98</v>
      </c>
      <c r="BS1" s="7" t="s">
        <v>99</v>
      </c>
      <c r="BT1" s="7" t="s">
        <v>100</v>
      </c>
      <c r="BU1" s="7" t="s">
        <v>101</v>
      </c>
      <c r="BV1" s="7" t="s">
        <v>102</v>
      </c>
      <c r="BW1" s="7" t="s">
        <v>103</v>
      </c>
      <c r="BX1" s="7" t="s">
        <v>104</v>
      </c>
      <c r="BY1" s="7" t="s">
        <v>105</v>
      </c>
      <c r="BZ1" s="7" t="s">
        <v>106</v>
      </c>
      <c r="CA1" s="7" t="s">
        <v>107</v>
      </c>
      <c r="CB1" s="7" t="s">
        <v>108</v>
      </c>
    </row>
    <row r="2" spans="1:80">
      <c r="A2" s="162" t="str">
        <f>D7</f>
        <v>.../.../20...</v>
      </c>
      <c r="B2" s="161">
        <f>E8</f>
        <v>0</v>
      </c>
      <c r="C2" s="161">
        <f>E9</f>
        <v>0</v>
      </c>
      <c r="D2" s="161">
        <f>E10</f>
        <v>0</v>
      </c>
      <c r="E2" s="161">
        <f>E11</f>
        <v>0</v>
      </c>
      <c r="F2" s="161">
        <f>E12</f>
        <v>0</v>
      </c>
      <c r="G2" s="161">
        <f>E13</f>
        <v>0</v>
      </c>
      <c r="H2" s="161">
        <f>E14</f>
        <v>0</v>
      </c>
      <c r="I2" s="161">
        <f>E15</f>
        <v>0</v>
      </c>
      <c r="J2" s="161">
        <f>E16</f>
        <v>0</v>
      </c>
      <c r="K2" s="161">
        <f>E17</f>
        <v>0</v>
      </c>
      <c r="L2" s="161">
        <f>E18</f>
        <v>0</v>
      </c>
      <c r="M2" s="161">
        <f>E19</f>
        <v>0</v>
      </c>
      <c r="N2" s="161">
        <f>E20</f>
        <v>0</v>
      </c>
      <c r="O2" s="161">
        <f>E21</f>
        <v>0</v>
      </c>
      <c r="P2" s="161">
        <f>E22</f>
        <v>0</v>
      </c>
      <c r="Q2" s="161">
        <f>E23</f>
        <v>0</v>
      </c>
      <c r="R2" s="172">
        <f>D24</f>
        <v>1900</v>
      </c>
      <c r="S2" s="161">
        <f>E25</f>
        <v>0</v>
      </c>
      <c r="T2" s="161">
        <f>E26</f>
        <v>0</v>
      </c>
      <c r="U2" s="161">
        <f>E27</f>
        <v>0</v>
      </c>
      <c r="V2" s="161">
        <f>E28</f>
        <v>0</v>
      </c>
      <c r="W2" s="161">
        <f>E29</f>
        <v>0</v>
      </c>
      <c r="X2" s="161">
        <f>E30</f>
        <v>0</v>
      </c>
      <c r="Y2" s="161">
        <f>E31</f>
        <v>0</v>
      </c>
      <c r="Z2" s="161">
        <f>E32</f>
        <v>0</v>
      </c>
      <c r="AA2" s="161">
        <f>E33</f>
        <v>0</v>
      </c>
      <c r="AB2" s="161">
        <f>E34</f>
        <v>0</v>
      </c>
      <c r="AC2" s="161">
        <f>E35</f>
        <v>0</v>
      </c>
      <c r="AD2" s="161">
        <f>E36</f>
        <v>0</v>
      </c>
      <c r="AE2" s="161">
        <f>E37</f>
        <v>0</v>
      </c>
      <c r="AF2" s="161">
        <f>E38</f>
        <v>0</v>
      </c>
      <c r="AG2" s="161">
        <f>E39</f>
        <v>0</v>
      </c>
      <c r="AH2" s="161">
        <f>E40</f>
        <v>0</v>
      </c>
      <c r="AI2" s="161">
        <f>E41</f>
        <v>0</v>
      </c>
      <c r="AJ2" s="161">
        <f>E42</f>
        <v>0</v>
      </c>
      <c r="AK2" s="161">
        <f>E43</f>
        <v>0</v>
      </c>
      <c r="AL2" s="161">
        <f>E44</f>
        <v>0</v>
      </c>
      <c r="AM2" s="161">
        <f>E45</f>
        <v>0</v>
      </c>
      <c r="AN2" s="161">
        <f>E46</f>
        <v>0</v>
      </c>
      <c r="AO2" s="161">
        <f>E47</f>
        <v>0</v>
      </c>
      <c r="AP2" s="161">
        <f>E48</f>
        <v>0</v>
      </c>
      <c r="AQ2" s="161">
        <f>E49</f>
        <v>0</v>
      </c>
      <c r="AR2" s="161">
        <f>E50</f>
        <v>0</v>
      </c>
      <c r="AS2" s="161">
        <f>E51</f>
        <v>0</v>
      </c>
      <c r="AT2" s="161">
        <f>E52</f>
        <v>0</v>
      </c>
      <c r="AU2" s="161">
        <f>E53</f>
        <v>0</v>
      </c>
      <c r="AV2" s="172">
        <f>D54</f>
        <v>1900</v>
      </c>
      <c r="AW2" s="161">
        <f>E55</f>
        <v>0</v>
      </c>
      <c r="AX2" s="161">
        <f>E56</f>
        <v>0</v>
      </c>
      <c r="AY2" s="161">
        <f>E57</f>
        <v>0</v>
      </c>
      <c r="AZ2" s="161">
        <f>E58</f>
        <v>0</v>
      </c>
      <c r="BA2" s="161">
        <f>E59</f>
        <v>0</v>
      </c>
      <c r="BB2" s="161">
        <f>E60</f>
        <v>0</v>
      </c>
      <c r="BC2" s="161">
        <f>E61</f>
        <v>0</v>
      </c>
      <c r="BD2" s="161">
        <f>E62</f>
        <v>0</v>
      </c>
      <c r="BE2" s="161">
        <f>E63</f>
        <v>0</v>
      </c>
      <c r="BF2" s="161">
        <f>E64</f>
        <v>0</v>
      </c>
      <c r="BG2" s="161">
        <f>E65</f>
        <v>0</v>
      </c>
      <c r="BH2" s="161">
        <f>E66</f>
        <v>0</v>
      </c>
      <c r="BI2" s="161">
        <f>E67</f>
        <v>0</v>
      </c>
      <c r="BJ2" s="161">
        <f>E68</f>
        <v>0</v>
      </c>
      <c r="BK2" s="161">
        <f>E69</f>
        <v>0</v>
      </c>
      <c r="BL2" s="161">
        <f>E70</f>
        <v>0</v>
      </c>
      <c r="BM2" s="161">
        <f>E71</f>
        <v>0</v>
      </c>
      <c r="BN2" s="161">
        <f>E72</f>
        <v>0</v>
      </c>
      <c r="BO2" s="161">
        <f>E73</f>
        <v>0</v>
      </c>
      <c r="BP2" s="161">
        <f>E74</f>
        <v>0</v>
      </c>
      <c r="BQ2" s="161">
        <f>E75</f>
        <v>0</v>
      </c>
      <c r="BR2" s="161">
        <f>E76</f>
        <v>0</v>
      </c>
      <c r="BS2" s="161">
        <f>E77</f>
        <v>0</v>
      </c>
      <c r="BT2" s="161">
        <f>E78</f>
        <v>0</v>
      </c>
      <c r="BU2" s="161">
        <f>E79</f>
        <v>0</v>
      </c>
      <c r="BV2" s="161">
        <f>E80</f>
        <v>0</v>
      </c>
      <c r="BW2" s="161">
        <f>E81</f>
        <v>0</v>
      </c>
      <c r="BX2" s="161">
        <f>E82</f>
        <v>0</v>
      </c>
      <c r="BY2" s="161">
        <f>E83</f>
        <v>0</v>
      </c>
      <c r="BZ2" s="161">
        <f>E84</f>
        <v>0</v>
      </c>
      <c r="CA2" s="161">
        <f>E85</f>
        <v>0</v>
      </c>
      <c r="CB2" s="161">
        <f>E86</f>
        <v>0</v>
      </c>
    </row>
    <row r="4" spans="1:80">
      <c r="F4" s="158" t="s">
        <v>275</v>
      </c>
      <c r="G4" s="159">
        <v>1</v>
      </c>
      <c r="H4" s="159"/>
    </row>
    <row r="5" spans="1:80">
      <c r="F5" s="158" t="s">
        <v>276</v>
      </c>
      <c r="G5" s="159">
        <f>IF(G4=1,1000000,1)</f>
        <v>1000000</v>
      </c>
      <c r="H5" s="158"/>
    </row>
    <row r="6" spans="1:80">
      <c r="E6" t="s">
        <v>278</v>
      </c>
      <c r="F6" s="158" t="s">
        <v>277</v>
      </c>
      <c r="G6" s="159"/>
      <c r="H6" s="158"/>
    </row>
    <row r="7" spans="1:80">
      <c r="B7" s="4" t="s">
        <v>29</v>
      </c>
      <c r="C7" s="4"/>
      <c r="D7" s="14" t="str">
        <f>'BC NHANH'!C2</f>
        <v>.../.../20...</v>
      </c>
      <c r="F7" s="7"/>
      <c r="G7" s="16"/>
      <c r="I7" s="15"/>
    </row>
    <row r="8" spans="1:80">
      <c r="B8" s="4" t="s">
        <v>30</v>
      </c>
      <c r="C8" s="4"/>
      <c r="D8" s="8">
        <f>'BC NHANH'!C6</f>
        <v>0</v>
      </c>
      <c r="E8" s="5">
        <f>ROUND(D8,0)</f>
        <v>0</v>
      </c>
      <c r="F8" s="7"/>
      <c r="G8" s="17"/>
      <c r="I8" s="15"/>
    </row>
    <row r="9" spans="1:80">
      <c r="B9" s="4" t="s">
        <v>31</v>
      </c>
      <c r="C9" s="4"/>
      <c r="D9" s="8">
        <f>'BC NHANH'!C7</f>
        <v>0</v>
      </c>
      <c r="E9" s="5">
        <f t="shared" ref="E9:E72" si="0">ROUND(D9,0)</f>
        <v>0</v>
      </c>
      <c r="F9" s="7"/>
      <c r="G9" s="17"/>
      <c r="I9" s="15"/>
    </row>
    <row r="10" spans="1:80">
      <c r="B10" s="4" t="s">
        <v>32</v>
      </c>
      <c r="C10" s="4"/>
      <c r="D10" s="8">
        <f>'BC NHANH'!C8</f>
        <v>0</v>
      </c>
      <c r="E10" s="5">
        <f t="shared" si="0"/>
        <v>0</v>
      </c>
      <c r="F10" s="7"/>
      <c r="G10" s="17"/>
      <c r="I10" s="15"/>
    </row>
    <row r="11" spans="1:80">
      <c r="B11" s="4" t="s">
        <v>33</v>
      </c>
      <c r="C11" s="4"/>
      <c r="D11" s="8">
        <f>'BC NHANH'!C9</f>
        <v>0</v>
      </c>
      <c r="E11" s="5">
        <f t="shared" si="0"/>
        <v>0</v>
      </c>
      <c r="F11" s="7"/>
      <c r="G11" s="17"/>
      <c r="I11" s="15"/>
    </row>
    <row r="12" spans="1:80">
      <c r="B12" s="4" t="s">
        <v>34</v>
      </c>
      <c r="C12" s="4"/>
      <c r="D12" s="8">
        <f>'BC NHANH'!C10</f>
        <v>0</v>
      </c>
      <c r="E12" s="5">
        <f t="shared" si="0"/>
        <v>0</v>
      </c>
      <c r="F12" s="7"/>
      <c r="G12" s="17"/>
      <c r="I12" s="15"/>
    </row>
    <row r="13" spans="1:80">
      <c r="B13" s="4" t="s">
        <v>35</v>
      </c>
      <c r="C13" s="4"/>
      <c r="D13" s="8">
        <f>'BC NHANH'!C11</f>
        <v>0</v>
      </c>
      <c r="E13" s="5">
        <f t="shared" si="0"/>
        <v>0</v>
      </c>
      <c r="F13" s="7"/>
      <c r="G13" s="17"/>
      <c r="I13" s="15"/>
    </row>
    <row r="14" spans="1:80">
      <c r="B14" s="4" t="s">
        <v>36</v>
      </c>
      <c r="C14" s="4"/>
      <c r="D14" s="8">
        <f>'BC NHANH'!C12</f>
        <v>0</v>
      </c>
      <c r="E14" s="5">
        <f t="shared" si="0"/>
        <v>0</v>
      </c>
      <c r="F14" s="7"/>
      <c r="G14" s="17"/>
      <c r="I14" s="15"/>
    </row>
    <row r="15" spans="1:80">
      <c r="B15" s="4" t="s">
        <v>37</v>
      </c>
      <c r="C15" s="4"/>
      <c r="D15" s="8">
        <f>'BC NHANH'!C13</f>
        <v>0</v>
      </c>
      <c r="E15" s="5">
        <f t="shared" si="0"/>
        <v>0</v>
      </c>
      <c r="F15" s="7"/>
      <c r="G15" s="17"/>
      <c r="I15" s="15"/>
    </row>
    <row r="16" spans="1:80">
      <c r="B16" s="4" t="s">
        <v>38</v>
      </c>
      <c r="C16" s="4"/>
      <c r="D16" s="8">
        <f>'BC NHANH'!C14</f>
        <v>0</v>
      </c>
      <c r="E16" s="5">
        <f t="shared" si="0"/>
        <v>0</v>
      </c>
      <c r="F16" s="7"/>
      <c r="G16" s="17"/>
      <c r="I16" s="15"/>
    </row>
    <row r="17" spans="2:9">
      <c r="B17" s="4" t="s">
        <v>39</v>
      </c>
      <c r="C17" s="4"/>
      <c r="D17" s="8">
        <f>'BC NHANH'!C15</f>
        <v>0</v>
      </c>
      <c r="E17" s="5">
        <f t="shared" si="0"/>
        <v>0</v>
      </c>
      <c r="F17" s="7"/>
      <c r="G17" s="17"/>
      <c r="I17" s="15"/>
    </row>
    <row r="18" spans="2:9">
      <c r="B18" s="4" t="s">
        <v>40</v>
      </c>
      <c r="C18" s="4"/>
      <c r="D18" s="8">
        <f>'BC NHANH'!C16</f>
        <v>0</v>
      </c>
      <c r="E18" s="5">
        <f t="shared" si="0"/>
        <v>0</v>
      </c>
      <c r="F18" s="7"/>
      <c r="G18" s="17"/>
      <c r="I18" s="15"/>
    </row>
    <row r="19" spans="2:9">
      <c r="B19" s="4" t="s">
        <v>41</v>
      </c>
      <c r="C19" s="4"/>
      <c r="D19" s="8">
        <f>'BC NHANH'!C17</f>
        <v>0</v>
      </c>
      <c r="E19" s="5">
        <f t="shared" si="0"/>
        <v>0</v>
      </c>
      <c r="F19" s="7"/>
      <c r="G19" s="17"/>
      <c r="I19" s="15"/>
    </row>
    <row r="20" spans="2:9">
      <c r="B20" s="4" t="s">
        <v>42</v>
      </c>
      <c r="C20" s="4"/>
      <c r="D20" s="8">
        <f>'BC NHANH'!C18</f>
        <v>0</v>
      </c>
      <c r="E20" s="5">
        <f t="shared" si="0"/>
        <v>0</v>
      </c>
      <c r="F20" s="7"/>
      <c r="G20" s="17"/>
      <c r="I20" s="15"/>
    </row>
    <row r="21" spans="2:9">
      <c r="B21" s="4" t="s">
        <v>43</v>
      </c>
      <c r="C21" s="4"/>
      <c r="D21" s="8">
        <f>'BC NHANH'!C21</f>
        <v>0</v>
      </c>
      <c r="E21" s="5">
        <f t="shared" si="0"/>
        <v>0</v>
      </c>
      <c r="F21" s="7"/>
      <c r="G21" s="17"/>
      <c r="I21" s="15"/>
    </row>
    <row r="22" spans="2:9">
      <c r="B22" s="4" t="s">
        <v>44</v>
      </c>
      <c r="C22" s="4"/>
      <c r="D22" s="8">
        <f>'BC NHANH'!C22</f>
        <v>0</v>
      </c>
      <c r="E22" s="5">
        <f t="shared" si="0"/>
        <v>0</v>
      </c>
      <c r="F22" s="7"/>
      <c r="G22" s="17"/>
      <c r="I22" s="15"/>
    </row>
    <row r="23" spans="2:9">
      <c r="B23" s="4" t="s">
        <v>45</v>
      </c>
      <c r="C23" s="4"/>
      <c r="D23" s="8">
        <f>'BC NHANH'!C23</f>
        <v>0</v>
      </c>
      <c r="E23" s="5">
        <f t="shared" si="0"/>
        <v>0</v>
      </c>
      <c r="F23" s="7"/>
      <c r="G23" s="17"/>
      <c r="I23" s="15"/>
    </row>
    <row r="24" spans="2:9">
      <c r="B24" s="163" t="s">
        <v>46</v>
      </c>
      <c r="C24" s="163"/>
      <c r="D24" s="163">
        <f>YEAR('BCTC Nam N'!B4)</f>
        <v>1900</v>
      </c>
      <c r="E24" s="164">
        <f t="shared" si="0"/>
        <v>1900</v>
      </c>
      <c r="F24" s="7"/>
      <c r="G24" s="18"/>
      <c r="I24" s="15"/>
    </row>
    <row r="25" spans="2:9">
      <c r="B25" s="163" t="s">
        <v>47</v>
      </c>
      <c r="C25" s="165" t="s">
        <v>0</v>
      </c>
      <c r="D25" s="169">
        <f>IFERROR(VLOOKUP(C25,'BCTC Nam N'!$B$15:$C$131,2,0)/G5,0)</f>
        <v>0</v>
      </c>
      <c r="E25" s="164">
        <f t="shared" si="0"/>
        <v>0</v>
      </c>
      <c r="F25" s="7"/>
      <c r="G25" s="17"/>
      <c r="I25" s="15"/>
    </row>
    <row r="26" spans="2:9">
      <c r="B26" s="163" t="s">
        <v>48</v>
      </c>
      <c r="C26" s="165" t="s">
        <v>1</v>
      </c>
      <c r="D26" s="169">
        <f>IFERROR(VLOOKUP(C26,'BCTC Nam N'!$B$15:$C$131,2,0)/G5,0)</f>
        <v>0</v>
      </c>
      <c r="E26" s="164">
        <f t="shared" si="0"/>
        <v>0</v>
      </c>
      <c r="F26" s="7"/>
      <c r="G26" s="17"/>
      <c r="I26" s="15"/>
    </row>
    <row r="27" spans="2:9">
      <c r="B27" s="163" t="s">
        <v>49</v>
      </c>
      <c r="C27" s="165" t="s">
        <v>2</v>
      </c>
      <c r="D27" s="169">
        <f>IFERROR(VLOOKUP(C27,'BCTC Nam N'!$B$15:$C$131,2,0)/G5,0)</f>
        <v>0</v>
      </c>
      <c r="E27" s="164">
        <f t="shared" si="0"/>
        <v>0</v>
      </c>
      <c r="F27" s="7"/>
      <c r="G27" s="17"/>
      <c r="I27" s="15"/>
    </row>
    <row r="28" spans="2:9">
      <c r="B28" s="163" t="s">
        <v>50</v>
      </c>
      <c r="C28" s="165" t="s">
        <v>3</v>
      </c>
      <c r="D28" s="169">
        <f>IFERROR(VLOOKUP(C28,'BCTC Nam N'!$B$15:$C$131,2,0)/G5,0)</f>
        <v>0</v>
      </c>
      <c r="E28" s="164">
        <f t="shared" si="0"/>
        <v>0</v>
      </c>
      <c r="F28" s="7"/>
      <c r="G28" s="17"/>
      <c r="I28" s="15"/>
    </row>
    <row r="29" spans="2:9">
      <c r="B29" s="163" t="s">
        <v>51</v>
      </c>
      <c r="C29" s="165" t="s">
        <v>4</v>
      </c>
      <c r="D29" s="169">
        <f>IFERROR(VLOOKUP(C29,'BCTC Nam N'!$B$15:$C$131,2,0)/G5,0)</f>
        <v>0</v>
      </c>
      <c r="E29" s="164">
        <f t="shared" si="0"/>
        <v>0</v>
      </c>
      <c r="F29" s="7"/>
      <c r="G29" s="17"/>
      <c r="I29" s="15"/>
    </row>
    <row r="30" spans="2:9">
      <c r="B30" s="163" t="s">
        <v>52</v>
      </c>
      <c r="C30" s="165" t="s">
        <v>5</v>
      </c>
      <c r="D30" s="169">
        <f>IFERROR(VLOOKUP(C30,'BCTC Nam N'!$B$15:$C$131,2,0)/G5,0)</f>
        <v>0</v>
      </c>
      <c r="E30" s="164">
        <f t="shared" si="0"/>
        <v>0</v>
      </c>
      <c r="F30" s="7"/>
      <c r="G30" s="17"/>
      <c r="I30" s="15"/>
    </row>
    <row r="31" spans="2:9">
      <c r="B31" s="163" t="s">
        <v>53</v>
      </c>
      <c r="C31" s="165" t="s">
        <v>6</v>
      </c>
      <c r="D31" s="169">
        <f>IFERROR(VLOOKUP(C31,'BCTC Nam N'!$B$15:$C$131,2,0)/G5,0)</f>
        <v>0</v>
      </c>
      <c r="E31" s="164">
        <f t="shared" si="0"/>
        <v>0</v>
      </c>
      <c r="F31" s="7"/>
      <c r="G31" s="17"/>
      <c r="I31" s="15"/>
    </row>
    <row r="32" spans="2:9">
      <c r="B32" s="163" t="s">
        <v>54</v>
      </c>
      <c r="C32" s="165" t="s">
        <v>7</v>
      </c>
      <c r="D32" s="169">
        <f>IFERROR(VLOOKUP(C32,'BCTC Nam N'!$B$15:$C$131,2,0)/G5,0)</f>
        <v>0</v>
      </c>
      <c r="E32" s="164">
        <f t="shared" si="0"/>
        <v>0</v>
      </c>
      <c r="F32" s="7"/>
      <c r="G32" s="17"/>
      <c r="I32" s="15"/>
    </row>
    <row r="33" spans="2:9">
      <c r="B33" s="163" t="s">
        <v>55</v>
      </c>
      <c r="C33" s="165" t="s">
        <v>8</v>
      </c>
      <c r="D33" s="169">
        <f>IFERROR(VLOOKUP(C33,'BCTC Nam N'!$B$15:$C$131,2,0)/G5,0)</f>
        <v>0</v>
      </c>
      <c r="E33" s="164">
        <f t="shared" si="0"/>
        <v>0</v>
      </c>
      <c r="F33" s="7"/>
      <c r="G33" s="17"/>
      <c r="I33" s="15"/>
    </row>
    <row r="34" spans="2:9">
      <c r="B34" s="163" t="s">
        <v>56</v>
      </c>
      <c r="C34" s="165" t="s">
        <v>9</v>
      </c>
      <c r="D34" s="169">
        <f>IFERROR(VLOOKUP(C34,'BCTC Nam N'!$B$15:$C$131,2,0)/G5,0)</f>
        <v>0</v>
      </c>
      <c r="E34" s="164">
        <f t="shared" si="0"/>
        <v>0</v>
      </c>
      <c r="F34" s="7"/>
      <c r="G34" s="17"/>
      <c r="I34" s="15"/>
    </row>
    <row r="35" spans="2:9">
      <c r="B35" s="163" t="s">
        <v>57</v>
      </c>
      <c r="C35" s="165" t="s">
        <v>10</v>
      </c>
      <c r="D35" s="169">
        <f>IFERROR(VLOOKUP(C35,'BCTC Nam N'!$B$15:$C$131,2,0)/G5,0)</f>
        <v>0</v>
      </c>
      <c r="E35" s="164">
        <f t="shared" si="0"/>
        <v>0</v>
      </c>
      <c r="F35" s="7"/>
      <c r="G35" s="17"/>
      <c r="I35" s="15"/>
    </row>
    <row r="36" spans="2:9">
      <c r="B36" s="163" t="s">
        <v>58</v>
      </c>
      <c r="C36" s="165" t="s">
        <v>11</v>
      </c>
      <c r="D36" s="169">
        <f>IFERROR(VLOOKUP(C36,'BCTC Nam N'!$B$15:$C$131,2,0)/G5,0)</f>
        <v>0</v>
      </c>
      <c r="E36" s="164">
        <f t="shared" si="0"/>
        <v>0</v>
      </c>
      <c r="F36" s="7"/>
      <c r="G36" s="17"/>
      <c r="I36" s="15"/>
    </row>
    <row r="37" spans="2:9">
      <c r="B37" s="163" t="s">
        <v>59</v>
      </c>
      <c r="C37" s="165" t="s">
        <v>12</v>
      </c>
      <c r="D37" s="169">
        <f>IFERROR(VLOOKUP(C37,'BCTC Nam N'!$B$15:$C$131,2,0)/G5,0)</f>
        <v>0</v>
      </c>
      <c r="E37" s="164">
        <f t="shared" si="0"/>
        <v>0</v>
      </c>
      <c r="F37" s="7"/>
      <c r="G37" s="17"/>
      <c r="I37" s="15"/>
    </row>
    <row r="38" spans="2:9">
      <c r="B38" s="163" t="s">
        <v>60</v>
      </c>
      <c r="C38" s="165" t="s">
        <v>13</v>
      </c>
      <c r="D38" s="169">
        <f>IFERROR(VLOOKUP(C38,'BCTC Nam N'!$B$15:$C$131,2,0)/G5,0)</f>
        <v>0</v>
      </c>
      <c r="E38" s="164">
        <f t="shared" si="0"/>
        <v>0</v>
      </c>
      <c r="F38" s="7"/>
      <c r="G38" s="17"/>
      <c r="I38" s="15"/>
    </row>
    <row r="39" spans="2:9">
      <c r="B39" s="163" t="s">
        <v>61</v>
      </c>
      <c r="C39" s="165" t="s">
        <v>14</v>
      </c>
      <c r="D39" s="169">
        <f>IFERROR(VLOOKUP(C39,'BCTC Nam N'!$B$15:$C$131,2,0)/G5,0)</f>
        <v>0</v>
      </c>
      <c r="E39" s="164">
        <f t="shared" si="0"/>
        <v>0</v>
      </c>
      <c r="F39" s="7"/>
      <c r="G39" s="17"/>
      <c r="I39" s="15"/>
    </row>
    <row r="40" spans="2:9">
      <c r="B40" s="163" t="s">
        <v>62</v>
      </c>
      <c r="C40" s="165" t="s">
        <v>15</v>
      </c>
      <c r="D40" s="169">
        <f>IFERROR(VLOOKUP(C40,'BCTC Nam N'!$B$15:$C$131,2,0)/G5,0)</f>
        <v>0</v>
      </c>
      <c r="E40" s="164">
        <f t="shared" si="0"/>
        <v>0</v>
      </c>
      <c r="F40" s="7"/>
      <c r="G40" s="17"/>
      <c r="I40" s="15"/>
    </row>
    <row r="41" spans="2:9">
      <c r="B41" s="163" t="s">
        <v>63</v>
      </c>
      <c r="C41" s="165" t="s">
        <v>16</v>
      </c>
      <c r="D41" s="169">
        <f>IFERROR(VLOOKUP(C41,'BCTC Nam N'!$B$15:$C$131,2,0)/G5,0)</f>
        <v>0</v>
      </c>
      <c r="E41" s="164">
        <f t="shared" si="0"/>
        <v>0</v>
      </c>
      <c r="F41" s="7"/>
      <c r="G41" s="17"/>
      <c r="I41" s="15"/>
    </row>
    <row r="42" spans="2:9">
      <c r="B42" s="163" t="s">
        <v>64</v>
      </c>
      <c r="C42" s="165" t="s">
        <v>17</v>
      </c>
      <c r="D42" s="169">
        <f>IFERROR(VLOOKUP(C42,'BCTC Nam N'!$B$15:$C$131,2,0)/G5,0)</f>
        <v>0</v>
      </c>
      <c r="E42" s="164">
        <f t="shared" si="0"/>
        <v>0</v>
      </c>
      <c r="F42" s="7"/>
      <c r="G42" s="17"/>
      <c r="I42" s="15"/>
    </row>
    <row r="43" spans="2:9">
      <c r="B43" s="163" t="s">
        <v>65</v>
      </c>
      <c r="C43" s="165" t="s">
        <v>18</v>
      </c>
      <c r="D43" s="169">
        <f>IFERROR(VLOOKUP(C43,'BCTC Nam N'!$B$15:$C$131,2,0)/G5,0)</f>
        <v>0</v>
      </c>
      <c r="E43" s="164">
        <f t="shared" si="0"/>
        <v>0</v>
      </c>
      <c r="F43" s="7"/>
      <c r="G43" s="17"/>
      <c r="I43" s="15"/>
    </row>
    <row r="44" spans="2:9">
      <c r="B44" s="163" t="s">
        <v>66</v>
      </c>
      <c r="C44" s="165" t="s">
        <v>19</v>
      </c>
      <c r="D44" s="169">
        <f>IFERROR(VLOOKUP(C44,'BCTC Nam N'!$B$15:$C$131,2,0)/G5,0)</f>
        <v>0</v>
      </c>
      <c r="E44" s="164">
        <f t="shared" si="0"/>
        <v>0</v>
      </c>
      <c r="F44" s="7"/>
      <c r="G44" s="17"/>
      <c r="I44" s="15"/>
    </row>
    <row r="45" spans="2:9">
      <c r="B45" s="163" t="s">
        <v>67</v>
      </c>
      <c r="C45" s="165" t="s">
        <v>20</v>
      </c>
      <c r="D45" s="169">
        <f>IFERROR(VLOOKUP(C45,'BCTC Nam N'!$B$15:$C$131,2,0)/G5,0)</f>
        <v>0</v>
      </c>
      <c r="E45" s="164">
        <f t="shared" si="0"/>
        <v>0</v>
      </c>
      <c r="F45" s="7"/>
      <c r="G45" s="17"/>
      <c r="I45" s="15"/>
    </row>
    <row r="46" spans="2:9">
      <c r="B46" s="163" t="s">
        <v>68</v>
      </c>
      <c r="C46" s="165" t="s">
        <v>21</v>
      </c>
      <c r="D46" s="169">
        <f>IFERROR(VLOOKUP(C46,'BCTC Nam N'!$B$15:$C$131,2,0)/G5,0)</f>
        <v>0</v>
      </c>
      <c r="E46" s="164">
        <f t="shared" si="0"/>
        <v>0</v>
      </c>
      <c r="F46" s="7"/>
      <c r="G46" s="17"/>
      <c r="I46" s="15"/>
    </row>
    <row r="47" spans="2:9">
      <c r="B47" s="163" t="s">
        <v>69</v>
      </c>
      <c r="C47" s="165" t="s">
        <v>22</v>
      </c>
      <c r="D47" s="169">
        <f>IFERROR(VLOOKUP(C47,'BCTC Nam N'!$B$15:$C$131,2,0)/G5,0)</f>
        <v>0</v>
      </c>
      <c r="E47" s="164">
        <f t="shared" si="0"/>
        <v>0</v>
      </c>
      <c r="F47" s="7"/>
      <c r="G47" s="17"/>
      <c r="I47" s="15"/>
    </row>
    <row r="48" spans="2:9">
      <c r="B48" s="163" t="s">
        <v>70</v>
      </c>
      <c r="C48" s="165" t="s">
        <v>23</v>
      </c>
      <c r="D48" s="169">
        <f>IFERROR(VLOOKUP(C48,'BCTC Nam N'!$B$15:$C$131,2,0)/G5,0)</f>
        <v>0</v>
      </c>
      <c r="E48" s="164">
        <f t="shared" si="0"/>
        <v>0</v>
      </c>
      <c r="F48" s="7"/>
      <c r="G48" s="17"/>
      <c r="I48" s="15"/>
    </row>
    <row r="49" spans="2:9">
      <c r="B49" s="163" t="s">
        <v>71</v>
      </c>
      <c r="C49" s="165" t="s">
        <v>24</v>
      </c>
      <c r="D49" s="169">
        <f>IFERROR(VLOOKUP(C49,'BCTC Nam N'!$B$15:$C$131,2,0)/G5,0)</f>
        <v>0</v>
      </c>
      <c r="E49" s="164">
        <f t="shared" si="0"/>
        <v>0</v>
      </c>
      <c r="F49" s="7"/>
      <c r="G49" s="17"/>
      <c r="I49" s="15"/>
    </row>
    <row r="50" spans="2:9">
      <c r="B50" s="163" t="s">
        <v>72</v>
      </c>
      <c r="C50" s="165" t="s">
        <v>25</v>
      </c>
      <c r="D50" s="169">
        <f>IFERROR(VLOOKUP(C50,'BCTC Nam N'!$B$133:$C$157,2,0)/G5,0)</f>
        <v>0</v>
      </c>
      <c r="E50" s="164">
        <f t="shared" si="0"/>
        <v>0</v>
      </c>
      <c r="F50" s="7"/>
      <c r="G50" s="17"/>
      <c r="I50" s="15"/>
    </row>
    <row r="51" spans="2:9">
      <c r="B51" s="163" t="s">
        <v>73</v>
      </c>
      <c r="C51" s="165" t="s">
        <v>26</v>
      </c>
      <c r="D51" s="169">
        <f>IFERROR(VLOOKUP(C51,'BCTC Nam N'!$B$133:$C$157,2,0)/G5,0)</f>
        <v>0</v>
      </c>
      <c r="E51" s="164">
        <f t="shared" si="0"/>
        <v>0</v>
      </c>
      <c r="F51" s="7"/>
      <c r="G51" s="17"/>
      <c r="I51" s="15"/>
    </row>
    <row r="52" spans="2:9">
      <c r="B52" s="163" t="s">
        <v>74</v>
      </c>
      <c r="C52" s="165" t="s">
        <v>27</v>
      </c>
      <c r="D52" s="169">
        <f>IFERROR(VLOOKUP(C52,'BCTC Nam N'!$B$133:$C$157,2,0)/G5,0)</f>
        <v>0</v>
      </c>
      <c r="E52" s="164">
        <f t="shared" si="0"/>
        <v>0</v>
      </c>
      <c r="F52" s="7"/>
      <c r="G52" s="17"/>
      <c r="I52" s="15"/>
    </row>
    <row r="53" spans="2:9">
      <c r="B53" s="163" t="s">
        <v>75</v>
      </c>
      <c r="C53" s="165" t="s">
        <v>28</v>
      </c>
      <c r="D53" s="169">
        <f>IFERROR(VLOOKUP(C53,'BCTC Nam N'!$B$133:$C$157,2,0)/G5,0)</f>
        <v>0</v>
      </c>
      <c r="E53" s="164">
        <f t="shared" si="0"/>
        <v>0</v>
      </c>
      <c r="F53" s="7"/>
      <c r="G53" s="17"/>
      <c r="I53" s="15"/>
    </row>
    <row r="54" spans="2:9">
      <c r="B54" s="166" t="s">
        <v>76</v>
      </c>
      <c r="C54" s="167"/>
      <c r="D54" s="170">
        <f>YEAR('BCTC Nam N-1'!B4)</f>
        <v>1900</v>
      </c>
      <c r="E54" s="164">
        <f t="shared" si="0"/>
        <v>1900</v>
      </c>
      <c r="F54" s="7"/>
      <c r="G54" s="18"/>
      <c r="I54" s="15"/>
    </row>
    <row r="55" spans="2:9">
      <c r="B55" s="167" t="s">
        <v>77</v>
      </c>
      <c r="C55" s="168" t="s">
        <v>0</v>
      </c>
      <c r="D55" s="171">
        <f>IFERROR(VLOOKUP(C55,'BCTC Nam N-1'!$B$15:$C$131,2,0)/G5,0)</f>
        <v>0</v>
      </c>
      <c r="E55" s="164">
        <f t="shared" si="0"/>
        <v>0</v>
      </c>
      <c r="F55" s="7"/>
      <c r="G55" s="17"/>
      <c r="I55" s="15"/>
    </row>
    <row r="56" spans="2:9">
      <c r="B56" s="167" t="s">
        <v>78</v>
      </c>
      <c r="C56" s="168" t="s">
        <v>0</v>
      </c>
      <c r="D56" s="171">
        <f>IFERROR(VLOOKUP(C56,'BCTC Nam N-2'!$B$15:$C$131,2,0)/G5,0)</f>
        <v>0</v>
      </c>
      <c r="E56" s="164">
        <f t="shared" si="0"/>
        <v>0</v>
      </c>
      <c r="F56" s="7"/>
      <c r="G56" s="17"/>
      <c r="I56" s="15"/>
    </row>
    <row r="57" spans="2:9">
      <c r="B57" s="167" t="s">
        <v>79</v>
      </c>
      <c r="C57" s="168" t="s">
        <v>1</v>
      </c>
      <c r="D57" s="171">
        <f>IFERROR(VLOOKUP(C57,'BCTC Nam N-1'!$B$15:$C$131,2,0)/G5,0)</f>
        <v>0</v>
      </c>
      <c r="E57" s="164">
        <f t="shared" si="0"/>
        <v>0</v>
      </c>
      <c r="F57" s="7"/>
      <c r="G57" s="17"/>
      <c r="I57" s="15"/>
    </row>
    <row r="58" spans="2:9">
      <c r="B58" s="167" t="s">
        <v>80</v>
      </c>
      <c r="C58" s="168" t="s">
        <v>2</v>
      </c>
      <c r="D58" s="171">
        <f>IFERROR(VLOOKUP(C58,'BCTC Nam N-1'!$B$15:$C$131,2,0)/G5,0)</f>
        <v>0</v>
      </c>
      <c r="E58" s="164">
        <f t="shared" si="0"/>
        <v>0</v>
      </c>
      <c r="F58" s="7"/>
      <c r="G58" s="17"/>
      <c r="I58" s="15"/>
    </row>
    <row r="59" spans="2:9">
      <c r="B59" s="167" t="s">
        <v>81</v>
      </c>
      <c r="C59" s="168" t="s">
        <v>3</v>
      </c>
      <c r="D59" s="171">
        <f>IFERROR(VLOOKUP(C59,'BCTC Nam N-1'!$B$15:$C$131,2,0)/G5,0)</f>
        <v>0</v>
      </c>
      <c r="E59" s="164">
        <f t="shared" si="0"/>
        <v>0</v>
      </c>
      <c r="F59" s="7"/>
      <c r="G59" s="17"/>
      <c r="I59" s="15"/>
    </row>
    <row r="60" spans="2:9">
      <c r="B60" s="167" t="s">
        <v>82</v>
      </c>
      <c r="C60" s="168" t="s">
        <v>3</v>
      </c>
      <c r="D60" s="171">
        <f>IFERROR(VLOOKUP(C60,'BCTC Nam N-2'!$B$15:$C$131,2,0)/G5,0)</f>
        <v>0</v>
      </c>
      <c r="E60" s="164">
        <f t="shared" si="0"/>
        <v>0</v>
      </c>
      <c r="F60" s="7"/>
      <c r="G60" s="17"/>
      <c r="I60" s="15"/>
    </row>
    <row r="61" spans="2:9">
      <c r="B61" s="167" t="s">
        <v>83</v>
      </c>
      <c r="C61" s="168" t="s">
        <v>4</v>
      </c>
      <c r="D61" s="171">
        <f>IFERROR(VLOOKUP(C61,'BCTC Nam N-1'!$B$15:$C$131,2,0)/G5,0)</f>
        <v>0</v>
      </c>
      <c r="E61" s="164">
        <f t="shared" si="0"/>
        <v>0</v>
      </c>
      <c r="F61" s="7"/>
      <c r="G61" s="17"/>
      <c r="I61" s="15"/>
    </row>
    <row r="62" spans="2:9">
      <c r="B62" s="167" t="s">
        <v>84</v>
      </c>
      <c r="C62" s="168" t="s">
        <v>5</v>
      </c>
      <c r="D62" s="171">
        <f>IFERROR(VLOOKUP(C62,'BCTC Nam N-1'!$B$15:$C$131,2,0)/G5,0)</f>
        <v>0</v>
      </c>
      <c r="E62" s="164">
        <f t="shared" si="0"/>
        <v>0</v>
      </c>
      <c r="F62" s="7"/>
      <c r="G62" s="17"/>
      <c r="I62" s="15"/>
    </row>
    <row r="63" spans="2:9">
      <c r="B63" s="167" t="s">
        <v>85</v>
      </c>
      <c r="C63" s="168" t="s">
        <v>6</v>
      </c>
      <c r="D63" s="171">
        <f>IFERROR(VLOOKUP(C63,'BCTC Nam N-1'!$B$15:$C$131,2,0)/G5,0)</f>
        <v>0</v>
      </c>
      <c r="E63" s="164">
        <f t="shared" si="0"/>
        <v>0</v>
      </c>
      <c r="F63" s="7"/>
      <c r="G63" s="17"/>
      <c r="I63" s="15"/>
    </row>
    <row r="64" spans="2:9">
      <c r="B64" s="167" t="s">
        <v>86</v>
      </c>
      <c r="C64" s="168" t="s">
        <v>7</v>
      </c>
      <c r="D64" s="171">
        <f>IFERROR(VLOOKUP(C64,'BCTC Nam N-1'!$B$15:$C$131,2,0)/G5,0)</f>
        <v>0</v>
      </c>
      <c r="E64" s="164">
        <f t="shared" si="0"/>
        <v>0</v>
      </c>
      <c r="F64" s="7"/>
      <c r="G64" s="17"/>
      <c r="I64" s="15"/>
    </row>
    <row r="65" spans="2:9">
      <c r="B65" s="167" t="s">
        <v>87</v>
      </c>
      <c r="C65" s="168" t="s">
        <v>7</v>
      </c>
      <c r="D65" s="171">
        <f>IFERROR(VLOOKUP(C65,'BCTC Nam N-1'!$B$15:$C$131,2,0)/G5,0)</f>
        <v>0</v>
      </c>
      <c r="E65" s="164">
        <f t="shared" si="0"/>
        <v>0</v>
      </c>
      <c r="F65" s="7"/>
      <c r="G65" s="17"/>
      <c r="I65" s="15"/>
    </row>
    <row r="66" spans="2:9">
      <c r="B66" s="167" t="s">
        <v>88</v>
      </c>
      <c r="C66" s="168" t="s">
        <v>8</v>
      </c>
      <c r="D66" s="171">
        <f>IFERROR(VLOOKUP(C66,'BCTC Nam N-1'!$B$15:$C$131,2,0)/G5,0)</f>
        <v>0</v>
      </c>
      <c r="E66" s="164">
        <f t="shared" si="0"/>
        <v>0</v>
      </c>
      <c r="F66" s="7"/>
      <c r="G66" s="17"/>
      <c r="I66" s="15"/>
    </row>
    <row r="67" spans="2:9">
      <c r="B67" s="167" t="s">
        <v>89</v>
      </c>
      <c r="C67" s="168" t="s">
        <v>9</v>
      </c>
      <c r="D67" s="171">
        <f>IFERROR(VLOOKUP(C67,'BCTC Nam N-1'!$B$15:$C$131,2,0)/G5,0)</f>
        <v>0</v>
      </c>
      <c r="E67" s="164">
        <f t="shared" si="0"/>
        <v>0</v>
      </c>
      <c r="F67" s="7"/>
      <c r="G67" s="17"/>
      <c r="I67" s="15"/>
    </row>
    <row r="68" spans="2:9">
      <c r="B68" s="167" t="s">
        <v>90</v>
      </c>
      <c r="C68" s="168" t="s">
        <v>10</v>
      </c>
      <c r="D68" s="171">
        <f>IFERROR(VLOOKUP(C68,'BCTC Nam N-1'!$B$15:$C$131,2,0)/G5,0)</f>
        <v>0</v>
      </c>
      <c r="E68" s="164">
        <f t="shared" si="0"/>
        <v>0</v>
      </c>
      <c r="F68" s="7"/>
      <c r="G68" s="17"/>
      <c r="I68" s="15"/>
    </row>
    <row r="69" spans="2:9">
      <c r="B69" s="167" t="s">
        <v>91</v>
      </c>
      <c r="C69" s="168" t="s">
        <v>11</v>
      </c>
      <c r="D69" s="171">
        <f>IFERROR(VLOOKUP(C69,'BCTC Nam N-1'!$B$15:$C$131,2,0)/G5,0)</f>
        <v>0</v>
      </c>
      <c r="E69" s="164">
        <f t="shared" si="0"/>
        <v>0</v>
      </c>
      <c r="F69" s="7"/>
      <c r="G69" s="17"/>
      <c r="I69" s="15"/>
    </row>
    <row r="70" spans="2:9">
      <c r="B70" s="167" t="s">
        <v>92</v>
      </c>
      <c r="C70" s="168" t="s">
        <v>12</v>
      </c>
      <c r="D70" s="171">
        <f>IFERROR(VLOOKUP(C70,'BCTC Nam N-1'!$B$15:$C$131,2,0)/G5,0)</f>
        <v>0</v>
      </c>
      <c r="E70" s="164">
        <f t="shared" si="0"/>
        <v>0</v>
      </c>
      <c r="F70" s="7"/>
      <c r="G70" s="17"/>
      <c r="I70" s="15"/>
    </row>
    <row r="71" spans="2:9">
      <c r="B71" s="167" t="s">
        <v>93</v>
      </c>
      <c r="C71" s="168" t="s">
        <v>13</v>
      </c>
      <c r="D71" s="171">
        <f>IFERROR(VLOOKUP(C71,'BCTC Nam N-1'!$B$15:$C$131,2,0)/G5,0)</f>
        <v>0</v>
      </c>
      <c r="E71" s="164">
        <f t="shared" si="0"/>
        <v>0</v>
      </c>
      <c r="F71" s="7"/>
      <c r="G71" s="17"/>
      <c r="I71" s="15"/>
    </row>
    <row r="72" spans="2:9">
      <c r="B72" s="167" t="s">
        <v>94</v>
      </c>
      <c r="C72" s="168" t="s">
        <v>14</v>
      </c>
      <c r="D72" s="171">
        <f>IFERROR(VLOOKUP(C72,'BCTC Nam N-1'!$B$15:$C$131,2,0)/G5,0)</f>
        <v>0</v>
      </c>
      <c r="E72" s="164">
        <f t="shared" si="0"/>
        <v>0</v>
      </c>
      <c r="F72" s="7"/>
      <c r="G72" s="17"/>
      <c r="I72" s="15"/>
    </row>
    <row r="73" spans="2:9">
      <c r="B73" s="167" t="s">
        <v>95</v>
      </c>
      <c r="C73" s="168" t="s">
        <v>15</v>
      </c>
      <c r="D73" s="171">
        <f>IFERROR(VLOOKUP(C73,'BCTC Nam N-1'!$B$15:$C$131,2,0)/G5,0)</f>
        <v>0</v>
      </c>
      <c r="E73" s="164">
        <f t="shared" ref="E73:E86" si="1">ROUND(D73,0)</f>
        <v>0</v>
      </c>
      <c r="F73" s="7"/>
      <c r="G73" s="17"/>
      <c r="I73" s="15"/>
    </row>
    <row r="74" spans="2:9">
      <c r="B74" s="167" t="s">
        <v>96</v>
      </c>
      <c r="C74" s="168" t="s">
        <v>16</v>
      </c>
      <c r="D74" s="171">
        <f>IFERROR(VLOOKUP(C74,'BCTC Nam N-1'!$B$15:$C$131,2,0)/G5,0)</f>
        <v>0</v>
      </c>
      <c r="E74" s="164">
        <f t="shared" si="1"/>
        <v>0</v>
      </c>
      <c r="F74" s="7"/>
      <c r="G74" s="17"/>
      <c r="I74" s="15"/>
    </row>
    <row r="75" spans="2:9">
      <c r="B75" s="167" t="s">
        <v>97</v>
      </c>
      <c r="C75" s="168" t="s">
        <v>17</v>
      </c>
      <c r="D75" s="171">
        <f>IFERROR(VLOOKUP(C75,'BCTC Nam N-1'!$B$15:$C$131,2,0)/G5,0)</f>
        <v>0</v>
      </c>
      <c r="E75" s="164">
        <f t="shared" si="1"/>
        <v>0</v>
      </c>
      <c r="F75" s="7"/>
      <c r="G75" s="17"/>
      <c r="I75" s="15"/>
    </row>
    <row r="76" spans="2:9">
      <c r="B76" s="167" t="s">
        <v>98</v>
      </c>
      <c r="C76" s="168" t="s">
        <v>18</v>
      </c>
      <c r="D76" s="171">
        <f>IFERROR(VLOOKUP(C76,'BCTC Nam N-1'!$B$15:$C$131,2,0)/G5,0)</f>
        <v>0</v>
      </c>
      <c r="E76" s="164">
        <f t="shared" si="1"/>
        <v>0</v>
      </c>
      <c r="F76" s="7"/>
      <c r="G76" s="17"/>
      <c r="I76" s="15"/>
    </row>
    <row r="77" spans="2:9">
      <c r="B77" s="167" t="s">
        <v>99</v>
      </c>
      <c r="C77" s="168" t="s">
        <v>19</v>
      </c>
      <c r="D77" s="171">
        <f>IFERROR(VLOOKUP(C77,'BCTC Nam N-1'!$B$15:$C$131,2,0)/G5,0)</f>
        <v>0</v>
      </c>
      <c r="E77" s="164">
        <f t="shared" si="1"/>
        <v>0</v>
      </c>
      <c r="F77" s="7"/>
      <c r="G77" s="17"/>
      <c r="I77" s="15"/>
    </row>
    <row r="78" spans="2:9">
      <c r="B78" s="167" t="s">
        <v>100</v>
      </c>
      <c r="C78" s="168" t="s">
        <v>20</v>
      </c>
      <c r="D78" s="171">
        <f>IFERROR(VLOOKUP(C78,'BCTC Nam N-1'!$B$15:$C$131,2,0)/G5,0)</f>
        <v>0</v>
      </c>
      <c r="E78" s="164">
        <f t="shared" si="1"/>
        <v>0</v>
      </c>
      <c r="F78" s="7"/>
      <c r="G78" s="17"/>
      <c r="I78" s="15"/>
    </row>
    <row r="79" spans="2:9">
      <c r="B79" s="167" t="s">
        <v>101</v>
      </c>
      <c r="C79" s="168" t="s">
        <v>21</v>
      </c>
      <c r="D79" s="171">
        <f>IFERROR(VLOOKUP(C79,'BCTC Nam N-1'!$B$15:$C$131,2,0)/G5,0)</f>
        <v>0</v>
      </c>
      <c r="E79" s="164">
        <f t="shared" si="1"/>
        <v>0</v>
      </c>
      <c r="F79" s="7"/>
      <c r="G79" s="17"/>
      <c r="I79" s="15"/>
    </row>
    <row r="80" spans="2:9">
      <c r="B80" s="167" t="s">
        <v>102</v>
      </c>
      <c r="C80" s="168" t="s">
        <v>22</v>
      </c>
      <c r="D80" s="171">
        <f>IFERROR(VLOOKUP(C80,'BCTC Nam N-1'!$B$15:$C$131,2,0)/G5,0)</f>
        <v>0</v>
      </c>
      <c r="E80" s="164">
        <f t="shared" si="1"/>
        <v>0</v>
      </c>
      <c r="F80" s="7"/>
      <c r="G80" s="17"/>
      <c r="I80" s="15"/>
    </row>
    <row r="81" spans="2:9">
      <c r="B81" s="167" t="s">
        <v>103</v>
      </c>
      <c r="C81" s="168" t="s">
        <v>23</v>
      </c>
      <c r="D81" s="171">
        <f>IFERROR(VLOOKUP(C81,'BCTC Nam N-1'!$B$15:$C$131,2,0)/G5,0)</f>
        <v>0</v>
      </c>
      <c r="E81" s="164">
        <f t="shared" si="1"/>
        <v>0</v>
      </c>
      <c r="F81" s="7"/>
      <c r="G81" s="17"/>
      <c r="I81" s="15"/>
    </row>
    <row r="82" spans="2:9">
      <c r="B82" s="167" t="s">
        <v>104</v>
      </c>
      <c r="C82" s="168" t="s">
        <v>24</v>
      </c>
      <c r="D82" s="171">
        <f>IFERROR(VLOOKUP(C82,'BCTC Nam N-1'!$B$15:$C$131,2,0)/G5,0)</f>
        <v>0</v>
      </c>
      <c r="E82" s="164">
        <f t="shared" si="1"/>
        <v>0</v>
      </c>
      <c r="F82" s="7"/>
      <c r="G82" s="17"/>
      <c r="I82" s="15"/>
    </row>
    <row r="83" spans="2:9">
      <c r="B83" s="167" t="s">
        <v>105</v>
      </c>
      <c r="C83" s="168" t="s">
        <v>25</v>
      </c>
      <c r="D83" s="171">
        <f>IFERROR(VLOOKUP(C83,'BCTC Nam N-1'!$B$133:$C$157,2,0)/G5,0)</f>
        <v>0</v>
      </c>
      <c r="E83" s="164">
        <f t="shared" si="1"/>
        <v>0</v>
      </c>
      <c r="F83" s="7"/>
      <c r="G83" s="17"/>
      <c r="I83" s="15"/>
    </row>
    <row r="84" spans="2:9">
      <c r="B84" s="167" t="s">
        <v>106</v>
      </c>
      <c r="C84" s="168" t="s">
        <v>26</v>
      </c>
      <c r="D84" s="171">
        <f>IFERROR(VLOOKUP(C84,'BCTC Nam N-1'!$B$133:$C$157,2,0)/G5,0)</f>
        <v>0</v>
      </c>
      <c r="E84" s="164">
        <f t="shared" si="1"/>
        <v>0</v>
      </c>
      <c r="F84" s="7"/>
      <c r="G84" s="17"/>
      <c r="I84" s="15"/>
    </row>
    <row r="85" spans="2:9">
      <c r="B85" s="167" t="s">
        <v>107</v>
      </c>
      <c r="C85" s="168" t="s">
        <v>27</v>
      </c>
      <c r="D85" s="171">
        <f>IFERROR(VLOOKUP(C85,'BCTC Nam N-1'!$B$133:$C$157,2,0)/G5,0)</f>
        <v>0</v>
      </c>
      <c r="E85" s="164">
        <f t="shared" si="1"/>
        <v>0</v>
      </c>
      <c r="F85" s="7"/>
      <c r="G85" s="17"/>
      <c r="I85" s="15"/>
    </row>
    <row r="86" spans="2:9">
      <c r="B86" s="167" t="s">
        <v>108</v>
      </c>
      <c r="C86" s="168" t="s">
        <v>28</v>
      </c>
      <c r="D86" s="171">
        <f>IFERROR(VLOOKUP(C86,'BCTC Nam N-1'!$B$133:$C$157,2,0)/G5,0)</f>
        <v>0</v>
      </c>
      <c r="E86" s="164">
        <f t="shared" si="1"/>
        <v>0</v>
      </c>
      <c r="F86" s="7"/>
      <c r="G86" s="17"/>
      <c r="I86" s="15"/>
    </row>
    <row r="87" spans="2:9">
      <c r="B87" s="4"/>
      <c r="C87" s="4"/>
      <c r="D87" s="4"/>
    </row>
    <row r="88" spans="2:9">
      <c r="B88" s="4"/>
      <c r="C88" s="4"/>
      <c r="D88" s="4"/>
    </row>
    <row r="89" spans="2:9">
      <c r="B89" s="4"/>
      <c r="C89" s="4"/>
      <c r="D89" s="4"/>
    </row>
    <row r="90" spans="2:9">
      <c r="B90" s="4"/>
      <c r="C90" s="4"/>
      <c r="D90" s="4"/>
    </row>
    <row r="91" spans="2:9">
      <c r="B91" s="4"/>
      <c r="C91" s="4"/>
      <c r="D91" s="4"/>
    </row>
    <row r="92" spans="2:9">
      <c r="B92" s="4"/>
      <c r="C92" s="4"/>
      <c r="D92" s="4"/>
    </row>
    <row r="93" spans="2:9">
      <c r="B93" s="4"/>
      <c r="C93" s="4"/>
      <c r="D93" s="4"/>
    </row>
    <row r="94" spans="2:9">
      <c r="B94" s="4"/>
      <c r="C94" s="4"/>
      <c r="D94" s="4"/>
    </row>
    <row r="95" spans="2:9">
      <c r="B95" s="4"/>
      <c r="C95" s="4"/>
      <c r="D95" s="4"/>
    </row>
    <row r="96" spans="2:9">
      <c r="B96" s="4"/>
      <c r="C96" s="4"/>
      <c r="D96" s="4"/>
    </row>
    <row r="97" spans="2:4">
      <c r="B97" s="4"/>
      <c r="C97" s="4"/>
      <c r="D97" s="4"/>
    </row>
    <row r="98" spans="2:4">
      <c r="B98" s="4"/>
      <c r="C98" s="4"/>
      <c r="D98" s="4"/>
    </row>
  </sheetData>
  <sheetProtection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MENU</vt:lpstr>
      <vt:lpstr>BC NHANH</vt:lpstr>
      <vt:lpstr>BCTC Nam N</vt:lpstr>
      <vt:lpstr>BCTC Nam N-1</vt:lpstr>
      <vt:lpstr>BCTC Nam N-2</vt:lpstr>
      <vt:lpstr>KETQUA_KD</vt:lpstr>
      <vt:lpstr>CHI_SO</vt:lpstr>
      <vt:lpstr>CAN_DOI</vt:lpstr>
      <vt:lpstr>TONGHOP</vt:lpstr>
      <vt:lpstr>Bao_cao_nhanh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Hoang Thach - 3613</dc:creator>
  <cp:lastModifiedBy>Hoang Thach - 3612</cp:lastModifiedBy>
  <cp:lastPrinted>2024-04-19T04:20:57Z</cp:lastPrinted>
  <dcterms:created xsi:type="dcterms:W3CDTF">2023-10-26T09:48:31Z</dcterms:created>
  <dcterms:modified xsi:type="dcterms:W3CDTF">2024-05-04T07:37:41Z</dcterms:modified>
</cp:coreProperties>
</file>