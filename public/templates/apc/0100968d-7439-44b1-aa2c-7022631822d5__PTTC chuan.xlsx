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drawings/drawing16.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codeName="Sô_la_mviê_cNa_y" defaultThemeVersion="124226"/>
  <bookViews>
    <workbookView xWindow="3120" yWindow="3120" windowWidth="15600" windowHeight="11385" tabRatio="854"/>
  </bookViews>
  <sheets>
    <sheet name="MENU" sheetId="13" r:id="rId1"/>
    <sheet name="CĐKT" sheetId="10" r:id="rId2"/>
    <sheet name="CĐKT-Word" sheetId="19" r:id="rId3"/>
    <sheet name="KQKD" sheetId="17" r:id="rId4"/>
    <sheet name="KQKD-Word" sheetId="11" r:id="rId5"/>
    <sheet name="KQKD-Word dự báo" sheetId="21" r:id="rId6"/>
    <sheet name="PTTC" sheetId="12" r:id="rId7"/>
    <sheet name="SSKQ" sheetId="7" r:id="rId8"/>
    <sheet name="SSKQ-Word" sheetId="18" r:id="rId9"/>
    <sheet name="DN-CIC-NCV" sheetId="20" r:id="rId10"/>
    <sheet name="BCNHANH" sheetId="16" r:id="rId11"/>
    <sheet name="HMTD-DN" sheetId="15" r:id="rId12"/>
    <sheet name="HMTD-NH" sheetId="22" r:id="rId13"/>
    <sheet name="PTBD" sheetId="2" r:id="rId14"/>
    <sheet name="Bieudo" sheetId="14" r:id="rId15"/>
    <sheet name="00000000" sheetId="4" state="veryHidden" r:id="rId16"/>
  </sheets>
  <externalReferences>
    <externalReference r:id="rId17"/>
  </externalReferences>
  <definedNames>
    <definedName name="_Fill" localSheetId="2" hidden="1">#REF!</definedName>
    <definedName name="_Fill" localSheetId="12" hidden="1">#REF!</definedName>
    <definedName name="_Fill" localSheetId="3" hidden="1">#REF!</definedName>
    <definedName name="_Fill" localSheetId="5" hidden="1">#REF!</definedName>
    <definedName name="_Fill" localSheetId="8" hidden="1">#REF!</definedName>
    <definedName name="_Fill" hidden="1">#REF!</definedName>
    <definedName name="_Hlk501003162" localSheetId="10">BCNHANH!$E$1</definedName>
    <definedName name="BCN" localSheetId="10">MENU!#REF!</definedName>
    <definedName name="BCN" localSheetId="2">MENU!#REF!</definedName>
    <definedName name="BCN" localSheetId="12">MENU!#REF!</definedName>
    <definedName name="BCN" localSheetId="3">MENU!#REF!</definedName>
    <definedName name="BCN" localSheetId="5">MENU!#REF!</definedName>
    <definedName name="BCN" localSheetId="8">MENU!#REF!</definedName>
    <definedName name="BCN">MENU!#REF!</definedName>
    <definedName name="MS">[1]CDPS!$B$11:$B$219</definedName>
    <definedName name="_xlnm.Print_Area" localSheetId="13">PTBD!#REF!</definedName>
    <definedName name="_xlnm.Print_Area" localSheetId="7">SSKQ!$A$3:$K$36</definedName>
    <definedName name="_xlnm.Print_Area" localSheetId="8">'SSKQ-Word'!$A$3:$L$36</definedName>
    <definedName name="PSCKC">[1]CDPS!$J$11:$J$219</definedName>
    <definedName name="PSCKN">[1]CDPS!$I$11:$I$219</definedName>
    <definedName name="PSDKC">[1]CDPS!$F$11:$F$219</definedName>
    <definedName name="PSDKN">[1]CDPS!$E$11:$E$219</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2" i="22"/>
  <c r="D3"/>
  <c r="D7" s="1"/>
  <c r="D9" s="1"/>
  <c r="B4" i="15"/>
  <c r="G18" i="21" l="1"/>
  <c r="H18" s="1"/>
  <c r="I18" s="1"/>
  <c r="G6"/>
  <c r="H6" s="1"/>
  <c r="I6" s="1"/>
  <c r="E21"/>
  <c r="G21" s="1"/>
  <c r="H21" s="1"/>
  <c r="I21" s="1"/>
  <c r="F19"/>
  <c r="D19"/>
  <c r="E18"/>
  <c r="E17"/>
  <c r="G17" s="1"/>
  <c r="H17" s="1"/>
  <c r="I17" s="1"/>
  <c r="E15"/>
  <c r="G15" s="1"/>
  <c r="H15" s="1"/>
  <c r="I15" s="1"/>
  <c r="E14"/>
  <c r="G14" s="1"/>
  <c r="H14" s="1"/>
  <c r="I14" s="1"/>
  <c r="E13"/>
  <c r="G13" s="1"/>
  <c r="H13" s="1"/>
  <c r="I13" s="1"/>
  <c r="E12"/>
  <c r="G12" s="1"/>
  <c r="H12" s="1"/>
  <c r="I12" s="1"/>
  <c r="E11"/>
  <c r="G11" s="1"/>
  <c r="H11" s="1"/>
  <c r="I11" s="1"/>
  <c r="F10"/>
  <c r="F16" s="1"/>
  <c r="F20" s="1"/>
  <c r="F22" s="1"/>
  <c r="E9"/>
  <c r="G9" s="1"/>
  <c r="H9" s="1"/>
  <c r="I9" s="1"/>
  <c r="F8"/>
  <c r="D8"/>
  <c r="D10" s="1"/>
  <c r="D16" s="1"/>
  <c r="E7"/>
  <c r="G7" s="1"/>
  <c r="H7" s="1"/>
  <c r="I7" s="1"/>
  <c r="E6"/>
  <c r="E19" l="1"/>
  <c r="G19" s="1"/>
  <c r="H19" s="1"/>
  <c r="I19" s="1"/>
  <c r="D20"/>
  <c r="D22" s="1"/>
  <c r="E8"/>
  <c r="G8" s="1"/>
  <c r="H8" s="1"/>
  <c r="I8" s="1"/>
  <c r="E10"/>
  <c r="G10" s="1"/>
  <c r="H10" s="1"/>
  <c r="I10" s="1"/>
  <c r="E16" l="1"/>
  <c r="G16" s="1"/>
  <c r="H16" s="1"/>
  <c r="I16" s="1"/>
  <c r="B3" i="20"/>
  <c r="D3"/>
  <c r="B8"/>
  <c r="D8"/>
  <c r="D13" l="1"/>
  <c r="B48" i="22"/>
  <c r="A48"/>
  <c r="B47"/>
  <c r="A47"/>
  <c r="A46"/>
  <c r="B46"/>
  <c r="B45"/>
  <c r="B49" s="1"/>
  <c r="A45"/>
  <c r="E20" i="21"/>
  <c r="G20" s="1"/>
  <c r="H20" s="1"/>
  <c r="I20" s="1"/>
  <c r="B13" i="20"/>
  <c r="E36"/>
  <c r="E37" s="1"/>
  <c r="E35"/>
  <c r="F37"/>
  <c r="G37"/>
  <c r="C37"/>
  <c r="C19"/>
  <c r="C18" s="1"/>
  <c r="D19"/>
  <c r="D18" s="1"/>
  <c r="E19"/>
  <c r="E18" s="1"/>
  <c r="F19"/>
  <c r="F18" s="1"/>
  <c r="G19"/>
  <c r="G18" s="1"/>
  <c r="H19"/>
  <c r="H18" s="1"/>
  <c r="I19"/>
  <c r="I18" s="1"/>
  <c r="C25"/>
  <c r="C24" s="1"/>
  <c r="D25"/>
  <c r="D24" s="1"/>
  <c r="E25"/>
  <c r="E24" s="1"/>
  <c r="F25"/>
  <c r="F24" s="1"/>
  <c r="G25"/>
  <c r="G24" s="1"/>
  <c r="H25"/>
  <c r="H24" s="1"/>
  <c r="I25"/>
  <c r="I24" s="1"/>
  <c r="B25"/>
  <c r="B24" s="1"/>
  <c r="B19"/>
  <c r="B18" s="1"/>
  <c r="A49" i="22" l="1"/>
  <c r="E22" i="21"/>
  <c r="G22" s="1"/>
  <c r="H22" s="1"/>
  <c r="I22" s="1"/>
  <c r="H30" i="20"/>
  <c r="I30"/>
  <c r="E30"/>
  <c r="D30"/>
  <c r="B30"/>
  <c r="G30"/>
  <c r="C30"/>
  <c r="F30"/>
  <c r="B6" i="7" l="1"/>
  <c r="G21" i="11" l="1"/>
  <c r="E21"/>
  <c r="G18"/>
  <c r="G17"/>
  <c r="E18"/>
  <c r="E17"/>
  <c r="G12"/>
  <c r="G13"/>
  <c r="G14"/>
  <c r="G15"/>
  <c r="G11"/>
  <c r="E12"/>
  <c r="E13"/>
  <c r="E14"/>
  <c r="E15"/>
  <c r="E11"/>
  <c r="G9"/>
  <c r="E9"/>
  <c r="G7"/>
  <c r="G6"/>
  <c r="E7"/>
  <c r="E6"/>
  <c r="G119" i="19"/>
  <c r="G118"/>
  <c r="E119"/>
  <c r="E118"/>
  <c r="G104"/>
  <c r="G105"/>
  <c r="G106"/>
  <c r="G107"/>
  <c r="G108"/>
  <c r="G109"/>
  <c r="G110"/>
  <c r="G111"/>
  <c r="G112"/>
  <c r="G113"/>
  <c r="G114"/>
  <c r="G115"/>
  <c r="G116"/>
  <c r="G103"/>
  <c r="E104"/>
  <c r="E105"/>
  <c r="E106"/>
  <c r="E107"/>
  <c r="E108"/>
  <c r="E109"/>
  <c r="E110"/>
  <c r="E111"/>
  <c r="E112"/>
  <c r="E114"/>
  <c r="E115"/>
  <c r="E116"/>
  <c r="E103"/>
  <c r="G89"/>
  <c r="G90"/>
  <c r="G91"/>
  <c r="G92"/>
  <c r="G93"/>
  <c r="G94"/>
  <c r="G95"/>
  <c r="G96"/>
  <c r="G97"/>
  <c r="G98"/>
  <c r="G99"/>
  <c r="G100"/>
  <c r="G88"/>
  <c r="E89"/>
  <c r="E90"/>
  <c r="E91"/>
  <c r="E92"/>
  <c r="E93"/>
  <c r="E94"/>
  <c r="E95"/>
  <c r="E96"/>
  <c r="E97"/>
  <c r="E98"/>
  <c r="E99"/>
  <c r="E100"/>
  <c r="E88"/>
  <c r="G74"/>
  <c r="G75"/>
  <c r="G76"/>
  <c r="G77"/>
  <c r="G78"/>
  <c r="G79"/>
  <c r="G80"/>
  <c r="G81"/>
  <c r="G82"/>
  <c r="G83"/>
  <c r="G84"/>
  <c r="G85"/>
  <c r="G86"/>
  <c r="G73"/>
  <c r="E74"/>
  <c r="E75"/>
  <c r="E76"/>
  <c r="E77"/>
  <c r="E78"/>
  <c r="E79"/>
  <c r="E80"/>
  <c r="E81"/>
  <c r="E82"/>
  <c r="E83"/>
  <c r="E84"/>
  <c r="E85"/>
  <c r="E86"/>
  <c r="E73"/>
  <c r="G66"/>
  <c r="G67"/>
  <c r="G68"/>
  <c r="G65"/>
  <c r="E66"/>
  <c r="E67"/>
  <c r="E68"/>
  <c r="E65"/>
  <c r="G60"/>
  <c r="G61"/>
  <c r="G62"/>
  <c r="G63"/>
  <c r="G59"/>
  <c r="E60"/>
  <c r="E61"/>
  <c r="E62"/>
  <c r="E63"/>
  <c r="E59"/>
  <c r="G57"/>
  <c r="G56"/>
  <c r="E57"/>
  <c r="E56"/>
  <c r="G54"/>
  <c r="G53"/>
  <c r="E54"/>
  <c r="E53"/>
  <c r="G51"/>
  <c r="G50"/>
  <c r="E51"/>
  <c r="E50"/>
  <c r="G48"/>
  <c r="G47"/>
  <c r="E48"/>
  <c r="E47"/>
  <c r="G45"/>
  <c r="G44"/>
  <c r="E45"/>
  <c r="E44"/>
  <c r="G36"/>
  <c r="G37"/>
  <c r="G38"/>
  <c r="G39"/>
  <c r="G40"/>
  <c r="G41"/>
  <c r="G35"/>
  <c r="E36"/>
  <c r="E37"/>
  <c r="E38"/>
  <c r="E39"/>
  <c r="E40"/>
  <c r="E41"/>
  <c r="E35"/>
  <c r="G29"/>
  <c r="G30"/>
  <c r="G31"/>
  <c r="G32"/>
  <c r="G28"/>
  <c r="E29"/>
  <c r="E30"/>
  <c r="E31"/>
  <c r="E32"/>
  <c r="E28"/>
  <c r="G26"/>
  <c r="G25"/>
  <c r="E26"/>
  <c r="E25"/>
  <c r="E17"/>
  <c r="E18"/>
  <c r="E19"/>
  <c r="E20"/>
  <c r="E21"/>
  <c r="E22"/>
  <c r="E23"/>
  <c r="E16"/>
  <c r="G17"/>
  <c r="G18"/>
  <c r="G19"/>
  <c r="G20"/>
  <c r="G21"/>
  <c r="G22"/>
  <c r="G23"/>
  <c r="G16"/>
  <c r="E113" i="10"/>
  <c r="E113" i="19" s="1"/>
  <c r="F113" i="10"/>
  <c r="G113"/>
  <c r="D113"/>
  <c r="G13" i="19"/>
  <c r="G14"/>
  <c r="G12"/>
  <c r="E14"/>
  <c r="E13"/>
  <c r="E12"/>
  <c r="G10"/>
  <c r="E10"/>
  <c r="E9"/>
  <c r="G9"/>
  <c r="I35" l="1"/>
  <c r="J35" s="1"/>
  <c r="I36"/>
  <c r="I37"/>
  <c r="I38"/>
  <c r="I39"/>
  <c r="I40"/>
  <c r="J40" s="1"/>
  <c r="I41"/>
  <c r="I44"/>
  <c r="J44" s="1"/>
  <c r="I45"/>
  <c r="J45" s="1"/>
  <c r="I47"/>
  <c r="I48"/>
  <c r="I50"/>
  <c r="J50" s="1"/>
  <c r="I51"/>
  <c r="J51" s="1"/>
  <c r="I53"/>
  <c r="J53"/>
  <c r="I54"/>
  <c r="J54" s="1"/>
  <c r="I56"/>
  <c r="I57"/>
  <c r="J57"/>
  <c r="I59"/>
  <c r="J59" s="1"/>
  <c r="I60"/>
  <c r="J60" s="1"/>
  <c r="I61"/>
  <c r="J61"/>
  <c r="I62"/>
  <c r="J62" s="1"/>
  <c r="I63"/>
  <c r="I65"/>
  <c r="J65" s="1"/>
  <c r="I66"/>
  <c r="J66" s="1"/>
  <c r="I67"/>
  <c r="I68"/>
  <c r="I73"/>
  <c r="J73"/>
  <c r="I74"/>
  <c r="J74" s="1"/>
  <c r="I75"/>
  <c r="J75" s="1"/>
  <c r="I76"/>
  <c r="J76" s="1"/>
  <c r="I77"/>
  <c r="J77"/>
  <c r="I78"/>
  <c r="I79"/>
  <c r="I80"/>
  <c r="J80" s="1"/>
  <c r="I81"/>
  <c r="J81" s="1"/>
  <c r="I82"/>
  <c r="J82" s="1"/>
  <c r="I83"/>
  <c r="J83"/>
  <c r="I84"/>
  <c r="J84" s="1"/>
  <c r="I85"/>
  <c r="I86"/>
  <c r="I88"/>
  <c r="I89"/>
  <c r="I90"/>
  <c r="I91"/>
  <c r="I92"/>
  <c r="I93"/>
  <c r="I94"/>
  <c r="J94" s="1"/>
  <c r="I95"/>
  <c r="J95"/>
  <c r="I96"/>
  <c r="I97"/>
  <c r="I98"/>
  <c r="I99"/>
  <c r="I100"/>
  <c r="I103"/>
  <c r="J103" s="1"/>
  <c r="I104"/>
  <c r="I105"/>
  <c r="I106"/>
  <c r="J106" s="1"/>
  <c r="I107"/>
  <c r="I108"/>
  <c r="J108" s="1"/>
  <c r="I109"/>
  <c r="I110"/>
  <c r="J110" s="1"/>
  <c r="I111"/>
  <c r="J111"/>
  <c r="I112"/>
  <c r="I113"/>
  <c r="J113" s="1"/>
  <c r="I114"/>
  <c r="J114" s="1"/>
  <c r="I115"/>
  <c r="J115" s="1"/>
  <c r="I116"/>
  <c r="J116" s="1"/>
  <c r="I118"/>
  <c r="I119"/>
  <c r="I26"/>
  <c r="J26"/>
  <c r="I28"/>
  <c r="J28" s="1"/>
  <c r="I29"/>
  <c r="J29"/>
  <c r="I30"/>
  <c r="J30" s="1"/>
  <c r="I31"/>
  <c r="I32"/>
  <c r="I25"/>
  <c r="J25" s="1"/>
  <c r="I17"/>
  <c r="J17"/>
  <c r="I18"/>
  <c r="I19"/>
  <c r="I20"/>
  <c r="I21"/>
  <c r="J21" s="1"/>
  <c r="I22"/>
  <c r="J22" s="1"/>
  <c r="I23"/>
  <c r="J23" s="1"/>
  <c r="I16"/>
  <c r="J16" s="1"/>
  <c r="J13"/>
  <c r="I12"/>
  <c r="J12" s="1"/>
  <c r="I13"/>
  <c r="I14"/>
  <c r="I10"/>
  <c r="J10" s="1"/>
  <c r="I9"/>
  <c r="J9" s="1"/>
  <c r="G117"/>
  <c r="F117"/>
  <c r="E117"/>
  <c r="D117"/>
  <c r="G102"/>
  <c r="F102"/>
  <c r="E102"/>
  <c r="E101" s="1"/>
  <c r="D102"/>
  <c r="D101" s="1"/>
  <c r="F101"/>
  <c r="G87"/>
  <c r="F87"/>
  <c r="E87"/>
  <c r="D87"/>
  <c r="G72"/>
  <c r="G71" s="1"/>
  <c r="F72"/>
  <c r="F71" s="1"/>
  <c r="F120" s="1"/>
  <c r="E72"/>
  <c r="D72"/>
  <c r="D71"/>
  <c r="G64"/>
  <c r="F64"/>
  <c r="E64"/>
  <c r="I64" s="1"/>
  <c r="J64" s="1"/>
  <c r="D64"/>
  <c r="G58"/>
  <c r="F58"/>
  <c r="E58"/>
  <c r="D58"/>
  <c r="G55"/>
  <c r="F55"/>
  <c r="E55"/>
  <c r="D55"/>
  <c r="G52"/>
  <c r="F52"/>
  <c r="E52"/>
  <c r="D52"/>
  <c r="G49"/>
  <c r="F49"/>
  <c r="E49"/>
  <c r="D49"/>
  <c r="G46"/>
  <c r="F46"/>
  <c r="E46"/>
  <c r="D46"/>
  <c r="G43"/>
  <c r="F43"/>
  <c r="E43"/>
  <c r="E42" s="1"/>
  <c r="D43"/>
  <c r="D42" s="1"/>
  <c r="D33" s="1"/>
  <c r="F42"/>
  <c r="G34"/>
  <c r="F34"/>
  <c r="F33" s="1"/>
  <c r="F69" s="1"/>
  <c r="E34"/>
  <c r="D34"/>
  <c r="G27"/>
  <c r="F27"/>
  <c r="E27"/>
  <c r="D27"/>
  <c r="G24"/>
  <c r="F24"/>
  <c r="E24"/>
  <c r="I24" s="1"/>
  <c r="J24" s="1"/>
  <c r="D24"/>
  <c r="G15"/>
  <c r="F15"/>
  <c r="E15"/>
  <c r="I15" s="1"/>
  <c r="J15" s="1"/>
  <c r="D15"/>
  <c r="G11"/>
  <c r="F11"/>
  <c r="E11"/>
  <c r="D11"/>
  <c r="G8"/>
  <c r="F8"/>
  <c r="E8"/>
  <c r="D8"/>
  <c r="D7" s="1"/>
  <c r="F7"/>
  <c r="L36" i="18"/>
  <c r="K36"/>
  <c r="G36"/>
  <c r="D36"/>
  <c r="B36"/>
  <c r="L35"/>
  <c r="K35"/>
  <c r="G35"/>
  <c r="D35"/>
  <c r="B35"/>
  <c r="L34"/>
  <c r="K34"/>
  <c r="G34"/>
  <c r="D34"/>
  <c r="B34"/>
  <c r="L33"/>
  <c r="K33"/>
  <c r="G33"/>
  <c r="D33"/>
  <c r="B33"/>
  <c r="B32"/>
  <c r="B31"/>
  <c r="L30"/>
  <c r="K30"/>
  <c r="B30"/>
  <c r="B29"/>
  <c r="L28"/>
  <c r="K28"/>
  <c r="B28"/>
  <c r="L27"/>
  <c r="K27"/>
  <c r="B27"/>
  <c r="B26"/>
  <c r="B25"/>
  <c r="B24"/>
  <c r="B23"/>
  <c r="L22"/>
  <c r="K22"/>
  <c r="B22"/>
  <c r="L21"/>
  <c r="K21"/>
  <c r="B21"/>
  <c r="L20"/>
  <c r="K20"/>
  <c r="B20"/>
  <c r="B19"/>
  <c r="B18"/>
  <c r="L17"/>
  <c r="K17"/>
  <c r="B17"/>
  <c r="L16"/>
  <c r="K16"/>
  <c r="B16"/>
  <c r="L15"/>
  <c r="K15"/>
  <c r="H15"/>
  <c r="G15"/>
  <c r="E15"/>
  <c r="D15"/>
  <c r="F15" s="1"/>
  <c r="B15"/>
  <c r="L14"/>
  <c r="K14"/>
  <c r="B14"/>
  <c r="L13"/>
  <c r="K13"/>
  <c r="B13"/>
  <c r="B12"/>
  <c r="B11"/>
  <c r="B10"/>
  <c r="L9"/>
  <c r="K9"/>
  <c r="B9"/>
  <c r="L8"/>
  <c r="K8"/>
  <c r="B8"/>
  <c r="L7"/>
  <c r="K7"/>
  <c r="B7"/>
  <c r="L6"/>
  <c r="K6"/>
  <c r="B6"/>
  <c r="B5"/>
  <c r="H21" i="17"/>
  <c r="I21" s="1"/>
  <c r="G19"/>
  <c r="F19"/>
  <c r="E19"/>
  <c r="D19"/>
  <c r="H18"/>
  <c r="I18" s="1"/>
  <c r="H17"/>
  <c r="I17" s="1"/>
  <c r="I15"/>
  <c r="H15"/>
  <c r="H14"/>
  <c r="I14" s="1"/>
  <c r="H13"/>
  <c r="I13" s="1"/>
  <c r="H12"/>
  <c r="I12" s="1"/>
  <c r="H11"/>
  <c r="I11" s="1"/>
  <c r="I9"/>
  <c r="H9"/>
  <c r="G8"/>
  <c r="F8"/>
  <c r="F10" s="1"/>
  <c r="F16" s="1"/>
  <c r="F20" s="1"/>
  <c r="F22" s="1"/>
  <c r="E8"/>
  <c r="E10" s="1"/>
  <c r="E16" s="1"/>
  <c r="E20" s="1"/>
  <c r="E22" s="1"/>
  <c r="D8"/>
  <c r="D10" s="1"/>
  <c r="D16" s="1"/>
  <c r="H7"/>
  <c r="I7" s="1"/>
  <c r="H6"/>
  <c r="I6" s="1"/>
  <c r="D69" i="19" l="1"/>
  <c r="H8" i="17"/>
  <c r="I8" s="1"/>
  <c r="D120" i="19"/>
  <c r="D20" i="17"/>
  <c r="D22" s="1"/>
  <c r="H19"/>
  <c r="I19" s="1"/>
  <c r="G42" i="19"/>
  <c r="I49"/>
  <c r="J49" s="1"/>
  <c r="I87"/>
  <c r="J87" s="1"/>
  <c r="G101"/>
  <c r="I117"/>
  <c r="G120"/>
  <c r="I101"/>
  <c r="J101" s="1"/>
  <c r="I102"/>
  <c r="J102" s="1"/>
  <c r="E71"/>
  <c r="E120" s="1"/>
  <c r="I72"/>
  <c r="J72" s="1"/>
  <c r="I71"/>
  <c r="J71" s="1"/>
  <c r="I58"/>
  <c r="J58" s="1"/>
  <c r="I55"/>
  <c r="J55" s="1"/>
  <c r="I52"/>
  <c r="J52" s="1"/>
  <c r="G33"/>
  <c r="G69" s="1"/>
  <c r="I42"/>
  <c r="J42" s="1"/>
  <c r="I46"/>
  <c r="I43"/>
  <c r="J43" s="1"/>
  <c r="I34"/>
  <c r="J34" s="1"/>
  <c r="E33"/>
  <c r="G7"/>
  <c r="I27"/>
  <c r="J27" s="1"/>
  <c r="I11"/>
  <c r="J11" s="1"/>
  <c r="E7"/>
  <c r="I7" s="1"/>
  <c r="J7" s="1"/>
  <c r="I8"/>
  <c r="J8" s="1"/>
  <c r="I15" i="18"/>
  <c r="J15" s="1"/>
  <c r="G10" i="17"/>
  <c r="G24" i="10"/>
  <c r="F24"/>
  <c r="E24"/>
  <c r="D24"/>
  <c r="E11"/>
  <c r="F11"/>
  <c r="G11"/>
  <c r="D11"/>
  <c r="G8"/>
  <c r="F8"/>
  <c r="E8"/>
  <c r="D8"/>
  <c r="D15"/>
  <c r="D7" s="1"/>
  <c r="E15"/>
  <c r="F15"/>
  <c r="G15"/>
  <c r="D27"/>
  <c r="E27"/>
  <c r="F27"/>
  <c r="G27"/>
  <c r="D34"/>
  <c r="E34"/>
  <c r="F34"/>
  <c r="G34"/>
  <c r="D43"/>
  <c r="E43"/>
  <c r="F43"/>
  <c r="G43"/>
  <c r="D46"/>
  <c r="E46"/>
  <c r="F46"/>
  <c r="G46"/>
  <c r="D49"/>
  <c r="E49"/>
  <c r="F49"/>
  <c r="G49"/>
  <c r="D52"/>
  <c r="E52"/>
  <c r="F52"/>
  <c r="G52"/>
  <c r="D55"/>
  <c r="E55"/>
  <c r="F55"/>
  <c r="G55"/>
  <c r="D58"/>
  <c r="E58"/>
  <c r="F58"/>
  <c r="G58"/>
  <c r="D64"/>
  <c r="E64"/>
  <c r="F64"/>
  <c r="G64"/>
  <c r="D72"/>
  <c r="E72"/>
  <c r="F72"/>
  <c r="G72"/>
  <c r="D87"/>
  <c r="E87"/>
  <c r="F87"/>
  <c r="G87"/>
  <c r="D102"/>
  <c r="D101" s="1"/>
  <c r="E102"/>
  <c r="F102"/>
  <c r="G102"/>
  <c r="G101" s="1"/>
  <c r="D117"/>
  <c r="E117"/>
  <c r="F117"/>
  <c r="G117"/>
  <c r="G71" l="1"/>
  <c r="G42"/>
  <c r="D71"/>
  <c r="D11" i="22"/>
  <c r="D10" s="1"/>
  <c r="F101" i="10"/>
  <c r="F71"/>
  <c r="F42"/>
  <c r="D42"/>
  <c r="E101"/>
  <c r="E71"/>
  <c r="E42"/>
  <c r="I120" i="19"/>
  <c r="J120" s="1"/>
  <c r="I33"/>
  <c r="J33" s="1"/>
  <c r="E69"/>
  <c r="I69"/>
  <c r="J69" s="1"/>
  <c r="H10" i="17"/>
  <c r="I10" s="1"/>
  <c r="G16"/>
  <c r="F7" i="10"/>
  <c r="G7"/>
  <c r="C4" i="16" s="1"/>
  <c r="E7" i="10"/>
  <c r="G33"/>
  <c r="G69" s="1"/>
  <c r="G120"/>
  <c r="F120"/>
  <c r="F33"/>
  <c r="F69" s="1"/>
  <c r="E120"/>
  <c r="E33"/>
  <c r="D120"/>
  <c r="D33"/>
  <c r="D69" s="1"/>
  <c r="C16" i="16"/>
  <c r="C23"/>
  <c r="C28"/>
  <c r="C29"/>
  <c r="C8"/>
  <c r="C7"/>
  <c r="C5"/>
  <c r="C22"/>
  <c r="C15"/>
  <c r="C12"/>
  <c r="C9"/>
  <c r="D14" i="22" l="1"/>
  <c r="D15"/>
  <c r="D17" s="1"/>
  <c r="E69" i="10"/>
  <c r="G20" i="17"/>
  <c r="H16"/>
  <c r="I16" s="1"/>
  <c r="C6" i="16"/>
  <c r="C11"/>
  <c r="D11" i="12"/>
  <c r="D10" i="18" s="1"/>
  <c r="F10" s="1"/>
  <c r="E11" i="12"/>
  <c r="E10" i="18" s="1"/>
  <c r="B26" i="15"/>
  <c r="B21"/>
  <c r="B20"/>
  <c r="B15"/>
  <c r="B16" s="1"/>
  <c r="G22" i="17" l="1"/>
  <c r="H22" s="1"/>
  <c r="I22" s="1"/>
  <c r="H20"/>
  <c r="I20" s="1"/>
  <c r="F11" i="12"/>
  <c r="G10" i="18" s="1"/>
  <c r="C13" i="16"/>
  <c r="C27"/>
  <c r="C3"/>
  <c r="C10"/>
  <c r="G11" i="12"/>
  <c r="H10" i="18" s="1"/>
  <c r="I14" i="11"/>
  <c r="H7"/>
  <c r="I7" s="1"/>
  <c r="H9"/>
  <c r="I9" s="1"/>
  <c r="H11"/>
  <c r="I11" s="1"/>
  <c r="H12"/>
  <c r="I12" s="1"/>
  <c r="H13"/>
  <c r="I13" s="1"/>
  <c r="H14"/>
  <c r="H15"/>
  <c r="I15" s="1"/>
  <c r="H17"/>
  <c r="I17" s="1"/>
  <c r="H18"/>
  <c r="I18" s="1"/>
  <c r="H21"/>
  <c r="I21" s="1"/>
  <c r="H6"/>
  <c r="I6" s="1"/>
  <c r="F8"/>
  <c r="F10" s="1"/>
  <c r="F16" s="1"/>
  <c r="F20" s="1"/>
  <c r="F22" s="1"/>
  <c r="G8"/>
  <c r="F19"/>
  <c r="G19"/>
  <c r="C14" i="16"/>
  <c r="I10" i="18" l="1"/>
  <c r="J10" s="1"/>
  <c r="G10" i="11"/>
  <c r="G16" s="1"/>
  <c r="G20" s="1"/>
  <c r="C32" i="16"/>
  <c r="B23" i="15"/>
  <c r="B25" s="1"/>
  <c r="E19" i="11"/>
  <c r="H19" s="1"/>
  <c r="I19" s="1"/>
  <c r="D19"/>
  <c r="E8"/>
  <c r="D8"/>
  <c r="D10" s="1"/>
  <c r="D16" s="1"/>
  <c r="B14" i="15" l="1"/>
  <c r="B17" s="1"/>
  <c r="B29" s="1"/>
  <c r="C40"/>
  <c r="B51"/>
  <c r="B50"/>
  <c r="B48" s="1"/>
  <c r="B53" s="1"/>
  <c r="B33"/>
  <c r="B35" s="1"/>
  <c r="B37" s="1"/>
  <c r="B38" s="1"/>
  <c r="G22" i="11"/>
  <c r="C34" i="16"/>
  <c r="E10" i="11"/>
  <c r="H8"/>
  <c r="I8" s="1"/>
  <c r="D20"/>
  <c r="D22" s="1"/>
  <c r="F27" i="12"/>
  <c r="G27"/>
  <c r="E27"/>
  <c r="D27"/>
  <c r="G26"/>
  <c r="E26"/>
  <c r="F26"/>
  <c r="D26"/>
  <c r="D25" i="7" l="1"/>
  <c r="D25" i="18"/>
  <c r="D26" i="7"/>
  <c r="D26" i="18"/>
  <c r="G25" i="7"/>
  <c r="G25" i="18"/>
  <c r="H26" i="7"/>
  <c r="H26" i="18"/>
  <c r="G26"/>
  <c r="H25" i="7"/>
  <c r="H25" i="18"/>
  <c r="I25" s="1"/>
  <c r="E26" i="7"/>
  <c r="F26" s="1"/>
  <c r="E26" i="18"/>
  <c r="E25" i="7"/>
  <c r="E25" i="18"/>
  <c r="F25" s="1"/>
  <c r="J25" s="1"/>
  <c r="B54" i="15"/>
  <c r="B55" s="1"/>
  <c r="D44"/>
  <c r="D43"/>
  <c r="D42"/>
  <c r="D45"/>
  <c r="B30"/>
  <c r="E16" i="11"/>
  <c r="H10"/>
  <c r="I10" s="1"/>
  <c r="G26" i="7"/>
  <c r="F25"/>
  <c r="B26"/>
  <c r="B25"/>
  <c r="I25" l="1"/>
  <c r="I26"/>
  <c r="F26" i="18"/>
  <c r="I26"/>
  <c r="E43" i="15"/>
  <c r="F43"/>
  <c r="F44"/>
  <c r="E44"/>
  <c r="E45"/>
  <c r="F45"/>
  <c r="F42"/>
  <c r="F46" s="1"/>
  <c r="E42"/>
  <c r="D46"/>
  <c r="H16" i="11"/>
  <c r="I16" s="1"/>
  <c r="E20"/>
  <c r="B11" i="7"/>
  <c r="E46" i="15" l="1"/>
  <c r="J26" i="18"/>
  <c r="E22" i="11"/>
  <c r="H22" s="1"/>
  <c r="I22" s="1"/>
  <c r="H20"/>
  <c r="I20" s="1"/>
  <c r="H10" i="7"/>
  <c r="E10"/>
  <c r="B10" l="1"/>
  <c r="B31"/>
  <c r="G25" i="12"/>
  <c r="B24" i="7"/>
  <c r="B23"/>
  <c r="B29"/>
  <c r="G14" i="12"/>
  <c r="E14"/>
  <c r="B18" i="7"/>
  <c r="B17"/>
  <c r="G19" i="12"/>
  <c r="E19"/>
  <c r="G15"/>
  <c r="H14" i="18" s="1"/>
  <c r="E15" i="12"/>
  <c r="E14" i="18" s="1"/>
  <c r="B35" i="7"/>
  <c r="B22"/>
  <c r="H24" l="1"/>
  <c r="H24" i="18"/>
  <c r="E18" i="7"/>
  <c r="E18" i="18"/>
  <c r="E13" i="7"/>
  <c r="E13" i="18"/>
  <c r="H18" i="7"/>
  <c r="H18" i="18"/>
  <c r="H13" i="7"/>
  <c r="H13" i="18"/>
  <c r="F24" i="12"/>
  <c r="F25"/>
  <c r="G24"/>
  <c r="E25"/>
  <c r="D25"/>
  <c r="D29"/>
  <c r="D28" i="18" s="1"/>
  <c r="G29" i="12"/>
  <c r="H28" i="18" s="1"/>
  <c r="G28" i="12"/>
  <c r="H27" i="18" s="1"/>
  <c r="G24" i="7" l="1"/>
  <c r="G24" i="18"/>
  <c r="D24" i="7"/>
  <c r="D24" i="18"/>
  <c r="G23" i="7"/>
  <c r="G23" i="18"/>
  <c r="I24"/>
  <c r="H23" i="7"/>
  <c r="H23" i="18"/>
  <c r="I24" i="7"/>
  <c r="E24"/>
  <c r="F24" s="1"/>
  <c r="E24" i="18"/>
  <c r="I23" i="7"/>
  <c r="D12" i="12"/>
  <c r="D28"/>
  <c r="D27" i="18" s="1"/>
  <c r="F28" i="12"/>
  <c r="G27" i="18" s="1"/>
  <c r="I27" s="1"/>
  <c r="F29" i="12"/>
  <c r="G28" i="18" s="1"/>
  <c r="I28" s="1"/>
  <c r="G12" i="12"/>
  <c r="G30"/>
  <c r="G32"/>
  <c r="D11" i="7" l="1"/>
  <c r="D11" i="18"/>
  <c r="I23"/>
  <c r="F24"/>
  <c r="J24" s="1"/>
  <c r="H11" i="7"/>
  <c r="H11" i="18"/>
  <c r="H31" i="7"/>
  <c r="H31" i="18"/>
  <c r="H29" i="7"/>
  <c r="H29" i="18"/>
  <c r="E29" i="12"/>
  <c r="E28" i="18" s="1"/>
  <c r="F28" s="1"/>
  <c r="J28" s="1"/>
  <c r="E28" i="12"/>
  <c r="E27" i="18" s="1"/>
  <c r="F27" s="1"/>
  <c r="J27" s="1"/>
  <c r="D30" i="12"/>
  <c r="D32"/>
  <c r="F12"/>
  <c r="F32"/>
  <c r="F30"/>
  <c r="G31" i="7" l="1"/>
  <c r="I31" s="1"/>
  <c r="G31" i="18"/>
  <c r="I31"/>
  <c r="G11" i="7"/>
  <c r="I11" s="1"/>
  <c r="G11" i="18"/>
  <c r="D31" i="7"/>
  <c r="D31" i="18"/>
  <c r="I11"/>
  <c r="G29" i="7"/>
  <c r="I29" s="1"/>
  <c r="G29" i="18"/>
  <c r="I29" s="1"/>
  <c r="D29" i="7"/>
  <c r="D29" i="18"/>
  <c r="E12" i="12"/>
  <c r="E32"/>
  <c r="E30"/>
  <c r="K7" i="7"/>
  <c r="K8"/>
  <c r="K9"/>
  <c r="K12"/>
  <c r="K13"/>
  <c r="K14"/>
  <c r="K15"/>
  <c r="K16"/>
  <c r="K17"/>
  <c r="K19"/>
  <c r="K20"/>
  <c r="K21"/>
  <c r="K22"/>
  <c r="K27"/>
  <c r="K28"/>
  <c r="K30"/>
  <c r="K32"/>
  <c r="K33"/>
  <c r="K34"/>
  <c r="K35"/>
  <c r="K36"/>
  <c r="J7"/>
  <c r="J8"/>
  <c r="J9"/>
  <c r="J12"/>
  <c r="J13"/>
  <c r="J14"/>
  <c r="J15"/>
  <c r="J16"/>
  <c r="J17"/>
  <c r="J19"/>
  <c r="J20"/>
  <c r="J21"/>
  <c r="J22"/>
  <c r="J27"/>
  <c r="J28"/>
  <c r="J30"/>
  <c r="J32"/>
  <c r="J33"/>
  <c r="J34"/>
  <c r="J35"/>
  <c r="J36"/>
  <c r="G6" i="2"/>
  <c r="E6"/>
  <c r="C6"/>
  <c r="B5" i="7"/>
  <c r="B7"/>
  <c r="B8"/>
  <c r="B9"/>
  <c r="B12"/>
  <c r="B13"/>
  <c r="B14"/>
  <c r="B15"/>
  <c r="B16"/>
  <c r="B19"/>
  <c r="B20"/>
  <c r="B21"/>
  <c r="B27"/>
  <c r="B28"/>
  <c r="B30"/>
  <c r="B32"/>
  <c r="B33"/>
  <c r="B34"/>
  <c r="B36"/>
  <c r="H12"/>
  <c r="H15"/>
  <c r="H19"/>
  <c r="H32"/>
  <c r="G12"/>
  <c r="I12" s="1"/>
  <c r="G15"/>
  <c r="I15" s="1"/>
  <c r="G19"/>
  <c r="G32"/>
  <c r="G33"/>
  <c r="G34"/>
  <c r="G35"/>
  <c r="G36"/>
  <c r="E12"/>
  <c r="E15"/>
  <c r="E19"/>
  <c r="E32"/>
  <c r="D12"/>
  <c r="D15"/>
  <c r="D19"/>
  <c r="F19" s="1"/>
  <c r="D32"/>
  <c r="D33"/>
  <c r="D34"/>
  <c r="D35"/>
  <c r="D36"/>
  <c r="G37" i="12"/>
  <c r="E37"/>
  <c r="G36"/>
  <c r="E36"/>
  <c r="G35"/>
  <c r="E35"/>
  <c r="G34"/>
  <c r="E34"/>
  <c r="G23"/>
  <c r="F23"/>
  <c r="H27" i="7"/>
  <c r="E23" i="12"/>
  <c r="D23"/>
  <c r="E27" i="7"/>
  <c r="G27"/>
  <c r="D27"/>
  <c r="G22" i="12"/>
  <c r="F22"/>
  <c r="E22"/>
  <c r="D22"/>
  <c r="E9"/>
  <c r="F9"/>
  <c r="G9"/>
  <c r="D9"/>
  <c r="E8"/>
  <c r="G8"/>
  <c r="E5" i="2"/>
  <c r="E10" i="12"/>
  <c r="E7"/>
  <c r="F5" i="2"/>
  <c r="D5"/>
  <c r="K6" i="7"/>
  <c r="J6"/>
  <c r="G4"/>
  <c r="H4"/>
  <c r="E8" l="1"/>
  <c r="E8" i="18"/>
  <c r="E9" i="7"/>
  <c r="E9" i="18"/>
  <c r="D8" i="7"/>
  <c r="D8" i="18"/>
  <c r="F8" s="1"/>
  <c r="E6" i="7"/>
  <c r="E6" i="18"/>
  <c r="H8" i="7"/>
  <c r="H8" i="18"/>
  <c r="E7" i="7"/>
  <c r="E7" i="18"/>
  <c r="H7" i="7"/>
  <c r="H7" i="18"/>
  <c r="G8" i="7"/>
  <c r="G8" i="18"/>
  <c r="I8" s="1"/>
  <c r="J8" s="1"/>
  <c r="G22" i="7"/>
  <c r="G22" i="18"/>
  <c r="D21" i="7"/>
  <c r="D21" i="18"/>
  <c r="G21" i="7"/>
  <c r="G21" i="18"/>
  <c r="D22" i="7"/>
  <c r="F22" s="1"/>
  <c r="D22" i="18"/>
  <c r="H21" i="7"/>
  <c r="H21" i="18"/>
  <c r="I21" s="1"/>
  <c r="E21" i="7"/>
  <c r="F21" s="1"/>
  <c r="E21" i="18"/>
  <c r="F21" s="1"/>
  <c r="J21" s="1"/>
  <c r="H22" i="7"/>
  <c r="H22" i="18"/>
  <c r="I22" s="1"/>
  <c r="H33" i="7"/>
  <c r="I33" s="1"/>
  <c r="H33" i="18"/>
  <c r="I33" s="1"/>
  <c r="H35" i="7"/>
  <c r="I35" s="1"/>
  <c r="H35" i="18"/>
  <c r="I35" s="1"/>
  <c r="H34" i="7"/>
  <c r="I34" s="1"/>
  <c r="H34" i="18"/>
  <c r="I34" s="1"/>
  <c r="H36" i="7"/>
  <c r="H36" i="18"/>
  <c r="I36" s="1"/>
  <c r="E33" i="7"/>
  <c r="F33" s="1"/>
  <c r="E33" i="18"/>
  <c r="F33" s="1"/>
  <c r="E22" i="7"/>
  <c r="E22" i="18"/>
  <c r="E35" i="7"/>
  <c r="F35" s="1"/>
  <c r="E35" i="18"/>
  <c r="F35" s="1"/>
  <c r="E34" i="7"/>
  <c r="F34" s="1"/>
  <c r="E34" i="18"/>
  <c r="F34" s="1"/>
  <c r="E36" i="7"/>
  <c r="F36" s="1"/>
  <c r="E36" i="18"/>
  <c r="F36" s="1"/>
  <c r="E31" i="7"/>
  <c r="F31" s="1"/>
  <c r="E31" i="18"/>
  <c r="F31" s="1"/>
  <c r="J31" s="1"/>
  <c r="E11" i="7"/>
  <c r="F11" s="1"/>
  <c r="E11" i="18"/>
  <c r="F11" s="1"/>
  <c r="J11" s="1"/>
  <c r="E29" i="7"/>
  <c r="F29" s="1"/>
  <c r="E29" i="18"/>
  <c r="F29" s="1"/>
  <c r="J29" s="1"/>
  <c r="F14" i="12"/>
  <c r="F10"/>
  <c r="G10" i="7"/>
  <c r="I10" s="1"/>
  <c r="C5" i="2"/>
  <c r="D14" i="12"/>
  <c r="D10"/>
  <c r="D10" i="7"/>
  <c r="F10" s="1"/>
  <c r="B5" i="2"/>
  <c r="E24" i="12"/>
  <c r="D24"/>
  <c r="I19" i="7"/>
  <c r="I32"/>
  <c r="F32"/>
  <c r="F15"/>
  <c r="I36"/>
  <c r="I22"/>
  <c r="F27"/>
  <c r="F17" i="12"/>
  <c r="F18"/>
  <c r="F7"/>
  <c r="D18"/>
  <c r="B6" i="2"/>
  <c r="D17" i="12"/>
  <c r="F8" i="7"/>
  <c r="G5" i="2"/>
  <c r="H14" i="7"/>
  <c r="E14"/>
  <c r="I8"/>
  <c r="E18" i="12"/>
  <c r="I27" i="7"/>
  <c r="G18" i="12"/>
  <c r="G17"/>
  <c r="F6" i="2"/>
  <c r="F8" i="12"/>
  <c r="G10"/>
  <c r="E17"/>
  <c r="I21" i="7"/>
  <c r="F12"/>
  <c r="D6" i="2"/>
  <c r="D8" i="12"/>
  <c r="G9" i="7" l="1"/>
  <c r="G9" i="18"/>
  <c r="D9" i="7"/>
  <c r="F9" s="1"/>
  <c r="D9" i="18"/>
  <c r="F9" s="1"/>
  <c r="G6" i="7"/>
  <c r="G6" i="18"/>
  <c r="G7" i="7"/>
  <c r="I7" s="1"/>
  <c r="G7" i="18"/>
  <c r="I7" s="1"/>
  <c r="J7" s="1"/>
  <c r="D7" i="7"/>
  <c r="F7" s="1"/>
  <c r="D7" i="18"/>
  <c r="F7" s="1"/>
  <c r="H9" i="7"/>
  <c r="H9" i="18"/>
  <c r="D23" i="7"/>
  <c r="D23" i="18"/>
  <c r="F22"/>
  <c r="J22" s="1"/>
  <c r="J33"/>
  <c r="E23" i="7"/>
  <c r="E23" i="18"/>
  <c r="F23" s="1"/>
  <c r="J23" s="1"/>
  <c r="E17" i="7"/>
  <c r="E17" i="18"/>
  <c r="G17" i="7"/>
  <c r="G17" i="18"/>
  <c r="G13" i="7"/>
  <c r="I13" s="1"/>
  <c r="G13" i="18"/>
  <c r="I13" s="1"/>
  <c r="E16" i="7"/>
  <c r="E16" i="18"/>
  <c r="H16" i="7"/>
  <c r="I16" s="1"/>
  <c r="H16" i="18"/>
  <c r="G16" i="7"/>
  <c r="G16" i="18"/>
  <c r="H17" i="7"/>
  <c r="H17" i="18"/>
  <c r="D16" i="7"/>
  <c r="F16" s="1"/>
  <c r="D16" i="18"/>
  <c r="F16" s="1"/>
  <c r="D13" i="7"/>
  <c r="F13" s="1"/>
  <c r="D13" i="18"/>
  <c r="F13" s="1"/>
  <c r="J13" s="1"/>
  <c r="D17" i="7"/>
  <c r="D17" i="18"/>
  <c r="I9" i="7"/>
  <c r="G31" i="12"/>
  <c r="F31"/>
  <c r="F19"/>
  <c r="F15"/>
  <c r="D31"/>
  <c r="E31"/>
  <c r="F23" i="7"/>
  <c r="D15" i="12"/>
  <c r="D19"/>
  <c r="H28" i="7"/>
  <c r="G28"/>
  <c r="E21" i="12"/>
  <c r="D7"/>
  <c r="D21"/>
  <c r="E28" i="7"/>
  <c r="D28"/>
  <c r="G7" i="12"/>
  <c r="G21"/>
  <c r="F21"/>
  <c r="G14" i="7" l="1"/>
  <c r="I14" s="1"/>
  <c r="G14" i="18"/>
  <c r="I14" s="1"/>
  <c r="H6" i="7"/>
  <c r="I6" s="1"/>
  <c r="H6" i="18"/>
  <c r="D14" i="7"/>
  <c r="F14" s="1"/>
  <c r="D14" i="18"/>
  <c r="F14" s="1"/>
  <c r="I6"/>
  <c r="I9"/>
  <c r="J9" s="1"/>
  <c r="D6" i="7"/>
  <c r="F6" s="1"/>
  <c r="D6" i="18"/>
  <c r="F6" s="1"/>
  <c r="G20" i="7"/>
  <c r="G20" i="18"/>
  <c r="D20" i="7"/>
  <c r="D20" i="18"/>
  <c r="F17" i="7"/>
  <c r="I17"/>
  <c r="H20"/>
  <c r="I20" s="1"/>
  <c r="H20" i="18"/>
  <c r="I20" s="1"/>
  <c r="E20" i="7"/>
  <c r="E20" i="18"/>
  <c r="G30" i="7"/>
  <c r="G30" i="18"/>
  <c r="H30" i="7"/>
  <c r="H30" i="18"/>
  <c r="G18" i="7"/>
  <c r="I18" s="1"/>
  <c r="G18" i="18"/>
  <c r="I18" s="1"/>
  <c r="F17"/>
  <c r="I16"/>
  <c r="J16" s="1"/>
  <c r="I17"/>
  <c r="E30" i="7"/>
  <c r="E30" i="18"/>
  <c r="D18" i="7"/>
  <c r="F18" s="1"/>
  <c r="D18" i="18"/>
  <c r="F18" s="1"/>
  <c r="D30" i="7"/>
  <c r="F30" s="1"/>
  <c r="D30" i="18"/>
  <c r="F30" s="1"/>
  <c r="F28" i="7"/>
  <c r="F20"/>
  <c r="I28"/>
  <c r="J18" i="18" l="1"/>
  <c r="J17"/>
  <c r="J6"/>
  <c r="J14"/>
  <c r="F20"/>
  <c r="J20" s="1"/>
  <c r="I30" i="7"/>
  <c r="I30" i="18"/>
  <c r="J30" s="1"/>
</calcChain>
</file>

<file path=xl/sharedStrings.xml><?xml version="1.0" encoding="utf-8"?>
<sst xmlns="http://schemas.openxmlformats.org/spreadsheetml/2006/main" count="973" uniqueCount="478">
  <si>
    <t>STT</t>
  </si>
  <si>
    <t>A</t>
  </si>
  <si>
    <t>B</t>
  </si>
  <si>
    <t>%</t>
  </si>
  <si>
    <t>I</t>
  </si>
  <si>
    <t>II</t>
  </si>
  <si>
    <t>TTln = 50/50</t>
  </si>
  <si>
    <t>TTlnt = 30/30</t>
  </si>
  <si>
    <t>III</t>
  </si>
  <si>
    <t>IV</t>
  </si>
  <si>
    <t>V</t>
  </si>
  <si>
    <t>270/300</t>
  </si>
  <si>
    <t>100/310</t>
  </si>
  <si>
    <t>(110+120)/310</t>
  </si>
  <si>
    <t>300/400</t>
  </si>
  <si>
    <t>300/270</t>
  </si>
  <si>
    <t>200/400</t>
  </si>
  <si>
    <t>11/(140bq)</t>
  </si>
  <si>
    <t>50/(400bq)</t>
  </si>
  <si>
    <t>Lĩnh vực, ngành nghề</t>
  </si>
  <si>
    <t>Nông lâm, ngư nghiệp</t>
  </si>
  <si>
    <t>Công nghiệp</t>
  </si>
  <si>
    <t>Xây dựng</t>
  </si>
  <si>
    <t>Chọn lĩnh vực</t>
  </si>
  <si>
    <t>Thương mai, dịch vụ</t>
  </si>
  <si>
    <t>C.tiêu tham khảo</t>
  </si>
  <si>
    <t>BẢNG CÂN ĐỐI KẾ TOÁN</t>
  </si>
  <si>
    <t>Chỉ tiêu</t>
  </si>
  <si>
    <t>Mã số</t>
  </si>
  <si>
    <t>Năm 2014</t>
  </si>
  <si>
    <t>Năm 2015</t>
  </si>
  <si>
    <t>Cuối kỳ</t>
  </si>
  <si>
    <t>Đầu kỳ</t>
  </si>
  <si>
    <t>Đầu tư tài chính ngắn hạn</t>
  </si>
  <si>
    <t>Các khoản phải thu</t>
  </si>
  <si>
    <t>Hàng tồn kho</t>
  </si>
  <si>
    <t>Tài sản ngắn hạn khác</t>
  </si>
  <si>
    <t>Tài sản cố định</t>
  </si>
  <si>
    <t>Giá vốn hàng bán</t>
  </si>
  <si>
    <t>Thu  nhập khác</t>
  </si>
  <si>
    <t>Cách tính</t>
  </si>
  <si>
    <t>KHẢ NĂNG THANH TOÁN</t>
  </si>
  <si>
    <t>CƠ CẤU VỐN, TÍNH ỔN ĐỊNH VÀ KHẢ NĂNG TRẢ NỢ</t>
  </si>
  <si>
    <t>Hệ số nợ so với nguồn vốn chủ sở hữu - Ncsh</t>
  </si>
  <si>
    <t>Hệ số nợ so với tài sản - Ntts</t>
  </si>
  <si>
    <t>Tỷ lệ nợ quá hạn trong tổng dư nợ vay - Nqh</t>
  </si>
  <si>
    <t>Hệ số thích ứng dài hạn của tài sản - Ktu</t>
  </si>
  <si>
    <t>Hệ số tài sản dài hạn trên vốn chủ sở hữu - Kts</t>
  </si>
  <si>
    <t>HIỆU QUẢ SỬ DỤNG VỐN VÀ SINH LỜI</t>
  </si>
  <si>
    <t>Hiệu quả sử dụng tài sản - L</t>
  </si>
  <si>
    <t>Vòng quay hàng tồn kho - V</t>
  </si>
  <si>
    <t>Tỷ suất lợi nhuận trước thuế trên doanh thu - LNdt</t>
  </si>
  <si>
    <t>Tỷ suất lợi nhuận trước thuế trên vốn chủ sở hữu - LNvsh</t>
  </si>
  <si>
    <t>SỨC TĂNG TRƯỞNG</t>
  </si>
  <si>
    <t>Sức tăng trưởng doanh thu - TTdt</t>
  </si>
  <si>
    <t>Tỷ lệ tăng trưởng lợi nhuận - TTln</t>
  </si>
  <si>
    <t>Tỷ lệ tăng trưởng lợi nhuận từ hoạt động kinh doanh chính -TTln</t>
  </si>
  <si>
    <t>Tài sản</t>
  </si>
  <si>
    <t>Nguồn vốn</t>
  </si>
  <si>
    <t>Đơn vị</t>
  </si>
  <si>
    <t xml:space="preserve"> 200/(400+330)</t>
  </si>
  <si>
    <t>(10+21+31)/270bq</t>
  </si>
  <si>
    <t>50/(10+21+31)</t>
  </si>
  <si>
    <t>(10+21+31)/(10+21+31)</t>
  </si>
  <si>
    <t>(10+21)/(10+21)</t>
  </si>
  <si>
    <t>Bình Quân</t>
  </si>
  <si>
    <t>BÁO CÁO KẾT QUẢ KINH DOANH</t>
  </si>
  <si>
    <t>TỔNG HỢP VÀ SO SÁNH KẾT QUẢ</t>
  </si>
  <si>
    <t>Nhóm</t>
  </si>
  <si>
    <t>PHÂN TÍCH DỮ LIỆU ĐẦU VÀO CỦA BIỂU ĐỒ</t>
  </si>
  <si>
    <t>CÁC CHỈ TIÊU TÀI CHÍNH</t>
  </si>
  <si>
    <t>360*(130bq)/(10+21+31)</t>
  </si>
  <si>
    <t>Năm 2016</t>
  </si>
  <si>
    <t>Khả năng thanh toán tổng quát - Ktq</t>
  </si>
  <si>
    <t>Khả năng thanh toán ngắn hạn - Kng</t>
  </si>
  <si>
    <t>Khả năng thanh toán nhanh - Knh</t>
  </si>
  <si>
    <t>Khả năng thanh toán dài hạn - Kdn</t>
  </si>
  <si>
    <t>Min</t>
  </si>
  <si>
    <t>Max</t>
  </si>
  <si>
    <t>Doanh thu bán hàng và cung cấp dịch vụ</t>
  </si>
  <si>
    <t>Các khoản giảm trừ doanh thu</t>
  </si>
  <si>
    <t>01</t>
  </si>
  <si>
    <t>02</t>
  </si>
  <si>
    <t>Doanh thu hoạt động tài chính</t>
  </si>
  <si>
    <t>Chi phí tài chính</t>
  </si>
  <si>
    <t xml:space="preserve">   -Trong đó: Chi phí lãi vay</t>
  </si>
  <si>
    <t>Chi phí khác</t>
  </si>
  <si>
    <t>Chi phí thuế TNDN</t>
  </si>
  <si>
    <t>Tài sản đầu kỳ 2015</t>
  </si>
  <si>
    <t>Nguồn vốn đầu kỳ 2015</t>
  </si>
  <si>
    <t>Tài sản cuối kỳ 2015</t>
  </si>
  <si>
    <t>Nguồn vốn cuối kỳ 2015</t>
  </si>
  <si>
    <t>Hệ số nguồn vốn chủ sở hữu trên Tổng tài sản - Httt</t>
  </si>
  <si>
    <t>400/270</t>
  </si>
  <si>
    <t>lần</t>
  </si>
  <si>
    <t>vòng</t>
  </si>
  <si>
    <t>ngày</t>
  </si>
  <si>
    <t>Tỷ suất lợi nhuận sau thuế trên tổng Tài sản (ROA) - LNnv</t>
  </si>
  <si>
    <t>Tỷ suất lợi nhuận sau thuế trên vốn chủ sở hữu (ROE) - LNvsh</t>
  </si>
  <si>
    <t>60/(440bq)</t>
  </si>
  <si>
    <t>Vòng quay tài sản ngắn hạn - Vvlđ</t>
  </si>
  <si>
    <t>(10/100bq)</t>
  </si>
  <si>
    <t>Vòng quay các khoản phải thu - Vkpt</t>
  </si>
  <si>
    <t>(10/130bq)</t>
  </si>
  <si>
    <t>Tỷ suất sinh lời của tiền vay - Tlntv</t>
  </si>
  <si>
    <t>(60+23/311+341)</t>
  </si>
  <si>
    <t>Khả năng thanh toán dài hạn đến hạn - Kdhđn</t>
  </si>
  <si>
    <t>(200/330)</t>
  </si>
  <si>
    <t>Khả năng thanh toán lãi vay - Klv</t>
  </si>
  <si>
    <t>(60/23)</t>
  </si>
  <si>
    <t>Số ngày phải hoàn trả nợ - Ntr</t>
  </si>
  <si>
    <t>Kỳ thu tiền bình quân - Nth</t>
  </si>
  <si>
    <t>Vòng quay khoản phải trả - Vkptr</t>
  </si>
  <si>
    <t>(11/331bq)</t>
  </si>
  <si>
    <t>(12tháng x 331bq/11)</t>
  </si>
  <si>
    <t>Chi phí bán hàng</t>
  </si>
  <si>
    <t>Chí phí quản lý doanh nghiệp</t>
  </si>
  <si>
    <t xml:space="preserve">Doanh thu thuần về bán hàng và cung cấp dịch vụ </t>
  </si>
  <si>
    <t xml:space="preserve">Lợi nhuận gộp về bán hàng và cung cấp dịch vụ </t>
  </si>
  <si>
    <t xml:space="preserve">Lợi nhuận thuần từ hoạt động kinh doanh </t>
  </si>
  <si>
    <t xml:space="preserve">Lợi nhuận khác </t>
  </si>
  <si>
    <t xml:space="preserve">Tổng lợi nhuận kế toán trước thuế </t>
  </si>
  <si>
    <t>Lợi nhuận sau thuế thu nhập doanh nghiệp</t>
  </si>
  <si>
    <t>So sánh 2015/2016</t>
  </si>
  <si>
    <t>+/-</t>
  </si>
  <si>
    <t>Tỷ lệ tăng trưởng doanh thu từ HĐKD chính - TTdtc</t>
  </si>
  <si>
    <t xml:space="preserve">HẠN MỨC TÍN DỤNG NGẮN HẠN </t>
  </si>
  <si>
    <t>Đơn vị : đ</t>
  </si>
  <si>
    <t>Chi phí quản lý bán hàng, chi phí sản xuất, chi phí khác</t>
  </si>
  <si>
    <t>Số ngày phải thu trung bình</t>
  </si>
  <si>
    <t>Số ngày tồn kho trung bình</t>
  </si>
  <si>
    <t>Số ngày sản xuất bình quân</t>
  </si>
  <si>
    <t>Số ngày vận chuyển , bán hàng</t>
  </si>
  <si>
    <t>Số ngày phải trả</t>
  </si>
  <si>
    <t>Tỷ lệ KH ứng trước</t>
  </si>
  <si>
    <t>Theo đó:</t>
  </si>
  <si>
    <t>Tổng chi phí (không gồm khấu hao)</t>
  </si>
  <si>
    <t>Số vòng quay vốn lưu động trong năm</t>
  </si>
  <si>
    <t>Nhu cầu vốn lưu động cho 1 vòng 
= Tổng chi phí không gồm khấu hao / số vòng trong năm</t>
  </si>
  <si>
    <t>NGUỒN TÀI TRỢ VỐN LƯU ĐỘNG</t>
  </si>
  <si>
    <t>Vốn CSH</t>
  </si>
  <si>
    <t>Vay dài hạn</t>
  </si>
  <si>
    <t>Vay cá nhân</t>
  </si>
  <si>
    <t>Tài sản cố định đã hạch toán vào BCĐKT</t>
  </si>
  <si>
    <t>Tài sản cố định đang hình thành</t>
  </si>
  <si>
    <t>Vốn CSH dùng cho vốn lưu động
=Vốn CSH + Vay dài hạn - Tài sản cố định</t>
  </si>
  <si>
    <t>Vốn chiếm dụng trung bình nhà cung cấp 
= Giá vốn không gồm khấu hao /360 * Số ngày phải trả trung bình</t>
  </si>
  <si>
    <t>Tài trợ từ các tổ chức tín dụng khác</t>
  </si>
  <si>
    <t>Vốn huy động khác</t>
  </si>
  <si>
    <t>Vốn khách hàng ứng trước
=Tỷ lệ KH ứng trước* Nhu cầu vốn lưu động cho 1 vòng</t>
  </si>
  <si>
    <t>Vốn vay cần thiết</t>
  </si>
  <si>
    <t>HẠN MỨC LC</t>
  </si>
  <si>
    <t>Khoản mục</t>
  </si>
  <si>
    <t>Số tiền (VND)</t>
  </si>
  <si>
    <t>Tổng Giá vốn</t>
  </si>
  <si>
    <t>Tỷ lệ Doanh số nhập khẩu/Tổng Giá vốn</t>
  </si>
  <si>
    <t>Doanh số nhập khẩu (Chính là Doanh số mở LC)</t>
  </si>
  <si>
    <t>Số ngày trung bình từ khi mở LC đến khi thanh toán LC</t>
  </si>
  <si>
    <t>Số dư LC trung bình = Doanh số mở LC/365*Số ngày trung bình từ khi mở LC đến khi thanh toán LC</t>
  </si>
  <si>
    <t>So du LC cao nhat tai 1 thoi diem (dự kiến) 
(Dự kiến bằng 1.5 lần số dư LC trung bình)</t>
  </si>
  <si>
    <t>HẠN MỨC BẢO LÃNH</t>
  </si>
  <si>
    <t>Doanh thu dự thầu</t>
  </si>
  <si>
    <t>Loại BL</t>
  </si>
  <si>
    <t>Hiệu lực thư BL
(ngày)</t>
  </si>
  <si>
    <t>Tỷ lệ % doanh thu</t>
  </si>
  <si>
    <t>Nhu cầu BL</t>
  </si>
  <si>
    <t>KQ</t>
  </si>
  <si>
    <t>TSĐB</t>
  </si>
  <si>
    <t>Mức KQ</t>
  </si>
  <si>
    <t>Tín chấp</t>
  </si>
  <si>
    <t>Bảo lãnh dự thầu</t>
  </si>
  <si>
    <t>Bảo lãnh thực hiện HĐ</t>
  </si>
  <si>
    <t>Bảo lãnh BH</t>
  </si>
  <si>
    <t>Bảo lãnh tiền tạm ứng</t>
  </si>
  <si>
    <t>Tổng chi phí</t>
  </si>
  <si>
    <t>Trongđó</t>
  </si>
  <si>
    <t>-        Giá vốn hàng bán (không gồm khấu hao)</t>
  </si>
  <si>
    <t>-        Chi phí quản lý bán hàng, dịch vụ khác</t>
  </si>
  <si>
    <t>-        Khấu hao dự kiến</t>
  </si>
  <si>
    <t>Lợi nhuận kế hoạch</t>
  </si>
  <si>
    <t>Thuế TNDN</t>
  </si>
  <si>
    <t>Lợi nhuận sau thuế</t>
  </si>
  <si>
    <t>Chu kỳ kinh doanh = Phải thu + Tồn kho + Số ngày sản xuất + Số ngày vận chuyển và bán hàng</t>
  </si>
  <si>
    <t>(50% Tổng doanh thu)</t>
  </si>
  <si>
    <t>Xác định hạn mức thông qua các chỉ số tài chính kỳ báo cáo</t>
  </si>
  <si>
    <t>CHỈ TIÊU</t>
  </si>
  <si>
    <t>Quý IV/2017</t>
  </si>
  <si>
    <t>TÌNH HÌNH TÀI CHÍNH</t>
  </si>
  <si>
    <t>Tổng tài sản</t>
  </si>
  <si>
    <t>Tài sản ngắn hạn</t>
  </si>
  <si>
    <t>-</t>
  </si>
  <si>
    <t>Tiền mặt</t>
  </si>
  <si>
    <t>Tài sản dài hạn</t>
  </si>
  <si>
    <t>Tài sản dài hạn khác</t>
  </si>
  <si>
    <t>Tổng nguồn vốn</t>
  </si>
  <si>
    <t>Nợ phải trả</t>
  </si>
  <si>
    <t>Nợ phải trả ngắn hạn</t>
  </si>
  <si>
    <t>Nợ vay ngắn hạn</t>
  </si>
  <si>
    <t>+</t>
  </si>
  <si>
    <t>Vay ngắn hạn Agribank</t>
  </si>
  <si>
    <t>Vay ngắn hạn các TCTD khác</t>
  </si>
  <si>
    <t xml:space="preserve">- </t>
  </si>
  <si>
    <t>Các khoản nợ ngắn hạn phải trả khác</t>
  </si>
  <si>
    <t>Phải trả người bán</t>
  </si>
  <si>
    <t>Người mua trả tiền trước</t>
  </si>
  <si>
    <t>Nợ phải trả trung, dài hạn</t>
  </si>
  <si>
    <t>Nợ vay trung, dài hạn</t>
  </si>
  <si>
    <t>Vay trung, dài hạn Agribank</t>
  </si>
  <si>
    <t>Vay trung, dài hạn các TCTD khác</t>
  </si>
  <si>
    <t>Các khoản nợ trung, dài hạn phải trả khác</t>
  </si>
  <si>
    <t>Nguồn vốn chủ sở hữu</t>
  </si>
  <si>
    <t>Nguồn vốn đầu tư của chủ sở hữu</t>
  </si>
  <si>
    <t>Lợi nhuận chưa phân phối</t>
  </si>
  <si>
    <t>Nguồn vốn chủ sở hữu khác</t>
  </si>
  <si>
    <t>TÌNH HÌNH SXKD</t>
  </si>
  <si>
    <t>Tổng doanh thu</t>
  </si>
  <si>
    <t>Tổng chi phí SXKD</t>
  </si>
  <si>
    <t>Lợi nhuận trước thuế</t>
  </si>
  <si>
    <t>TÀI SẢN</t>
  </si>
  <si>
    <t>111</t>
  </si>
  <si>
    <t>1. Chi phí trả trước ngắn hạn</t>
  </si>
  <si>
    <t>2. Thuế GTGT được khấu trừ</t>
  </si>
  <si>
    <t>3. Thuế và các khoản khác phải thu nhà nước</t>
  </si>
  <si>
    <t>153</t>
  </si>
  <si>
    <t>4. Giao dịch mua bán lại trái phiếu Chính phủ</t>
  </si>
  <si>
    <t>154</t>
  </si>
  <si>
    <t>5. Tài sản ngắn hạn khác</t>
  </si>
  <si>
    <t>155</t>
  </si>
  <si>
    <t>219</t>
  </si>
  <si>
    <t>225</t>
  </si>
  <si>
    <t>230</t>
  </si>
  <si>
    <t>231</t>
  </si>
  <si>
    <t>232</t>
  </si>
  <si>
    <t>240</t>
  </si>
  <si>
    <t>241</t>
  </si>
  <si>
    <t>242</t>
  </si>
  <si>
    <t>TỔNG CỘNG TÀI SẢN (270 = 100 + 200)</t>
  </si>
  <si>
    <t>NGUỒN VỐN</t>
  </si>
  <si>
    <t>311</t>
  </si>
  <si>
    <t>312</t>
  </si>
  <si>
    <t>313</t>
  </si>
  <si>
    <t>314</t>
  </si>
  <si>
    <t>315</t>
  </si>
  <si>
    <t>316</t>
  </si>
  <si>
    <t>317</t>
  </si>
  <si>
    <t>318</t>
  </si>
  <si>
    <t>319</t>
  </si>
  <si>
    <t>320</t>
  </si>
  <si>
    <t>321</t>
  </si>
  <si>
    <t>322</t>
  </si>
  <si>
    <t>323</t>
  </si>
  <si>
    <t>324</t>
  </si>
  <si>
    <t>331</t>
  </si>
  <si>
    <t>332</t>
  </si>
  <si>
    <t>333</t>
  </si>
  <si>
    <t>334</t>
  </si>
  <si>
    <t>335</t>
  </si>
  <si>
    <t>336</t>
  </si>
  <si>
    <t>337</t>
  </si>
  <si>
    <t>338</t>
  </si>
  <si>
    <t>339</t>
  </si>
  <si>
    <t>340</t>
  </si>
  <si>
    <t>341</t>
  </si>
  <si>
    <t>342</t>
  </si>
  <si>
    <t>343</t>
  </si>
  <si>
    <t>418</t>
  </si>
  <si>
    <t>421a</t>
  </si>
  <si>
    <t>421b</t>
  </si>
  <si>
    <t>II. Nguồn kinh phí và quỹ khác</t>
  </si>
  <si>
    <t>431</t>
  </si>
  <si>
    <t>432</t>
  </si>
  <si>
    <t>TỔNG CỘNG NGUỒN VỐN (440=300+400)</t>
  </si>
  <si>
    <t>Tiền</t>
  </si>
  <si>
    <t>Các khoản tương đương tiền</t>
  </si>
  <si>
    <t>Tiền và các khoản tương đương tiền (110=111+112)</t>
  </si>
  <si>
    <t>Chứng khoán kinh doanh</t>
  </si>
  <si>
    <t xml:space="preserve">Dự phòng giảm giá chứng khoán kinh doanh (*) </t>
  </si>
  <si>
    <t>Đầu tư nắm giữ đến ngày đáo hạn</t>
  </si>
  <si>
    <t>Các khoản đầu tư tài chính ngắn hạn (120=121+129)</t>
  </si>
  <si>
    <t>TÀI SẢN NGẮN HẠN (100=110+120+130+140+150)</t>
  </si>
  <si>
    <t>Các khoản phải thu ngắn hạn
(130 = 131 + 132 + 133 + 134 + 135 + 139)</t>
  </si>
  <si>
    <t xml:space="preserve">Phải thu ngắn hạn của khách hàng </t>
  </si>
  <si>
    <t>Trả trước cho người bán ngắn hạn</t>
  </si>
  <si>
    <t>Phải thu nội bộ ngắn hạn</t>
  </si>
  <si>
    <t>Phải thu theo tiến độ kế hoạch hợp đồng xây dựng</t>
  </si>
  <si>
    <t>Phải thu về cho vay ngắn hạn</t>
  </si>
  <si>
    <t>Các khoản phải thu ngắn hạn khác</t>
  </si>
  <si>
    <t>Tài sản thiếu chờ xử lý</t>
  </si>
  <si>
    <t>Dự phòng phải thu ngắn hạn khó đòi (*)</t>
  </si>
  <si>
    <t>Hàng tồn kho (140 = 141 + 149)</t>
  </si>
  <si>
    <t>Dự phòng giảm giá hàng tồn kho (*)</t>
  </si>
  <si>
    <t>Tài sản ngắn hạn khác
(150 = 151 + 152 + 154 + 158)</t>
  </si>
  <si>
    <t>TÀI SẢN DÀI HẠN 
(200=210+220+240+250+260)</t>
  </si>
  <si>
    <t>Các khoản phải thu dài hạn
(210 = 211 + 212 + 213 + 218 + 219)</t>
  </si>
  <si>
    <t>Phải thu dài hạn của khách hàng</t>
  </si>
  <si>
    <t>Trả trước cho người bán dài hạn</t>
  </si>
  <si>
    <t>Vốn kinh doanh ở đơn vị trực thuộc</t>
  </si>
  <si>
    <t>Phải thu dài hạn nội bộ</t>
  </si>
  <si>
    <t>Phải thu về cho vay dài hạn</t>
  </si>
  <si>
    <t>Phải thu dài hạn khác</t>
  </si>
  <si>
    <t>Dự phòng phải thu dài hạn khó đòi (*)</t>
  </si>
  <si>
    <t>Tài sản cố định (220 = 221 + 224 + 227 + 230)</t>
  </si>
  <si>
    <t>Tài sản cố định hữu hình (221 = 222 + 223)</t>
  </si>
  <si>
    <t>Tài sản cố định thuê tài chính (224 = 225 + 226)</t>
  </si>
  <si>
    <t>Nguyên giá</t>
  </si>
  <si>
    <t>Gía trị hao mòn luỹ kế (*)</t>
  </si>
  <si>
    <t>Tài sản cố định vô hình (227 = 228 + 229)</t>
  </si>
  <si>
    <t xml:space="preserve">Chi phí sản xuất, kinh doanh dở dang dài hạn </t>
  </si>
  <si>
    <t>Chi phí xây dựng cơ bản dở dang</t>
  </si>
  <si>
    <t>Bất động sản đầu tư (230 = 231 + 232)</t>
  </si>
  <si>
    <t>Tài sản dở dang dài hạn  (240 = 241 + 242)</t>
  </si>
  <si>
    <t>Đầu tư vào công ty con</t>
  </si>
  <si>
    <t>Đầu tư vào công ty liên kết, liên doanh</t>
  </si>
  <si>
    <t>Đầu tư góp vốn vào đơn vị khác</t>
  </si>
  <si>
    <t>Dự phòng giảm giá đầu tư tài chính dài hạn</t>
  </si>
  <si>
    <t>Đầu tư tài chính dài hạn
(250 = 251 + 252 + 253 + 254 + 255)</t>
  </si>
  <si>
    <t>VI</t>
  </si>
  <si>
    <t>Tài sản dài hạn khác (260 = 261 + 262 + 268)</t>
  </si>
  <si>
    <t>Chi phí trả trước dài hạn</t>
  </si>
  <si>
    <t>Tài sản thuế thu nhập hoãn lại</t>
  </si>
  <si>
    <t>Thiết bị, vật tư, phụ tùng thay thế dài hạn</t>
  </si>
  <si>
    <t>NỢ PHẢI TRẢ (300 = 310 + 330)</t>
  </si>
  <si>
    <t>Nợ ngắn hạn (310 = 311 + 312 +  ... + 319 + 320 + 323)</t>
  </si>
  <si>
    <t xml:space="preserve">Phải trả người bán ngắn hạn                                                                      </t>
  </si>
  <si>
    <t xml:space="preserve">Người mua trả tiền trước ngắn hạn                                                                </t>
  </si>
  <si>
    <t xml:space="preserve">Thuế và các khoản phải nộp Nhà nước                                                              </t>
  </si>
  <si>
    <t xml:space="preserve">Phải trả người lao động                                                                          </t>
  </si>
  <si>
    <t xml:space="preserve">Chi phí phải trả ngắn hạn                                                                        </t>
  </si>
  <si>
    <t xml:space="preserve">Phải trả nội bộ ngắn hạn                                                                         </t>
  </si>
  <si>
    <t xml:space="preserve">Phải trả theo tiến độ kế hoạch hợp đồng xây dựng                                                 </t>
  </si>
  <si>
    <t xml:space="preserve">Doanh thu chưa thực hiện ngắn hạn                                                                </t>
  </si>
  <si>
    <t xml:space="preserve">Phải trả ngắn hạn khác                                                                           </t>
  </si>
  <si>
    <t xml:space="preserve">Vay và nợ thuê tài chính ngắn hạn                                                               </t>
  </si>
  <si>
    <t xml:space="preserve">Dự phòng phải trả ngắn hạn                                                                      </t>
  </si>
  <si>
    <t xml:space="preserve">Quỹ khen thưởng phúc lợi                                                                        </t>
  </si>
  <si>
    <t xml:space="preserve">Quỹ bình ổn giá                                                                                 </t>
  </si>
  <si>
    <t xml:space="preserve">Giao dịch mua bán lại trái phiếu Chính phủ                                                      </t>
  </si>
  <si>
    <t>Nợ dài hạn (330 = 331 + 332 + ... + 338 + 339)</t>
  </si>
  <si>
    <t xml:space="preserve">Phải trả người bán dài hạn                                                                       </t>
  </si>
  <si>
    <t xml:space="preserve">Người mua trả tiền trước dài hạn                                                                 </t>
  </si>
  <si>
    <t xml:space="preserve">Chi phí phải trả dài hạn                                                                         </t>
  </si>
  <si>
    <t xml:space="preserve">Phải trả nội bộ về vốn kinh doanh                                                                </t>
  </si>
  <si>
    <t xml:space="preserve">Phải trả dài hạn nội bộ                                                                          </t>
  </si>
  <si>
    <t xml:space="preserve">Doanh thu chưa thực hiện dài hạn                                                                 </t>
  </si>
  <si>
    <t xml:space="preserve">Phải trả dài hạn khác                                                                            </t>
  </si>
  <si>
    <t xml:space="preserve">Vay và nợ thuê tài chính dài hạn                                                                 </t>
  </si>
  <si>
    <t xml:space="preserve">Trái phiếu chuyển đổi                                                                            </t>
  </si>
  <si>
    <t xml:space="preserve">Cổ phiếu ưu đãi                                                                                 </t>
  </si>
  <si>
    <t xml:space="preserve">Thuế  thu nhập hoãn lại phải trả                                                                </t>
  </si>
  <si>
    <t xml:space="preserve">Dự phòng phải trả dài hạn                                                                       </t>
  </si>
  <si>
    <t xml:space="preserve">Quỹ phát triển khoa học và công nghệ                                                            </t>
  </si>
  <si>
    <t>VỐN CHỦ SỬ HỮU (400=410+430)</t>
  </si>
  <si>
    <t>Vốn chủ sở hữu</t>
  </si>
  <si>
    <t>Vốn đầu tư của chủ sở hữu</t>
  </si>
  <si>
    <t>Thặng dư vốn cổ phần</t>
  </si>
  <si>
    <t>Quyền chọn chuyển đổi trái phiếu</t>
  </si>
  <si>
    <t xml:space="preserve">Vốn khác của chủ sở hữu </t>
  </si>
  <si>
    <t>Cổ phiếu quỹ (*)</t>
  </si>
  <si>
    <t>Chênh lệch đánh giá lại tài sản</t>
  </si>
  <si>
    <t>Chênh lệch tỷ giá hối đoái</t>
  </si>
  <si>
    <t>Quỹ đầu tư phát triển</t>
  </si>
  <si>
    <t>Quỹ hỗ trợ sắp xếp doanh nghiệp</t>
  </si>
  <si>
    <t>Quỹ khác thuộc vốn chủ sở hữu</t>
  </si>
  <si>
    <t>Lợi nhuận sau thuế chưa phân phối</t>
  </si>
  <si>
    <t>LNST chưa phân phối lũy kế đến cuối kỳ trước</t>
  </si>
  <si>
    <t>LNST chưa phân phối kỳ này</t>
  </si>
  <si>
    <t>Nguồn vốn đầu tư XDCB</t>
  </si>
  <si>
    <t>Nguồn kinh phí</t>
  </si>
  <si>
    <t>Nguồn kinh phí đã hình thành TSCĐ</t>
  </si>
  <si>
    <t>(200/338*10%)</t>
  </si>
  <si>
    <t>\</t>
  </si>
  <si>
    <t>Chi phí trả trước ngắn hạn</t>
  </si>
  <si>
    <t>Thuế GTGT được khấu trừ</t>
  </si>
  <si>
    <t>Thuế và các khoản khác phải thu nhà nước</t>
  </si>
  <si>
    <t>Giao dịch mua bán lại trái phiếu Chính phủ</t>
  </si>
  <si>
    <t>So sánh +/-</t>
  </si>
  <si>
    <t>Loại dư nợ</t>
  </si>
  <si>
    <t xml:space="preserve"> VND </t>
  </si>
  <si>
    <t>USD</t>
  </si>
  <si>
    <t>Tổng cộng</t>
  </si>
  <si>
    <t>Mức cấp tín dụng</t>
  </si>
  <si>
    <t>Dư nợ đến ngày ….</t>
  </si>
  <si>
    <t>Doanh số cho vay Năm …</t>
  </si>
  <si>
    <t>Doanh số thu nợ</t>
  </si>
  <si>
    <t>Thu lãi/phí</t>
  </si>
  <si>
    <t>VNĐ</t>
  </si>
  <si>
    <t>Ngoại tệ</t>
  </si>
  <si>
    <t>Tên khách hàng</t>
  </si>
  <si>
    <t>Tổng</t>
  </si>
  <si>
    <t>Dư nợ cho vay</t>
  </si>
  <si>
    <t>LC, bảo lãnh</t>
  </si>
  <si>
    <t>Mã khách hàng</t>
  </si>
  <si>
    <t>Mức cấp tín dụng</t>
  </si>
  <si>
    <t>Ngày ký hợp đồng</t>
  </si>
  <si>
    <t>Tình hình cấp tín dụng đến hết ngày .../.../......</t>
  </si>
  <si>
    <t>Đơn vị đánh giá</t>
  </si>
  <si>
    <t>Xếp hạng</t>
  </si>
  <si>
    <t>Tổng điểm</t>
  </si>
  <si>
    <t>Điểm tài chính</t>
  </si>
  <si>
    <t>Điểm phi tài chính</t>
  </si>
  <si>
    <t>Ghi chú</t>
  </si>
  <si>
    <t>Nội dung</t>
  </si>
  <si>
    <t>Chi tiết</t>
  </si>
  <si>
    <t>Tình hình thực hiện</t>
  </si>
  <si>
    <t>Đánh giá</t>
  </si>
  <si>
    <t>Đáp ứng/Không đáp ứng</t>
  </si>
  <si>
    <t>Khoản mục</t>
  </si>
  <si>
    <t>Giá trị</t>
  </si>
  <si>
    <t>Ghi chú</t>
  </si>
  <si>
    <r>
      <t xml:space="preserve">1-Tình hình dư nợ tại các Tổ chức tín dụng theo CIC </t>
    </r>
    <r>
      <rPr>
        <b/>
        <sz val="12"/>
        <color rgb="FFFF0000"/>
        <rFont val="Times New Roman"/>
        <family val="1"/>
      </rPr>
      <t>(Điểm 1.1.1 thuộc mục IV. Quan hệ Tín dụng - Báo cáo thẩm định)</t>
    </r>
  </si>
  <si>
    <r>
      <t xml:space="preserve">2-Tình hình quan hệ tín dụng với Agribank </t>
    </r>
    <r>
      <rPr>
        <b/>
        <sz val="12"/>
        <color rgb="FFFF0000"/>
        <rFont val="Times New Roman"/>
        <family val="1"/>
      </rPr>
      <t>(Điểm 1.1.2 thuộc mục IV. Quan hệ Tín dụng - Báo cáo thẩm định)</t>
    </r>
  </si>
  <si>
    <r>
      <t xml:space="preserve">3-Nhóm khách hàng vay liên quan </t>
    </r>
    <r>
      <rPr>
        <b/>
        <sz val="12"/>
        <color rgb="FFFF0000"/>
        <rFont val="Times New Roman"/>
        <family val="1"/>
      </rPr>
      <t>(Điểm 1.2.2 thuộc mục IV. Quan hệ Tín dụng - Báo cáo thẩm định)</t>
    </r>
  </si>
  <si>
    <r>
      <t xml:space="preserve">4-Chấm điểm, xếp hạng khách hàng trên hệ thống xếp hạng tín dụng nội bộ </t>
    </r>
    <r>
      <rPr>
        <b/>
        <sz val="12"/>
        <color rgb="FFFF0000"/>
        <rFont val="Times New Roman"/>
        <family val="1"/>
      </rPr>
      <t>(Điểm 2 thuộc mục IV. Quan hệ Tín dụng - Báo cáo thẩm định)</t>
    </r>
  </si>
  <si>
    <r>
      <t xml:space="preserve">5-Tình hình thực hiện các nội dung cấp tín dụng </t>
    </r>
    <r>
      <rPr>
        <b/>
        <sz val="12"/>
        <color rgb="FFFF0000"/>
        <rFont val="Times New Roman"/>
        <family val="1"/>
      </rPr>
      <t>(Điểm 3.1 thuộc mục IV. Quan hệ Tín dụng - Báo cáo thẩm định)</t>
    </r>
  </si>
  <si>
    <r>
      <t xml:space="preserve">7-Phương án SXKD, nhu cầu vốn </t>
    </r>
    <r>
      <rPr>
        <b/>
        <sz val="12"/>
        <color rgb="FFFF0000"/>
        <rFont val="Times New Roman"/>
        <family val="1"/>
      </rPr>
      <t>(Điểm 2.2 mục V. Thẩm định PA sử dụng vốn - Báo cáo thẩm định)</t>
    </r>
  </si>
  <si>
    <t>1-Ngân hàng …..</t>
  </si>
  <si>
    <t>-Dư nợ cho vay ngắn hạn:</t>
  </si>
  <si>
    <t>+Dư nợ đủ tiêu chuẩn</t>
  </si>
  <si>
    <t>-Dư nợ cho vay trung, dài hạn:</t>
  </si>
  <si>
    <t>2-Ngân hàng…</t>
  </si>
  <si>
    <t>1-Tại Chi nhánh …..</t>
  </si>
  <si>
    <t>1.1-Cho vay ngắn hạn</t>
  </si>
  <si>
    <t>+Dư nợ</t>
  </si>
  <si>
    <t>+Bảo lãnh</t>
  </si>
  <si>
    <t xml:space="preserve"> +L/C</t>
  </si>
  <si>
    <t>1.2-Cho vay trung, dài hạn</t>
  </si>
  <si>
    <t>2-Tại Chi nhánh …..</t>
  </si>
  <si>
    <t>+L/C</t>
  </si>
  <si>
    <t>1-</t>
  </si>
  <si>
    <t>2-</t>
  </si>
  <si>
    <t>1-Chi nhánh ….</t>
  </si>
  <si>
    <t xml:space="preserve">PHÂN TÍCH BÁO CÁO TÀI CHÍNH - TẠO THÔNG TIN HỖ TRỢ LẬP BÁO CÁO THẨM ĐỊNH </t>
  </si>
  <si>
    <t>Năm dự kiến</t>
  </si>
  <si>
    <t>Vòng quay vốn lưu động</t>
  </si>
  <si>
    <t>Nhu cầu vốn lưu động trên một vòng quay</t>
  </si>
  <si>
    <t>Vốn đối ứng, trong đó:</t>
  </si>
  <si>
    <t>Nguồn vốn lưu động ròng</t>
  </si>
  <si>
    <t>Vốn chiếm dụng</t>
  </si>
  <si>
    <t>Nguồn vốn khác (nếu có)</t>
  </si>
  <si>
    <t>Tỷ lệ vốn đối ứng/Nhu cầu vốn lưu động 1 vòng quay</t>
  </si>
  <si>
    <t>Nhu cầu vốn vay</t>
  </si>
  <si>
    <t>Vốn vay các tổ chức tín dụng khác</t>
  </si>
  <si>
    <t>Vốn vay Agribank</t>
  </si>
  <si>
    <t>Triệu đồng</t>
  </si>
  <si>
    <t>Vòng</t>
  </si>
  <si>
    <t>Xác định hạn mức theo hướng dẫn của Agribank</t>
  </si>
  <si>
    <t>Tổng chi phí sản xuất kinh doanh (Không tính khấu hao và lãi vay)</t>
  </si>
  <si>
    <t>Doanh thu (Dự tính bằng 80% doanh thu của kỳ trước)</t>
  </si>
  <si>
    <t>Chí phí giá vốn không gồm khấu hao (%):</t>
  </si>
  <si>
    <r>
      <t xml:space="preserve">6-Tình hình sử dụng các sản phẩm, dịch vụ tại Chi nhánh </t>
    </r>
    <r>
      <rPr>
        <b/>
        <sz val="12"/>
        <color rgb="FFFF0000"/>
        <rFont val="Times New Roman"/>
        <family val="1"/>
      </rPr>
      <t>(Điểm IV1.1-b -Quan hệ giao dịch với Agribank-Báo cáo đề xuất cho vay)</t>
    </r>
  </si>
  <si>
    <t>1.Chỉ tiêu tín dụng ngắn hạn</t>
  </si>
  <si>
    <t>Năm T-1</t>
  </si>
  <si>
    <t>Năm T (Từ đầu năm đến thời điểm báo cáo)</t>
  </si>
  <si>
    <t>-Doanh số cho vay</t>
  </si>
  <si>
    <t>-Doanh số thư nợ</t>
  </si>
  <si>
    <t>-Dư nợ cuối kỳ</t>
  </si>
  <si>
    <t>-Thu lãi</t>
  </si>
  <si>
    <t>2.Chỉ tiêu tín dụng trung, dài hạn</t>
  </si>
  <si>
    <t>3.Chỉ tiêu bảo lãnh của Agribank</t>
  </si>
  <si>
    <t>-Doanh số bảo lãnh</t>
  </si>
  <si>
    <t>-Số dư bảo lãnh cuối kỳ</t>
  </si>
  <si>
    <t>-Thu phí</t>
  </si>
  <si>
    <t>4.Chỉ tiêu về Thanh toán quốc tế</t>
  </si>
  <si>
    <t>-Doanh số mở LC</t>
  </si>
  <si>
    <t>-Số dư mở LC cuối kỳ</t>
  </si>
  <si>
    <t>5.Doanh số chuyển tiền đi</t>
  </si>
  <si>
    <t>6.Doanh số chuyển tiền đến</t>
  </si>
  <si>
    <t>I-Phương án SXKD</t>
  </si>
  <si>
    <t>1-Sản phẩm/dịch vụ 1 …</t>
  </si>
  <si>
    <t>2-Sản phẩm/dịch vụ 2 …</t>
  </si>
  <si>
    <t>3-…..</t>
  </si>
  <si>
    <t>Kế hoạch nguồn vốn</t>
  </si>
  <si>
    <t>1-Vốn đối ứng</t>
  </si>
  <si>
    <t>2-Vốn vay Agribank</t>
  </si>
  <si>
    <t>Kế hoạch trả nợ</t>
  </si>
  <si>
    <t>1-Nghĩa vụ trả nợ</t>
  </si>
  <si>
    <t>2-Nguồn trả nợ</t>
  </si>
  <si>
    <t>3-Cân đối nguồn trả nợ</t>
  </si>
</sst>
</file>

<file path=xl/styles.xml><?xml version="1.0" encoding="utf-8"?>
<styleSheet xmlns="http://schemas.openxmlformats.org/spreadsheetml/2006/main">
  <numFmts count="13">
    <numFmt numFmtId="164" formatCode="_(* #,##0_);_(* \(#,##0\);_(* &quot;-&quot;_);_(@_)"/>
    <numFmt numFmtId="165" formatCode="_(* #,##0.00_);_(* \(#,##0.00\);_(* &quot;-&quot;??_);_(@_)"/>
    <numFmt numFmtId="166" formatCode="_-* #,##0\ _₫_-;\-* #,##0\ _₫_-;_-* &quot;-&quot;\ _₫_-;_-@_-"/>
    <numFmt numFmtId="167" formatCode="_-* #,##0.00\ _₫_-;\-* #,##0.00\ _₫_-;_-* &quot;-&quot;??\ _₫_-;_-@_-"/>
    <numFmt numFmtId="168" formatCode="_(* #,##0.0_);_(* \(#,##0.0\);_(* &quot;-&quot;?_);_(@_)"/>
    <numFmt numFmtId="169" formatCode="&quot;\&quot;#,##0;[Red]&quot;\&quot;\-#,##0"/>
    <numFmt numFmtId="170" formatCode="&quot;\&quot;#,##0.00;[Red]&quot;\&quot;\-#,##0.00"/>
    <numFmt numFmtId="171" formatCode="\$#,##0\ ;\(\$#,##0\)"/>
    <numFmt numFmtId="172" formatCode="&quot;\&quot;#,##0;[Red]&quot;\&quot;&quot;\&quot;\-#,##0"/>
    <numFmt numFmtId="173" formatCode="&quot;\&quot;#,##0.00;[Red]&quot;\&quot;&quot;\&quot;&quot;\&quot;&quot;\&quot;&quot;\&quot;&quot;\&quot;\-#,##0.00"/>
    <numFmt numFmtId="174" formatCode="&quot;Năm&quot;\ General"/>
    <numFmt numFmtId="175" formatCode="_-* #,##0.00\ _₫_-;\-* #,##0.00\ _₫_-;_-* &quot;-&quot;\ _₫_-;_-@_-"/>
    <numFmt numFmtId="176" formatCode="#,##0.0"/>
  </numFmts>
  <fonts count="65">
    <font>
      <sz val="10"/>
      <name val="Arial"/>
    </font>
    <font>
      <sz val="10"/>
      <name val="Arial"/>
      <family val="2"/>
    </font>
    <font>
      <b/>
      <sz val="18"/>
      <name val="Arial"/>
      <family val="2"/>
    </font>
    <font>
      <b/>
      <sz val="12"/>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b/>
      <sz val="14"/>
      <name val=".VnTime"/>
      <family val="2"/>
    </font>
    <font>
      <sz val="11"/>
      <name val=".VnTime"/>
      <family val="2"/>
    </font>
    <font>
      <sz val="14"/>
      <name val=".VnTime"/>
      <family val="2"/>
    </font>
    <font>
      <b/>
      <sz val="13"/>
      <color indexed="10"/>
      <name val=".VnTime"/>
      <family val="2"/>
    </font>
    <font>
      <sz val="11"/>
      <name val="Times New Roman"/>
      <family val="1"/>
    </font>
    <font>
      <b/>
      <sz val="13"/>
      <color indexed="10"/>
      <name val="Times New Roman"/>
      <family val="1"/>
    </font>
    <font>
      <b/>
      <sz val="14"/>
      <name val="Times New Roman"/>
      <family val="1"/>
    </font>
    <font>
      <sz val="14"/>
      <name val="Times New Roman"/>
      <family val="1"/>
    </font>
    <font>
      <b/>
      <sz val="16"/>
      <color indexed="10"/>
      <name val="Times New Roman"/>
      <family val="1"/>
    </font>
    <font>
      <b/>
      <sz val="12"/>
      <color indexed="10"/>
      <name val="Times New Roman"/>
      <family val="1"/>
    </font>
    <font>
      <b/>
      <sz val="14"/>
      <color indexed="61"/>
      <name val="Times New Roman"/>
      <family val="1"/>
    </font>
    <font>
      <b/>
      <sz val="11"/>
      <name val="Times New Roman"/>
      <family val="1"/>
    </font>
    <font>
      <b/>
      <sz val="10"/>
      <name val="Times New Roman"/>
      <family val="1"/>
    </font>
    <font>
      <b/>
      <sz val="12"/>
      <color indexed="48"/>
      <name val="Times New Roman"/>
      <family val="1"/>
    </font>
    <font>
      <sz val="12"/>
      <name val="Times New Roman"/>
      <family val="1"/>
    </font>
    <font>
      <b/>
      <sz val="12"/>
      <name val="Times New Roman"/>
      <family val="1"/>
    </font>
    <font>
      <sz val="10"/>
      <name val="Times New Roman"/>
      <family val="1"/>
    </font>
    <font>
      <b/>
      <sz val="14"/>
      <color indexed="10"/>
      <name val="Times New Roman"/>
      <family val="1"/>
    </font>
    <font>
      <sz val="14"/>
      <color indexed="10"/>
      <name val="Times New Roman"/>
      <family val="1"/>
    </font>
    <font>
      <b/>
      <sz val="20"/>
      <name val="Times New Roman"/>
      <family val="1"/>
    </font>
    <font>
      <i/>
      <sz val="14"/>
      <name val="Times New Roman"/>
      <family val="1"/>
    </font>
    <font>
      <b/>
      <i/>
      <sz val="12"/>
      <name val="Times New Roman"/>
      <family val="1"/>
    </font>
    <font>
      <sz val="10"/>
      <color rgb="FF000000"/>
      <name val="Arial"/>
      <family val="2"/>
    </font>
    <font>
      <sz val="11"/>
      <color rgb="FF000000"/>
      <name val="Times New Roman"/>
      <family val="1"/>
    </font>
    <font>
      <b/>
      <sz val="11"/>
      <color rgb="FF000000"/>
      <name val="Times New Roman"/>
      <family val="1"/>
    </font>
    <font>
      <b/>
      <sz val="10"/>
      <color rgb="FF000000"/>
      <name val="Arial"/>
      <family val="2"/>
    </font>
    <font>
      <b/>
      <sz val="10"/>
      <color rgb="FFFF0000"/>
      <name val="Arial"/>
      <family val="2"/>
    </font>
    <font>
      <b/>
      <i/>
      <sz val="11"/>
      <color rgb="FF000000"/>
      <name val="Times New Roman"/>
      <family val="1"/>
    </font>
    <font>
      <b/>
      <sz val="11"/>
      <color rgb="FF0000FF"/>
      <name val="Times New Roman"/>
      <family val="1"/>
    </font>
    <font>
      <b/>
      <sz val="11"/>
      <color rgb="FFFF0000"/>
      <name val="Times New Roman"/>
      <family val="1"/>
    </font>
    <font>
      <b/>
      <i/>
      <u/>
      <sz val="11"/>
      <color rgb="FF000000"/>
      <name val="Times New Roman"/>
      <family val="1"/>
    </font>
    <font>
      <sz val="11"/>
      <color rgb="FF000000"/>
      <name val="Arial"/>
      <family val="2"/>
    </font>
    <font>
      <sz val="11"/>
      <color rgb="FF0000FF"/>
      <name val="Times New Roman"/>
      <family val="1"/>
    </font>
    <font>
      <sz val="11"/>
      <color rgb="FFFF0000"/>
      <name val="Times New Roman"/>
      <family val="1"/>
    </font>
    <font>
      <b/>
      <sz val="12"/>
      <color theme="1"/>
      <name val="Times New Roman"/>
      <family val="1"/>
    </font>
    <font>
      <sz val="12"/>
      <color theme="1"/>
      <name val="Times New Roman"/>
      <family val="1"/>
    </font>
    <font>
      <sz val="12"/>
      <name val="VNI-Times"/>
    </font>
    <font>
      <b/>
      <sz val="11"/>
      <color indexed="8"/>
      <name val="Times New Roman"/>
      <family val="1"/>
    </font>
    <font>
      <sz val="11"/>
      <color indexed="8"/>
      <name val="Times New Roman"/>
      <family val="1"/>
    </font>
    <font>
      <b/>
      <sz val="10"/>
      <color rgb="FF2604F2"/>
      <name val="Times New Roman"/>
      <family val="1"/>
    </font>
    <font>
      <b/>
      <sz val="11"/>
      <color rgb="FF2604F2"/>
      <name val="Times New Roman"/>
      <family val="1"/>
    </font>
    <font>
      <b/>
      <sz val="14"/>
      <color rgb="FF2604F2"/>
      <name val="Times New Roman"/>
      <family val="1"/>
    </font>
    <font>
      <b/>
      <sz val="12"/>
      <color indexed="61"/>
      <name val="Times New Roman"/>
      <family val="1"/>
    </font>
    <font>
      <sz val="12"/>
      <name val=".VnTime"/>
      <family val="2"/>
    </font>
    <font>
      <b/>
      <sz val="12"/>
      <color indexed="10"/>
      <name val=".VnTime"/>
      <family val="2"/>
    </font>
    <font>
      <b/>
      <sz val="12"/>
      <color rgb="FF2604F2"/>
      <name val="Times New Roman"/>
      <family val="1"/>
    </font>
    <font>
      <b/>
      <sz val="12"/>
      <name val=".VnTime"/>
      <family val="2"/>
    </font>
    <font>
      <i/>
      <sz val="12"/>
      <name val="Times New Roman"/>
      <family val="1"/>
    </font>
    <font>
      <sz val="12"/>
      <color indexed="10"/>
      <name val="Times New Roman"/>
      <family val="1"/>
    </font>
    <font>
      <b/>
      <i/>
      <sz val="12"/>
      <color rgb="FF000000"/>
      <name val="Arial"/>
      <family val="2"/>
    </font>
    <font>
      <b/>
      <sz val="20"/>
      <color rgb="FF002060"/>
      <name val="Arial"/>
      <family val="2"/>
    </font>
    <font>
      <b/>
      <sz val="12"/>
      <color rgb="FFFF0000"/>
      <name val="Times New Roman"/>
      <family val="1"/>
    </font>
    <font>
      <b/>
      <sz val="18"/>
      <color rgb="FF002060"/>
      <name val="Arial"/>
      <family val="2"/>
    </font>
    <font>
      <b/>
      <sz val="13"/>
      <name val="Times New Roman"/>
      <family val="1"/>
    </font>
    <font>
      <b/>
      <sz val="12"/>
      <color rgb="FF000000"/>
      <name val="Times New Roman"/>
      <family val="1"/>
    </font>
    <font>
      <sz val="12"/>
      <color rgb="FF000000"/>
      <name val="Times New Roman"/>
      <family val="1"/>
    </font>
    <font>
      <i/>
      <sz val="12"/>
      <color rgb="FF000000"/>
      <name val="Times New Roman"/>
      <family val="1"/>
    </font>
  </fonts>
  <fills count="10">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rgb="FF00FFCC"/>
        <bgColor indexed="64"/>
      </patternFill>
    </fill>
    <fill>
      <patternFill patternType="solid">
        <fgColor rgb="FFFFFFFF"/>
        <bgColor indexed="64"/>
      </patternFill>
    </fill>
    <fill>
      <patternFill patternType="solid">
        <fgColor theme="2" tint="-9.9948118533890809E-2"/>
        <bgColor indexed="64"/>
      </patternFill>
    </fill>
    <fill>
      <patternFill patternType="solid">
        <fgColor theme="2"/>
        <bgColor indexed="64"/>
      </patternFill>
    </fill>
    <fill>
      <patternFill patternType="solid">
        <fgColor theme="2" tint="-0.24994659260841701"/>
        <bgColor indexed="64"/>
      </patternFill>
    </fill>
  </fills>
  <borders count="43">
    <border>
      <left/>
      <right/>
      <top/>
      <bottom/>
      <diagonal/>
    </border>
    <border>
      <left/>
      <right/>
      <top style="double">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right/>
      <top/>
      <bottom style="thin">
        <color indexed="64"/>
      </bottom>
      <diagonal/>
    </border>
    <border>
      <left/>
      <right/>
      <top/>
      <bottom style="hair">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diagonal/>
    </border>
  </borders>
  <cellStyleXfs count="25">
    <xf numFmtId="0" fontId="0" fillId="0" borderId="0"/>
    <xf numFmtId="3" fontId="1" fillId="0" borderId="0" applyFont="0" applyFill="0" applyBorder="0" applyAlignment="0" applyProtection="0"/>
    <xf numFmtId="171" fontId="1" fillId="0" borderId="0" applyFont="0" applyFill="0" applyBorder="0" applyAlignment="0" applyProtection="0"/>
    <xf numFmtId="0" fontId="1" fillId="0" borderId="0" applyFont="0" applyFill="0" applyBorder="0" applyAlignment="0" applyProtection="0"/>
    <xf numFmtId="2"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 fillId="0" borderId="1" applyNumberFormat="0" applyFont="0" applyFill="0" applyAlignment="0" applyProtection="0"/>
    <xf numFmtId="40" fontId="4" fillId="0" borderId="0" applyFont="0" applyFill="0" applyBorder="0" applyAlignment="0" applyProtection="0"/>
    <xf numFmtId="38"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0" fontId="1" fillId="0" borderId="0" applyFont="0" applyFill="0" applyBorder="0" applyAlignment="0" applyProtection="0"/>
    <xf numFmtId="0" fontId="5" fillId="0" borderId="0"/>
    <xf numFmtId="172" fontId="1" fillId="0" borderId="0" applyFont="0" applyFill="0" applyBorder="0" applyAlignment="0" applyProtection="0"/>
    <xf numFmtId="173" fontId="1"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0" fontId="7" fillId="0" borderId="0"/>
    <xf numFmtId="0" fontId="1" fillId="0" borderId="0"/>
    <xf numFmtId="0" fontId="30" fillId="0" borderId="0"/>
    <xf numFmtId="9" fontId="30" fillId="0" borderId="0" applyFont="0" applyFill="0" applyBorder="0" applyAlignment="0" applyProtection="0"/>
    <xf numFmtId="0" fontId="1" fillId="0" borderId="0"/>
    <xf numFmtId="165" fontId="1" fillId="0" borderId="0" applyFont="0" applyFill="0" applyBorder="0" applyAlignment="0" applyProtection="0"/>
    <xf numFmtId="0" fontId="44" fillId="0" borderId="0"/>
  </cellStyleXfs>
  <cellXfs count="525">
    <xf numFmtId="0" fontId="0" fillId="0" borderId="0" xfId="0"/>
    <xf numFmtId="0" fontId="1" fillId="0" borderId="0" xfId="19"/>
    <xf numFmtId="0" fontId="9" fillId="0" borderId="0" xfId="0" applyFont="1" applyFill="1" applyAlignment="1">
      <alignment vertical="center"/>
    </xf>
    <xf numFmtId="0" fontId="9" fillId="0" borderId="0" xfId="0" applyFont="1" applyFill="1" applyAlignment="1">
      <alignment vertical="center" wrapText="1"/>
    </xf>
    <xf numFmtId="3" fontId="9" fillId="0" borderId="0" xfId="0" applyNumberFormat="1" applyFont="1" applyFill="1" applyAlignment="1">
      <alignment vertical="center"/>
    </xf>
    <xf numFmtId="0" fontId="9" fillId="0" borderId="0" xfId="0" applyFont="1" applyFill="1" applyBorder="1" applyAlignment="1">
      <alignment vertical="center"/>
    </xf>
    <xf numFmtId="3" fontId="9" fillId="0" borderId="0" xfId="0" applyNumberFormat="1" applyFont="1" applyFill="1" applyBorder="1" applyAlignment="1">
      <alignment vertical="center"/>
    </xf>
    <xf numFmtId="0" fontId="10" fillId="0" borderId="0" xfId="0" applyFont="1" applyFill="1" applyAlignment="1">
      <alignment vertical="center"/>
    </xf>
    <xf numFmtId="0" fontId="8" fillId="0" borderId="0" xfId="0" applyFont="1" applyFill="1" applyAlignment="1">
      <alignment vertical="center"/>
    </xf>
    <xf numFmtId="0" fontId="11" fillId="0" borderId="0" xfId="0" applyFont="1" applyFill="1" applyAlignment="1">
      <alignment vertical="center"/>
    </xf>
    <xf numFmtId="0" fontId="12" fillId="0" borderId="0" xfId="0" applyFont="1" applyFill="1" applyAlignment="1">
      <alignment vertical="center"/>
    </xf>
    <xf numFmtId="0" fontId="13" fillId="0" borderId="0" xfId="0" applyFont="1" applyFill="1" applyAlignment="1">
      <alignment vertical="center"/>
    </xf>
    <xf numFmtId="0" fontId="14" fillId="0" borderId="0" xfId="0" applyFont="1" applyFill="1" applyAlignment="1">
      <alignment vertical="center"/>
    </xf>
    <xf numFmtId="0" fontId="15" fillId="0" borderId="0" xfId="0" applyFont="1" applyFill="1" applyAlignment="1">
      <alignment vertical="center"/>
    </xf>
    <xf numFmtId="0" fontId="14" fillId="0" borderId="0" xfId="0" applyFont="1" applyFill="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alignment horizontal="center" vertical="center"/>
    </xf>
    <xf numFmtId="168" fontId="15" fillId="0" borderId="0" xfId="0" applyNumberFormat="1" applyFont="1" applyFill="1" applyBorder="1" applyAlignment="1">
      <alignment vertical="center"/>
    </xf>
    <xf numFmtId="164" fontId="15" fillId="0" borderId="0" xfId="0" applyNumberFormat="1" applyFont="1" applyFill="1" applyBorder="1" applyAlignment="1">
      <alignment vertical="center"/>
    </xf>
    <xf numFmtId="0" fontId="12" fillId="0" borderId="0" xfId="0" applyFont="1" applyFill="1" applyBorder="1" applyAlignment="1">
      <alignment vertical="center"/>
    </xf>
    <xf numFmtId="168" fontId="12" fillId="0" borderId="0" xfId="0" applyNumberFormat="1" applyFont="1" applyFill="1" applyBorder="1" applyAlignment="1">
      <alignment vertical="center"/>
    </xf>
    <xf numFmtId="164" fontId="12" fillId="0" borderId="0" xfId="0" applyNumberFormat="1" applyFont="1" applyFill="1" applyBorder="1" applyAlignment="1">
      <alignment vertical="center"/>
    </xf>
    <xf numFmtId="0" fontId="14" fillId="0" borderId="2" xfId="0" applyFont="1" applyFill="1" applyBorder="1" applyAlignment="1">
      <alignment vertical="center"/>
    </xf>
    <xf numFmtId="0" fontId="15" fillId="0" borderId="2" xfId="0" applyFont="1" applyFill="1" applyBorder="1" applyAlignment="1">
      <alignment vertical="center"/>
    </xf>
    <xf numFmtId="0" fontId="15" fillId="0" borderId="3" xfId="0" applyFont="1" applyFill="1" applyBorder="1" applyAlignment="1">
      <alignment vertical="center"/>
    </xf>
    <xf numFmtId="0" fontId="14" fillId="0" borderId="4" xfId="0" applyFont="1" applyFill="1" applyBorder="1" applyAlignment="1">
      <alignment vertical="center"/>
    </xf>
    <xf numFmtId="0" fontId="18" fillId="0" borderId="0" xfId="0" applyFont="1" applyFill="1" applyAlignment="1">
      <alignment vertical="center"/>
    </xf>
    <xf numFmtId="0" fontId="11" fillId="0" borderId="5" xfId="0" applyFont="1" applyFill="1" applyBorder="1" applyAlignment="1">
      <alignment horizontal="center" vertical="center"/>
    </xf>
    <xf numFmtId="3" fontId="12" fillId="0" borderId="0" xfId="0" applyNumberFormat="1" applyFont="1" applyFill="1" applyAlignment="1">
      <alignment vertical="center"/>
    </xf>
    <xf numFmtId="3" fontId="19" fillId="0" borderId="2" xfId="0" applyNumberFormat="1" applyFont="1" applyFill="1" applyBorder="1" applyAlignment="1">
      <alignment vertical="center"/>
    </xf>
    <xf numFmtId="0" fontId="12" fillId="0" borderId="0" xfId="0" applyFont="1" applyFill="1" applyAlignment="1">
      <alignment vertical="center" wrapText="1"/>
    </xf>
    <xf numFmtId="0" fontId="19" fillId="0" borderId="7" xfId="0" applyFont="1" applyFill="1" applyBorder="1" applyAlignment="1">
      <alignment horizontal="center" vertical="center"/>
    </xf>
    <xf numFmtId="3" fontId="12" fillId="0" borderId="7" xfId="0" applyNumberFormat="1" applyFont="1" applyFill="1" applyBorder="1" applyAlignment="1">
      <alignment vertical="center"/>
    </xf>
    <xf numFmtId="0" fontId="22" fillId="0" borderId="2" xfId="0" applyFont="1" applyFill="1" applyBorder="1" applyAlignment="1">
      <alignment horizontal="justify" vertical="center" wrapText="1"/>
    </xf>
    <xf numFmtId="49" fontId="19" fillId="0" borderId="2" xfId="0" applyNumberFormat="1" applyFont="1" applyFill="1" applyBorder="1" applyAlignment="1">
      <alignment horizontal="center" vertical="center" wrapText="1"/>
    </xf>
    <xf numFmtId="4" fontId="12" fillId="0" borderId="2" xfId="0" applyNumberFormat="1" applyFont="1" applyFill="1" applyBorder="1" applyAlignment="1">
      <alignment vertical="center"/>
    </xf>
    <xf numFmtId="164" fontId="12" fillId="0" borderId="2" xfId="0" applyNumberFormat="1" applyFont="1" applyFill="1" applyBorder="1" applyAlignment="1">
      <alignment vertical="center"/>
    </xf>
    <xf numFmtId="0" fontId="13" fillId="0" borderId="5" xfId="0" applyFont="1" applyFill="1" applyBorder="1" applyAlignment="1">
      <alignment horizontal="center" vertical="center"/>
    </xf>
    <xf numFmtId="0" fontId="23" fillId="0" borderId="8" xfId="0" applyFont="1" applyFill="1" applyBorder="1" applyAlignment="1">
      <alignment horizontal="center" vertical="center" wrapText="1"/>
    </xf>
    <xf numFmtId="0" fontId="23" fillId="0" borderId="9" xfId="0" applyFont="1" applyFill="1" applyBorder="1" applyAlignment="1">
      <alignment horizontal="center" vertical="center" wrapText="1"/>
    </xf>
    <xf numFmtId="49" fontId="15" fillId="0" borderId="2" xfId="0" applyNumberFormat="1" applyFont="1" applyFill="1" applyBorder="1" applyAlignment="1">
      <alignment horizontal="center" vertical="center" wrapText="1"/>
    </xf>
    <xf numFmtId="4" fontId="15" fillId="0" borderId="2" xfId="0" applyNumberFormat="1" applyFont="1" applyFill="1" applyBorder="1" applyAlignment="1">
      <alignment vertical="center"/>
    </xf>
    <xf numFmtId="0" fontId="12" fillId="4" borderId="0" xfId="0" applyFont="1" applyFill="1"/>
    <xf numFmtId="0" fontId="9" fillId="0" borderId="0" xfId="0" applyFont="1" applyFill="1" applyAlignment="1">
      <alignment horizontal="center" vertical="center"/>
    </xf>
    <xf numFmtId="0" fontId="12" fillId="0" borderId="0" xfId="0" applyFont="1" applyFill="1" applyAlignment="1">
      <alignment horizontal="center" vertical="center"/>
    </xf>
    <xf numFmtId="3" fontId="12" fillId="0" borderId="0" xfId="0" applyNumberFormat="1" applyFont="1" applyFill="1" applyAlignment="1">
      <alignment horizontal="center" vertical="center"/>
    </xf>
    <xf numFmtId="0" fontId="12" fillId="0" borderId="2" xfId="0" applyFont="1" applyFill="1" applyBorder="1" applyAlignment="1">
      <alignment horizontal="center" vertical="center"/>
    </xf>
    <xf numFmtId="0" fontId="19" fillId="0" borderId="2" xfId="0" applyFont="1" applyFill="1" applyBorder="1" applyAlignment="1">
      <alignment horizontal="center" vertical="center"/>
    </xf>
    <xf numFmtId="3" fontId="12" fillId="0" borderId="2" xfId="0" applyNumberFormat="1" applyFont="1" applyFill="1" applyBorder="1" applyAlignment="1">
      <alignment vertical="center"/>
    </xf>
    <xf numFmtId="0" fontId="24" fillId="0" borderId="2" xfId="0" applyFont="1" applyFill="1" applyBorder="1" applyAlignment="1">
      <alignment horizontal="center" vertical="center"/>
    </xf>
    <xf numFmtId="0" fontId="12" fillId="0" borderId="10" xfId="0" applyFont="1" applyFill="1" applyBorder="1" applyAlignment="1">
      <alignment horizontal="center" vertical="center"/>
    </xf>
    <xf numFmtId="0" fontId="12" fillId="0" borderId="10" xfId="0" applyFont="1" applyFill="1" applyBorder="1" applyAlignment="1">
      <alignment vertical="center" wrapText="1"/>
    </xf>
    <xf numFmtId="3" fontId="12" fillId="0" borderId="10" xfId="0" applyNumberFormat="1" applyFont="1" applyFill="1" applyBorder="1" applyAlignment="1">
      <alignment vertical="center"/>
    </xf>
    <xf numFmtId="0" fontId="15" fillId="0" borderId="2" xfId="0" applyFont="1" applyFill="1" applyBorder="1" applyAlignment="1">
      <alignment horizontal="center" vertical="center"/>
    </xf>
    <xf numFmtId="0" fontId="15" fillId="0" borderId="2" xfId="0" applyFont="1" applyFill="1" applyBorder="1" applyAlignment="1">
      <alignment horizontal="justify" vertical="center" wrapText="1"/>
    </xf>
    <xf numFmtId="0" fontId="15" fillId="0" borderId="3" xfId="0" applyFont="1" applyFill="1" applyBorder="1" applyAlignment="1">
      <alignment horizontal="center" vertical="center"/>
    </xf>
    <xf numFmtId="4" fontId="15" fillId="0" borderId="3" xfId="0" applyNumberFormat="1" applyFont="1" applyFill="1" applyBorder="1" applyAlignment="1">
      <alignment horizontal="center" vertical="center"/>
    </xf>
    <xf numFmtId="3" fontId="19" fillId="5" borderId="5" xfId="0" applyNumberFormat="1" applyFont="1" applyFill="1" applyBorder="1" applyAlignment="1">
      <alignment horizontal="center" vertical="center"/>
    </xf>
    <xf numFmtId="0" fontId="21" fillId="0" borderId="7" xfId="0" applyFont="1" applyFill="1" applyBorder="1" applyAlignment="1">
      <alignment horizontal="left" vertical="center" wrapText="1"/>
    </xf>
    <xf numFmtId="0" fontId="12" fillId="4" borderId="0" xfId="0" applyFont="1" applyFill="1" applyAlignment="1">
      <alignment vertical="center"/>
    </xf>
    <xf numFmtId="3" fontId="12" fillId="4" borderId="0" xfId="0" applyNumberFormat="1" applyFont="1" applyFill="1" applyBorder="1" applyAlignment="1">
      <alignment horizontal="center" vertical="center"/>
    </xf>
    <xf numFmtId="0" fontId="12" fillId="4" borderId="0" xfId="0" applyFont="1" applyFill="1" applyBorder="1" applyAlignment="1">
      <alignment vertical="center"/>
    </xf>
    <xf numFmtId="174" fontId="19" fillId="4" borderId="0" xfId="0" applyNumberFormat="1" applyFont="1" applyFill="1" applyBorder="1" applyAlignment="1">
      <alignment horizontal="center" vertical="center"/>
    </xf>
    <xf numFmtId="3" fontId="19" fillId="4" borderId="0" xfId="0" applyNumberFormat="1" applyFont="1" applyFill="1" applyBorder="1" applyAlignment="1">
      <alignment horizontal="center" vertical="center"/>
    </xf>
    <xf numFmtId="0" fontId="19" fillId="4" borderId="0" xfId="0" applyFont="1" applyFill="1" applyAlignment="1">
      <alignment vertical="center"/>
    </xf>
    <xf numFmtId="3" fontId="19" fillId="4" borderId="0" xfId="0" applyNumberFormat="1" applyFont="1" applyFill="1" applyBorder="1" applyAlignment="1">
      <alignment vertical="center"/>
    </xf>
    <xf numFmtId="0" fontId="19" fillId="4" borderId="0" xfId="0" applyFont="1" applyFill="1" applyBorder="1" applyAlignment="1">
      <alignment vertical="center"/>
    </xf>
    <xf numFmtId="0" fontId="19" fillId="4" borderId="0" xfId="0" applyFont="1" applyFill="1" applyAlignment="1">
      <alignment horizontal="center" vertical="center"/>
    </xf>
    <xf numFmtId="0" fontId="19" fillId="4" borderId="0" xfId="0" applyFont="1" applyFill="1" applyBorder="1" applyAlignment="1">
      <alignment horizontal="center" vertical="center"/>
    </xf>
    <xf numFmtId="3" fontId="12" fillId="4" borderId="0" xfId="0" applyNumberFormat="1" applyFont="1" applyFill="1" applyBorder="1" applyAlignment="1">
      <alignment vertical="center"/>
    </xf>
    <xf numFmtId="4" fontId="12" fillId="4" borderId="0" xfId="0" applyNumberFormat="1" applyFont="1" applyFill="1" applyBorder="1" applyAlignment="1">
      <alignment vertical="center"/>
    </xf>
    <xf numFmtId="164" fontId="12" fillId="4" borderId="0" xfId="0" applyNumberFormat="1" applyFont="1" applyFill="1" applyBorder="1" applyAlignment="1">
      <alignment vertical="center"/>
    </xf>
    <xf numFmtId="3" fontId="19" fillId="4" borderId="5" xfId="0" applyNumberFormat="1" applyFont="1" applyFill="1" applyBorder="1" applyAlignment="1">
      <alignment horizontal="center" vertical="center"/>
    </xf>
    <xf numFmtId="3" fontId="12" fillId="4" borderId="5" xfId="0" applyNumberFormat="1" applyFont="1" applyFill="1" applyBorder="1" applyAlignment="1">
      <alignment vertical="center"/>
    </xf>
    <xf numFmtId="0" fontId="19" fillId="5" borderId="5" xfId="0" applyFont="1" applyFill="1" applyBorder="1" applyAlignment="1">
      <alignment horizontal="center" vertical="center"/>
    </xf>
    <xf numFmtId="0" fontId="0" fillId="4" borderId="0" xfId="0" applyFill="1"/>
    <xf numFmtId="0" fontId="24" fillId="4" borderId="0" xfId="0" applyFont="1" applyFill="1"/>
    <xf numFmtId="3" fontId="12" fillId="4" borderId="0" xfId="0" applyNumberFormat="1" applyFont="1" applyFill="1"/>
    <xf numFmtId="0" fontId="15" fillId="0" borderId="3" xfId="0" applyFont="1" applyFill="1" applyBorder="1" applyAlignment="1">
      <alignment horizontal="justify" vertical="center" wrapText="1"/>
    </xf>
    <xf numFmtId="4" fontId="15" fillId="0" borderId="3" xfId="0" applyNumberFormat="1" applyFont="1" applyFill="1" applyBorder="1" applyAlignment="1">
      <alignment vertical="center"/>
    </xf>
    <xf numFmtId="0" fontId="15" fillId="0" borderId="16" xfId="0" applyFont="1" applyFill="1" applyBorder="1" applyAlignment="1">
      <alignment horizontal="center" vertical="center"/>
    </xf>
    <xf numFmtId="0" fontId="15" fillId="0" borderId="16" xfId="0" applyFont="1" applyFill="1" applyBorder="1" applyAlignment="1">
      <alignment horizontal="justify" vertical="center" wrapText="1"/>
    </xf>
    <xf numFmtId="4" fontId="15" fillId="0" borderId="16" xfId="0" applyNumberFormat="1" applyFont="1" applyFill="1" applyBorder="1" applyAlignment="1">
      <alignment vertical="center"/>
    </xf>
    <xf numFmtId="4" fontId="15" fillId="0" borderId="7" xfId="0" applyNumberFormat="1" applyFont="1" applyFill="1" applyBorder="1" applyAlignment="1">
      <alignment vertical="center"/>
    </xf>
    <xf numFmtId="0" fontId="12" fillId="0" borderId="16" xfId="0" applyFont="1" applyFill="1" applyBorder="1" applyAlignment="1">
      <alignment horizontal="center" vertical="center"/>
    </xf>
    <xf numFmtId="0" fontId="22" fillId="0" borderId="16" xfId="0" applyFont="1" applyFill="1" applyBorder="1" applyAlignment="1">
      <alignment horizontal="justify" vertical="center" wrapText="1"/>
    </xf>
    <xf numFmtId="49" fontId="19" fillId="0" borderId="16" xfId="0" applyNumberFormat="1" applyFont="1" applyFill="1" applyBorder="1" applyAlignment="1">
      <alignment horizontal="center" vertical="center" wrapText="1"/>
    </xf>
    <xf numFmtId="4" fontId="12" fillId="0" borderId="16" xfId="0" applyNumberFormat="1" applyFont="1" applyFill="1" applyBorder="1" applyAlignment="1">
      <alignment vertical="center"/>
    </xf>
    <xf numFmtId="0" fontId="12" fillId="0" borderId="3" xfId="0" applyFont="1" applyFill="1" applyBorder="1" applyAlignment="1">
      <alignment horizontal="center" vertical="center"/>
    </xf>
    <xf numFmtId="0" fontId="22" fillId="0" borderId="3" xfId="0" applyFont="1" applyFill="1" applyBorder="1" applyAlignment="1">
      <alignment horizontal="justify" vertical="center" wrapText="1"/>
    </xf>
    <xf numFmtId="49" fontId="19" fillId="0" borderId="3" xfId="0" applyNumberFormat="1" applyFont="1" applyFill="1" applyBorder="1" applyAlignment="1">
      <alignment horizontal="center" vertical="center" wrapText="1"/>
    </xf>
    <xf numFmtId="164" fontId="12" fillId="0" borderId="3" xfId="0" applyNumberFormat="1" applyFont="1" applyFill="1" applyBorder="1" applyAlignment="1">
      <alignment vertical="center"/>
    </xf>
    <xf numFmtId="4" fontId="12" fillId="2" borderId="3" xfId="0" applyNumberFormat="1" applyFont="1" applyFill="1" applyBorder="1" applyAlignment="1">
      <alignment vertical="center"/>
    </xf>
    <xf numFmtId="0" fontId="12" fillId="0" borderId="17"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12" fillId="0" borderId="17" xfId="0" quotePrefix="1" applyFont="1" applyFill="1" applyBorder="1" applyAlignment="1">
      <alignment horizontal="center" vertical="center"/>
    </xf>
    <xf numFmtId="0" fontId="12" fillId="0" borderId="17" xfId="0" applyFont="1" applyFill="1" applyBorder="1" applyAlignment="1">
      <alignment horizontal="center" vertical="center"/>
    </xf>
    <xf numFmtId="0" fontId="12" fillId="0" borderId="19" xfId="0" applyFont="1" applyFill="1" applyBorder="1" applyAlignment="1">
      <alignment vertical="center" wrapText="1"/>
    </xf>
    <xf numFmtId="0" fontId="12" fillId="0" borderId="19" xfId="0" applyFont="1" applyFill="1" applyBorder="1" applyAlignment="1">
      <alignment horizontal="center" vertical="center"/>
    </xf>
    <xf numFmtId="3" fontId="12" fillId="0" borderId="2" xfId="0" applyNumberFormat="1" applyFont="1" applyFill="1" applyBorder="1" applyAlignment="1">
      <alignment horizontal="right" vertical="center"/>
    </xf>
    <xf numFmtId="3" fontId="12" fillId="0" borderId="19" xfId="0" applyNumberFormat="1" applyFont="1" applyFill="1" applyBorder="1" applyAlignment="1">
      <alignment vertical="center"/>
    </xf>
    <xf numFmtId="0" fontId="22" fillId="0" borderId="17" xfId="0" applyFont="1" applyFill="1" applyBorder="1" applyAlignment="1">
      <alignment horizontal="justify" vertical="center" wrapText="1"/>
    </xf>
    <xf numFmtId="49" fontId="19" fillId="0" borderId="17" xfId="0" applyNumberFormat="1" applyFont="1" applyFill="1" applyBorder="1" applyAlignment="1">
      <alignment horizontal="center" vertical="center" wrapText="1"/>
    </xf>
    <xf numFmtId="4" fontId="12" fillId="0" borderId="17" xfId="0" applyNumberFormat="1" applyFont="1" applyFill="1" applyBorder="1" applyAlignment="1">
      <alignment vertical="center"/>
    </xf>
    <xf numFmtId="0" fontId="15" fillId="0" borderId="17" xfId="0" applyFont="1" applyFill="1" applyBorder="1" applyAlignment="1">
      <alignment horizontal="center" vertical="center"/>
    </xf>
    <xf numFmtId="0" fontId="15" fillId="0" borderId="17" xfId="0" applyFont="1" applyFill="1" applyBorder="1" applyAlignment="1">
      <alignment horizontal="justify" vertical="center" wrapText="1"/>
    </xf>
    <xf numFmtId="4" fontId="15" fillId="0" borderId="17" xfId="0" applyNumberFormat="1" applyFont="1" applyFill="1" applyBorder="1" applyAlignment="1">
      <alignment vertical="center"/>
    </xf>
    <xf numFmtId="49" fontId="28" fillId="0" borderId="2" xfId="0" applyNumberFormat="1" applyFont="1" applyFill="1" applyBorder="1" applyAlignment="1">
      <alignment horizontal="center" vertical="center" wrapText="1"/>
    </xf>
    <xf numFmtId="0" fontId="29" fillId="0" borderId="8" xfId="0" applyFont="1" applyFill="1" applyBorder="1" applyAlignment="1">
      <alignment horizontal="center" vertical="center" wrapText="1"/>
    </xf>
    <xf numFmtId="49" fontId="28" fillId="0" borderId="16" xfId="0" applyNumberFormat="1" applyFont="1" applyFill="1" applyBorder="1" applyAlignment="1">
      <alignment horizontal="center" vertical="center" wrapText="1"/>
    </xf>
    <xf numFmtId="49" fontId="28" fillId="0" borderId="0" xfId="0" applyNumberFormat="1" applyFont="1" applyFill="1" applyBorder="1" applyAlignment="1">
      <alignment horizontal="center" vertical="center" wrapText="1"/>
    </xf>
    <xf numFmtId="0" fontId="15" fillId="0" borderId="16" xfId="0" applyFont="1" applyFill="1" applyBorder="1" applyAlignment="1">
      <alignment vertical="center"/>
    </xf>
    <xf numFmtId="49" fontId="28" fillId="0" borderId="21" xfId="0" applyNumberFormat="1" applyFont="1" applyFill="1" applyBorder="1" applyAlignment="1">
      <alignment horizontal="center" vertical="center" wrapText="1"/>
    </xf>
    <xf numFmtId="3" fontId="12" fillId="0" borderId="18" xfId="0" applyNumberFormat="1" applyFont="1" applyFill="1" applyBorder="1" applyAlignment="1">
      <alignment vertical="center"/>
    </xf>
    <xf numFmtId="10" fontId="12" fillId="0" borderId="18" xfId="0" applyNumberFormat="1" applyFont="1" applyFill="1" applyBorder="1" applyAlignment="1">
      <alignment vertical="center"/>
    </xf>
    <xf numFmtId="0" fontId="31" fillId="6" borderId="22" xfId="20" applyFont="1" applyFill="1" applyBorder="1" applyAlignment="1">
      <alignment vertical="center" wrapText="1"/>
    </xf>
    <xf numFmtId="0" fontId="30" fillId="0" borderId="0" xfId="20" applyAlignment="1">
      <alignment wrapText="1"/>
    </xf>
    <xf numFmtId="0" fontId="31" fillId="0" borderId="22" xfId="20" applyFont="1" applyBorder="1"/>
    <xf numFmtId="0" fontId="32" fillId="0" borderId="22" xfId="20" applyFont="1" applyBorder="1"/>
    <xf numFmtId="167" fontId="30" fillId="6" borderId="25" xfId="20" applyNumberFormat="1" applyFont="1" applyFill="1" applyBorder="1"/>
    <xf numFmtId="0" fontId="32" fillId="6" borderId="22" xfId="20" applyFont="1" applyFill="1" applyBorder="1" applyAlignment="1">
      <alignment horizontal="center" vertical="center" wrapText="1"/>
    </xf>
    <xf numFmtId="167" fontId="30" fillId="6" borderId="0" xfId="20" applyNumberFormat="1" applyFont="1" applyFill="1"/>
    <xf numFmtId="0" fontId="30" fillId="0" borderId="23" xfId="20" applyBorder="1" applyAlignment="1">
      <alignment wrapText="1"/>
    </xf>
    <xf numFmtId="0" fontId="32" fillId="6" borderId="22" xfId="20" applyFont="1" applyFill="1" applyBorder="1" applyAlignment="1">
      <alignment horizontal="center" vertical="center"/>
    </xf>
    <xf numFmtId="0" fontId="32" fillId="6" borderId="22" xfId="20" applyFont="1" applyFill="1" applyBorder="1" applyAlignment="1">
      <alignment horizontal="center"/>
    </xf>
    <xf numFmtId="0" fontId="31" fillId="6" borderId="22" xfId="20" applyFont="1" applyFill="1" applyBorder="1" applyAlignment="1">
      <alignment wrapText="1"/>
    </xf>
    <xf numFmtId="166" fontId="34" fillId="6" borderId="22" xfId="20" applyNumberFormat="1" applyFont="1" applyFill="1" applyBorder="1"/>
    <xf numFmtId="0" fontId="32" fillId="6" borderId="26" xfId="20" applyFont="1" applyFill="1" applyBorder="1"/>
    <xf numFmtId="166" fontId="31" fillId="6" borderId="25" xfId="20" applyNumberFormat="1" applyFont="1" applyFill="1" applyBorder="1"/>
    <xf numFmtId="0" fontId="35" fillId="6" borderId="22" xfId="20" applyFont="1" applyFill="1" applyBorder="1" applyAlignment="1">
      <alignment horizontal="left" wrapText="1"/>
    </xf>
    <xf numFmtId="0" fontId="32" fillId="6" borderId="22" xfId="20" applyFont="1" applyFill="1" applyBorder="1" applyAlignment="1">
      <alignment horizontal="center" wrapText="1"/>
    </xf>
    <xf numFmtId="0" fontId="32" fillId="6" borderId="24" xfId="20" applyFont="1" applyFill="1" applyBorder="1"/>
    <xf numFmtId="0" fontId="31" fillId="6" borderId="22" xfId="20" applyFont="1" applyFill="1" applyBorder="1"/>
    <xf numFmtId="1" fontId="31" fillId="6" borderId="22" xfId="20" applyNumberFormat="1" applyFont="1" applyFill="1" applyBorder="1" applyAlignment="1">
      <alignment wrapText="1"/>
    </xf>
    <xf numFmtId="166" fontId="33" fillId="6" borderId="22" xfId="20" applyNumberFormat="1" applyFont="1" applyFill="1" applyBorder="1"/>
    <xf numFmtId="166" fontId="32" fillId="6" borderId="22" xfId="20" applyNumberFormat="1" applyFont="1" applyFill="1" applyBorder="1"/>
    <xf numFmtId="166" fontId="32" fillId="6" borderId="25" xfId="20" applyNumberFormat="1" applyFont="1" applyFill="1" applyBorder="1"/>
    <xf numFmtId="166" fontId="32" fillId="0" borderId="22" xfId="20" applyNumberFormat="1" applyFont="1" applyBorder="1"/>
    <xf numFmtId="0" fontId="31" fillId="6" borderId="23" xfId="20" applyFont="1" applyFill="1" applyBorder="1"/>
    <xf numFmtId="166" fontId="33" fillId="6" borderId="0" xfId="20" applyNumberFormat="1" applyFont="1" applyFill="1"/>
    <xf numFmtId="9" fontId="30" fillId="6" borderId="22" xfId="20" applyNumberFormat="1" applyFont="1" applyFill="1" applyBorder="1" applyAlignment="1">
      <alignment horizontal="right"/>
    </xf>
    <xf numFmtId="166" fontId="32" fillId="6" borderId="25" xfId="20" applyNumberFormat="1" applyFont="1" applyFill="1" applyBorder="1" applyAlignment="1">
      <alignment horizontal="center" vertical="center" wrapText="1"/>
    </xf>
    <xf numFmtId="0" fontId="37" fillId="6" borderId="22" xfId="20" applyFont="1" applyFill="1" applyBorder="1" applyAlignment="1">
      <alignment wrapText="1"/>
    </xf>
    <xf numFmtId="0" fontId="30" fillId="0" borderId="24" xfId="20" applyBorder="1" applyAlignment="1">
      <alignment wrapText="1"/>
    </xf>
    <xf numFmtId="0" fontId="30" fillId="6" borderId="0" xfId="20" applyFont="1" applyFill="1"/>
    <xf numFmtId="0" fontId="30" fillId="6" borderId="24" xfId="20" applyFont="1" applyFill="1" applyBorder="1"/>
    <xf numFmtId="166" fontId="37" fillId="6" borderId="22" xfId="20" applyNumberFormat="1" applyFont="1" applyFill="1" applyBorder="1"/>
    <xf numFmtId="1" fontId="31" fillId="6" borderId="22" xfId="20" applyNumberFormat="1" applyFont="1" applyFill="1" applyBorder="1"/>
    <xf numFmtId="166" fontId="30" fillId="6" borderId="0" xfId="20" applyNumberFormat="1" applyFont="1" applyFill="1"/>
    <xf numFmtId="166" fontId="30" fillId="6" borderId="24" xfId="20" applyNumberFormat="1" applyFont="1" applyFill="1" applyBorder="1"/>
    <xf numFmtId="0" fontId="33" fillId="6" borderId="22" xfId="20" applyFont="1" applyFill="1" applyBorder="1" applyAlignment="1">
      <alignment horizontal="center"/>
    </xf>
    <xf numFmtId="0" fontId="30" fillId="0" borderId="25" xfId="20" applyBorder="1" applyAlignment="1">
      <alignment wrapText="1"/>
    </xf>
    <xf numFmtId="166" fontId="31" fillId="6" borderId="22" xfId="20" applyNumberFormat="1" applyFont="1" applyFill="1" applyBorder="1"/>
    <xf numFmtId="9" fontId="30" fillId="6" borderId="25" xfId="20" applyNumberFormat="1" applyFont="1" applyFill="1" applyBorder="1"/>
    <xf numFmtId="166" fontId="31" fillId="0" borderId="22" xfId="20" applyNumberFormat="1" applyFont="1" applyBorder="1" applyAlignment="1">
      <alignment horizontal="right"/>
    </xf>
    <xf numFmtId="166" fontId="30" fillId="6" borderId="25" xfId="20" applyNumberFormat="1" applyFont="1" applyFill="1" applyBorder="1"/>
    <xf numFmtId="9" fontId="31" fillId="6" borderId="22" xfId="20" applyNumberFormat="1" applyFont="1" applyFill="1" applyBorder="1" applyAlignment="1">
      <alignment wrapText="1"/>
    </xf>
    <xf numFmtId="9" fontId="31" fillId="6" borderId="22" xfId="20" applyNumberFormat="1" applyFont="1" applyFill="1" applyBorder="1"/>
    <xf numFmtId="0" fontId="30" fillId="6" borderId="22" xfId="20" applyFont="1" applyFill="1" applyBorder="1"/>
    <xf numFmtId="0" fontId="32" fillId="6" borderId="23" xfId="20" applyFont="1" applyFill="1" applyBorder="1" applyAlignment="1">
      <alignment wrapText="1"/>
    </xf>
    <xf numFmtId="3" fontId="31" fillId="6" borderId="22" xfId="20" applyNumberFormat="1" applyFont="1" applyFill="1" applyBorder="1"/>
    <xf numFmtId="0" fontId="31" fillId="6" borderId="22" xfId="20" applyFont="1" applyFill="1" applyBorder="1" applyAlignment="1">
      <alignment horizontal="right"/>
    </xf>
    <xf numFmtId="0" fontId="35" fillId="6" borderId="22" xfId="20" applyFont="1" applyFill="1" applyBorder="1" applyAlignment="1">
      <alignment wrapText="1"/>
    </xf>
    <xf numFmtId="166" fontId="31" fillId="0" borderId="22" xfId="20" applyNumberFormat="1" applyFont="1" applyBorder="1"/>
    <xf numFmtId="0" fontId="38" fillId="0" borderId="22" xfId="20" applyFont="1" applyBorder="1"/>
    <xf numFmtId="0" fontId="39" fillId="0" borderId="22" xfId="20" applyFont="1" applyBorder="1" applyAlignment="1">
      <alignment horizontal="left"/>
    </xf>
    <xf numFmtId="0" fontId="32" fillId="6" borderId="24" xfId="20" applyFont="1" applyFill="1" applyBorder="1" applyAlignment="1">
      <alignment wrapText="1"/>
    </xf>
    <xf numFmtId="166" fontId="32" fillId="0" borderId="22" xfId="20" applyNumberFormat="1" applyFont="1" applyBorder="1" applyAlignment="1">
      <alignment horizontal="right"/>
    </xf>
    <xf numFmtId="0" fontId="33" fillId="6" borderId="22" xfId="20" applyFont="1" applyFill="1" applyBorder="1"/>
    <xf numFmtId="166" fontId="36" fillId="6" borderId="22" xfId="20" applyNumberFormat="1" applyFont="1" applyFill="1" applyBorder="1" applyAlignment="1"/>
    <xf numFmtId="0" fontId="40" fillId="0" borderId="22" xfId="20" applyFont="1" applyBorder="1" applyAlignment="1">
      <alignment horizontal="left" wrapText="1"/>
    </xf>
    <xf numFmtId="166" fontId="31" fillId="6" borderId="22" xfId="20" applyNumberFormat="1" applyFont="1" applyFill="1" applyBorder="1" applyAlignment="1">
      <alignment horizontal="right"/>
    </xf>
    <xf numFmtId="167" fontId="31" fillId="6" borderId="22" xfId="20" applyNumberFormat="1" applyFont="1" applyFill="1" applyBorder="1" applyAlignment="1">
      <alignment horizontal="right" vertical="center"/>
    </xf>
    <xf numFmtId="0" fontId="31" fillId="6" borderId="22" xfId="20" applyFont="1" applyFill="1" applyBorder="1" applyAlignment="1">
      <alignment horizontal="left" wrapText="1"/>
    </xf>
    <xf numFmtId="0" fontId="35" fillId="6" borderId="22" xfId="20" applyFont="1" applyFill="1" applyBorder="1" applyAlignment="1">
      <alignment horizontal="left" vertical="top" wrapText="1"/>
    </xf>
    <xf numFmtId="165" fontId="31" fillId="6" borderId="22" xfId="20" applyNumberFormat="1" applyFont="1" applyFill="1" applyBorder="1" applyAlignment="1">
      <alignment horizontal="right"/>
    </xf>
    <xf numFmtId="166" fontId="32" fillId="6" borderId="22" xfId="20" applyNumberFormat="1" applyFont="1" applyFill="1" applyBorder="1" applyAlignment="1">
      <alignment horizontal="right"/>
    </xf>
    <xf numFmtId="0" fontId="32" fillId="6" borderId="22" xfId="20" applyFont="1" applyFill="1" applyBorder="1" applyAlignment="1">
      <alignment horizontal="left" wrapText="1"/>
    </xf>
    <xf numFmtId="175" fontId="30" fillId="6" borderId="22" xfId="20" applyNumberFormat="1" applyFont="1" applyFill="1" applyBorder="1"/>
    <xf numFmtId="165" fontId="34" fillId="6" borderId="22" xfId="20" applyNumberFormat="1" applyFont="1" applyFill="1" applyBorder="1"/>
    <xf numFmtId="166" fontId="41" fillId="0" borderId="22" xfId="20" applyNumberFormat="1" applyFont="1" applyBorder="1" applyAlignment="1">
      <alignment horizontal="right"/>
    </xf>
    <xf numFmtId="0" fontId="42" fillId="0" borderId="4" xfId="0" applyFont="1" applyBorder="1" applyAlignment="1">
      <alignment horizontal="center" vertical="center" wrapText="1"/>
    </xf>
    <xf numFmtId="0" fontId="42" fillId="0" borderId="4" xfId="0" applyFont="1" applyBorder="1" applyAlignment="1">
      <alignment vertical="center" wrapText="1"/>
    </xf>
    <xf numFmtId="0" fontId="43" fillId="0" borderId="4" xfId="0" applyFont="1" applyBorder="1" applyAlignment="1">
      <alignment vertical="center" wrapText="1"/>
    </xf>
    <xf numFmtId="0" fontId="0" fillId="0" borderId="4" xfId="0" applyBorder="1"/>
    <xf numFmtId="0" fontId="42" fillId="0" borderId="2" xfId="0" applyFont="1" applyBorder="1" applyAlignment="1">
      <alignment horizontal="center" vertical="center" wrapText="1"/>
    </xf>
    <xf numFmtId="0" fontId="42" fillId="0" borderId="2" xfId="0" applyFont="1" applyBorder="1" applyAlignment="1">
      <alignment vertical="center" wrapText="1"/>
    </xf>
    <xf numFmtId="0" fontId="0" fillId="0" borderId="2" xfId="0" applyBorder="1"/>
    <xf numFmtId="0" fontId="43" fillId="0" borderId="2" xfId="0" applyFont="1" applyBorder="1" applyAlignment="1">
      <alignment horizontal="center" vertical="center" wrapText="1"/>
    </xf>
    <xf numFmtId="0" fontId="43" fillId="0" borderId="2" xfId="0" applyFont="1" applyBorder="1" applyAlignment="1">
      <alignment vertical="center" wrapText="1"/>
    </xf>
    <xf numFmtId="0" fontId="43" fillId="0" borderId="2" xfId="0" applyFont="1" applyBorder="1" applyAlignment="1">
      <alignment horizontal="right" vertical="center" wrapText="1"/>
    </xf>
    <xf numFmtId="0" fontId="42" fillId="0" borderId="2" xfId="0" applyFont="1" applyBorder="1" applyAlignment="1">
      <alignment horizontal="justify" vertical="center" wrapText="1"/>
    </xf>
    <xf numFmtId="0" fontId="43" fillId="0" borderId="3" xfId="0" applyFont="1" applyBorder="1" applyAlignment="1">
      <alignment horizontal="center" vertical="center" wrapText="1"/>
    </xf>
    <xf numFmtId="0" fontId="43" fillId="0" borderId="3" xfId="0" applyFont="1" applyBorder="1" applyAlignment="1">
      <alignment vertical="center" wrapText="1"/>
    </xf>
    <xf numFmtId="0" fontId="0" fillId="0" borderId="3" xfId="0" applyBorder="1"/>
    <xf numFmtId="0" fontId="20" fillId="0" borderId="2" xfId="0" quotePrefix="1" applyFont="1" applyFill="1" applyBorder="1" applyAlignment="1">
      <alignment horizontal="center" vertical="center"/>
    </xf>
    <xf numFmtId="0" fontId="24" fillId="0" borderId="2" xfId="0" quotePrefix="1" applyFont="1" applyFill="1" applyBorder="1" applyAlignment="1">
      <alignment horizontal="center" vertical="center"/>
    </xf>
    <xf numFmtId="0" fontId="37" fillId="0" borderId="2" xfId="0" applyFont="1" applyFill="1" applyBorder="1" applyAlignment="1">
      <alignment horizontal="center" vertical="center" wrapText="1"/>
    </xf>
    <xf numFmtId="0" fontId="37" fillId="0" borderId="7" xfId="0" applyFont="1" applyFill="1" applyBorder="1" applyAlignment="1">
      <alignment horizontal="center" vertical="center" wrapText="1"/>
    </xf>
    <xf numFmtId="3" fontId="19" fillId="0" borderId="7" xfId="0" applyNumberFormat="1" applyFont="1" applyFill="1" applyBorder="1" applyAlignment="1">
      <alignment horizontal="center" vertical="center"/>
    </xf>
    <xf numFmtId="49" fontId="46" fillId="0" borderId="2" xfId="22" applyNumberFormat="1" applyFont="1" applyFill="1" applyBorder="1" applyAlignment="1">
      <alignment horizontal="center"/>
    </xf>
    <xf numFmtId="3" fontId="42" fillId="0" borderId="2" xfId="0" applyNumberFormat="1" applyFont="1" applyBorder="1" applyAlignment="1">
      <alignment horizontal="right" vertical="center" wrapText="1"/>
    </xf>
    <xf numFmtId="3" fontId="43" fillId="0" borderId="2" xfId="0" applyNumberFormat="1" applyFont="1" applyBorder="1" applyAlignment="1">
      <alignment horizontal="right" vertical="center" wrapText="1"/>
    </xf>
    <xf numFmtId="3" fontId="43" fillId="0" borderId="3" xfId="0" applyNumberFormat="1" applyFont="1" applyBorder="1" applyAlignment="1">
      <alignment horizontal="right" vertical="center" wrapText="1"/>
    </xf>
    <xf numFmtId="0" fontId="46" fillId="0" borderId="2" xfId="22" applyNumberFormat="1" applyFont="1" applyFill="1" applyBorder="1" applyAlignment="1">
      <alignment wrapText="1"/>
    </xf>
    <xf numFmtId="0" fontId="46" fillId="0" borderId="2" xfId="22" applyNumberFormat="1" applyFont="1" applyFill="1" applyBorder="1" applyAlignment="1">
      <alignment vertical="center" wrapText="1"/>
    </xf>
    <xf numFmtId="0" fontId="46" fillId="0" borderId="2" xfId="22" quotePrefix="1" applyNumberFormat="1" applyFont="1" applyFill="1" applyBorder="1" applyAlignment="1">
      <alignment vertical="center" wrapText="1"/>
    </xf>
    <xf numFmtId="3" fontId="48" fillId="0" borderId="2" xfId="0" applyNumberFormat="1" applyFont="1" applyFill="1" applyBorder="1" applyAlignment="1">
      <alignment vertical="center"/>
    </xf>
    <xf numFmtId="0" fontId="49" fillId="0" borderId="4" xfId="0" applyFont="1" applyFill="1" applyBorder="1" applyAlignment="1">
      <alignment horizontal="center" vertical="center"/>
    </xf>
    <xf numFmtId="0" fontId="49" fillId="0" borderId="7" xfId="0" applyFont="1" applyFill="1" applyBorder="1" applyAlignment="1">
      <alignment horizontal="center" vertical="center"/>
    </xf>
    <xf numFmtId="0" fontId="12" fillId="0" borderId="2" xfId="0" quotePrefix="1" applyFont="1" applyFill="1" applyBorder="1" applyAlignment="1">
      <alignment horizontal="center" vertical="center"/>
    </xf>
    <xf numFmtId="10" fontId="19" fillId="0" borderId="2" xfId="0" applyNumberFormat="1" applyFont="1" applyFill="1" applyBorder="1" applyAlignment="1">
      <alignment vertical="center"/>
    </xf>
    <xf numFmtId="10" fontId="12" fillId="0" borderId="2" xfId="0" applyNumberFormat="1" applyFont="1" applyFill="1" applyBorder="1" applyAlignment="1">
      <alignment vertical="center"/>
    </xf>
    <xf numFmtId="0" fontId="12" fillId="0" borderId="2" xfId="0" applyFont="1" applyFill="1" applyBorder="1" applyAlignment="1">
      <alignment vertical="center" wrapText="1"/>
    </xf>
    <xf numFmtId="0" fontId="12" fillId="0" borderId="7"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7" xfId="0" quotePrefix="1" applyFont="1" applyFill="1" applyBorder="1" applyAlignment="1">
      <alignment horizontal="center" vertical="center"/>
    </xf>
    <xf numFmtId="3" fontId="19" fillId="0" borderId="7" xfId="0" applyNumberFormat="1" applyFont="1" applyFill="1" applyBorder="1" applyAlignment="1">
      <alignment vertical="center"/>
    </xf>
    <xf numFmtId="0" fontId="12" fillId="4" borderId="2" xfId="0" applyFont="1" applyFill="1" applyBorder="1"/>
    <xf numFmtId="10" fontId="12" fillId="4" borderId="2" xfId="0" applyNumberFormat="1" applyFont="1" applyFill="1" applyBorder="1"/>
    <xf numFmtId="10" fontId="48" fillId="0" borderId="2" xfId="0" applyNumberFormat="1" applyFont="1" applyFill="1" applyBorder="1" applyAlignment="1">
      <alignment vertical="center"/>
    </xf>
    <xf numFmtId="10" fontId="12" fillId="0" borderId="2" xfId="0" applyNumberFormat="1" applyFont="1" applyFill="1" applyBorder="1" applyAlignment="1">
      <alignment horizontal="center" vertical="center"/>
    </xf>
    <xf numFmtId="0" fontId="22" fillId="0" borderId="0" xfId="0" applyFont="1" applyFill="1" applyAlignment="1">
      <alignment horizontal="center" vertical="center"/>
    </xf>
    <xf numFmtId="3" fontId="22" fillId="0" borderId="0" xfId="0" applyNumberFormat="1" applyFont="1" applyFill="1" applyAlignment="1">
      <alignment horizontal="center" vertical="center"/>
    </xf>
    <xf numFmtId="0" fontId="50" fillId="0" borderId="0" xfId="0" applyFont="1" applyFill="1" applyAlignment="1">
      <alignment vertical="center"/>
    </xf>
    <xf numFmtId="3" fontId="22" fillId="0" borderId="0" xfId="0" applyNumberFormat="1" applyFont="1" applyFill="1" applyAlignment="1">
      <alignment vertical="center"/>
    </xf>
    <xf numFmtId="0" fontId="22" fillId="0" borderId="0" xfId="0" applyFont="1" applyFill="1" applyAlignment="1">
      <alignment vertical="center"/>
    </xf>
    <xf numFmtId="0" fontId="51" fillId="0" borderId="0" xfId="0" applyFont="1" applyFill="1" applyAlignment="1">
      <alignment vertical="center"/>
    </xf>
    <xf numFmtId="0" fontId="22" fillId="0" borderId="0" xfId="0" applyFont="1" applyFill="1" applyAlignment="1">
      <alignment vertical="center" wrapText="1"/>
    </xf>
    <xf numFmtId="0" fontId="23" fillId="0" borderId="14" xfId="0" applyFont="1" applyFill="1" applyBorder="1" applyAlignment="1">
      <alignment horizontal="center" vertical="center"/>
    </xf>
    <xf numFmtId="0" fontId="17" fillId="0" borderId="0" xfId="0" applyFont="1" applyFill="1" applyAlignment="1">
      <alignment vertical="center"/>
    </xf>
    <xf numFmtId="0" fontId="17" fillId="0" borderId="5"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0" xfId="0" applyFont="1" applyFill="1" applyAlignment="1">
      <alignment vertical="center"/>
    </xf>
    <xf numFmtId="0" fontId="23" fillId="0" borderId="5" xfId="0" applyFont="1" applyFill="1" applyBorder="1" applyAlignment="1">
      <alignment horizontal="center" vertical="center"/>
    </xf>
    <xf numFmtId="0" fontId="23" fillId="0" borderId="0" xfId="0" applyFont="1" applyFill="1" applyAlignment="1">
      <alignment vertical="center"/>
    </xf>
    <xf numFmtId="0" fontId="23" fillId="0" borderId="4" xfId="0" applyFont="1" applyFill="1" applyBorder="1" applyAlignment="1">
      <alignment vertical="center"/>
    </xf>
    <xf numFmtId="0" fontId="54" fillId="0" borderId="0" xfId="0" applyFont="1" applyFill="1" applyAlignment="1">
      <alignment vertical="center"/>
    </xf>
    <xf numFmtId="0" fontId="22" fillId="0" borderId="2" xfId="0" applyFont="1" applyFill="1" applyBorder="1" applyAlignment="1">
      <alignment horizontal="center" vertical="center"/>
    </xf>
    <xf numFmtId="49" fontId="55" fillId="0" borderId="2" xfId="0" applyNumberFormat="1" applyFont="1" applyFill="1" applyBorder="1" applyAlignment="1">
      <alignment horizontal="center" vertical="center" wrapText="1"/>
    </xf>
    <xf numFmtId="4" fontId="22" fillId="0" borderId="2" xfId="0" applyNumberFormat="1" applyFont="1" applyFill="1" applyBorder="1" applyAlignment="1">
      <alignment vertical="center"/>
    </xf>
    <xf numFmtId="0" fontId="56" fillId="2" borderId="2" xfId="0" applyFont="1" applyFill="1" applyBorder="1" applyAlignment="1">
      <alignment horizontal="center" vertical="center"/>
    </xf>
    <xf numFmtId="0" fontId="22" fillId="0" borderId="2" xfId="0" applyFont="1" applyFill="1" applyBorder="1" applyAlignment="1">
      <alignment vertical="center"/>
    </xf>
    <xf numFmtId="0" fontId="56" fillId="2" borderId="16" xfId="0" applyFont="1" applyFill="1" applyBorder="1" applyAlignment="1">
      <alignment horizontal="center" vertical="center"/>
    </xf>
    <xf numFmtId="0" fontId="56" fillId="2" borderId="17" xfId="0" applyFont="1" applyFill="1" applyBorder="1" applyAlignment="1">
      <alignment horizontal="center" vertical="center"/>
    </xf>
    <xf numFmtId="0" fontId="23" fillId="0" borderId="2" xfId="0" applyFont="1" applyFill="1" applyBorder="1" applyAlignment="1">
      <alignment vertical="center"/>
    </xf>
    <xf numFmtId="0" fontId="22" fillId="0" borderId="16" xfId="0" applyFont="1" applyFill="1" applyBorder="1" applyAlignment="1">
      <alignment vertical="center"/>
    </xf>
    <xf numFmtId="0" fontId="22" fillId="0" borderId="3" xfId="0" applyFont="1" applyFill="1" applyBorder="1" applyAlignment="1">
      <alignment vertical="center"/>
    </xf>
    <xf numFmtId="0" fontId="22" fillId="0" borderId="3" xfId="0" applyFont="1" applyFill="1" applyBorder="1" applyAlignment="1">
      <alignment horizontal="center" vertical="center"/>
    </xf>
    <xf numFmtId="4" fontId="22" fillId="0" borderId="3" xfId="0" applyNumberFormat="1" applyFont="1" applyFill="1" applyBorder="1" applyAlignment="1">
      <alignment vertical="center"/>
    </xf>
    <xf numFmtId="0" fontId="56" fillId="2" borderId="3" xfId="0" applyFont="1" applyFill="1" applyBorder="1" applyAlignment="1">
      <alignment horizontal="center" vertical="center"/>
    </xf>
    <xf numFmtId="0" fontId="22" fillId="0" borderId="0" xfId="0" applyFont="1" applyFill="1" applyBorder="1" applyAlignment="1">
      <alignment vertical="center"/>
    </xf>
    <xf numFmtId="0" fontId="23" fillId="0" borderId="0" xfId="0" applyFont="1" applyFill="1" applyBorder="1" applyAlignment="1">
      <alignment vertical="center"/>
    </xf>
    <xf numFmtId="49" fontId="22" fillId="0" borderId="2" xfId="0" applyNumberFormat="1" applyFont="1" applyFill="1" applyBorder="1" applyAlignment="1">
      <alignment horizontal="center" vertical="center" wrapText="1"/>
    </xf>
    <xf numFmtId="176" fontId="22" fillId="0" borderId="2" xfId="0" applyNumberFormat="1" applyFont="1" applyFill="1" applyBorder="1" applyAlignment="1">
      <alignment vertical="center"/>
    </xf>
    <xf numFmtId="0" fontId="22" fillId="0" borderId="0" xfId="0" applyFont="1" applyFill="1" applyBorder="1" applyAlignment="1">
      <alignment horizontal="center" vertical="center"/>
    </xf>
    <xf numFmtId="168" fontId="22" fillId="0" borderId="0" xfId="0" applyNumberFormat="1" applyFont="1" applyFill="1" applyBorder="1" applyAlignment="1">
      <alignment vertical="center"/>
    </xf>
    <xf numFmtId="164" fontId="22" fillId="0" borderId="0" xfId="0" applyNumberFormat="1" applyFont="1" applyFill="1" applyBorder="1" applyAlignment="1">
      <alignment vertical="center"/>
    </xf>
    <xf numFmtId="4" fontId="22" fillId="0" borderId="3" xfId="0" applyNumberFormat="1" applyFont="1" applyFill="1" applyBorder="1" applyAlignment="1">
      <alignment horizontal="center" vertical="center"/>
    </xf>
    <xf numFmtId="0" fontId="51" fillId="0" borderId="0" xfId="0" applyFont="1" applyFill="1" applyAlignment="1">
      <alignment horizontal="center" vertical="center"/>
    </xf>
    <xf numFmtId="0" fontId="51" fillId="0" borderId="0" xfId="0" applyFont="1" applyFill="1" applyAlignment="1">
      <alignment vertical="center" wrapText="1"/>
    </xf>
    <xf numFmtId="3" fontId="51" fillId="0" borderId="0" xfId="0" applyNumberFormat="1" applyFont="1" applyFill="1" applyAlignment="1">
      <alignment vertical="center"/>
    </xf>
    <xf numFmtId="3" fontId="51" fillId="0" borderId="0" xfId="0" applyNumberFormat="1" applyFont="1" applyFill="1" applyBorder="1" applyAlignment="1">
      <alignment vertical="center"/>
    </xf>
    <xf numFmtId="0" fontId="51" fillId="0" borderId="0" xfId="0" applyFont="1" applyFill="1" applyBorder="1" applyAlignment="1">
      <alignment vertical="center"/>
    </xf>
    <xf numFmtId="0" fontId="47" fillId="7" borderId="2" xfId="0" applyFont="1" applyFill="1" applyBorder="1" applyAlignment="1">
      <alignment horizontal="center" vertical="center"/>
    </xf>
    <xf numFmtId="0" fontId="47" fillId="7" borderId="2" xfId="0" applyFont="1" applyFill="1" applyBorder="1" applyAlignment="1">
      <alignment vertical="center" wrapText="1"/>
    </xf>
    <xf numFmtId="0" fontId="48" fillId="7" borderId="2" xfId="0" applyFont="1" applyFill="1" applyBorder="1" applyAlignment="1">
      <alignment horizontal="center" vertical="center"/>
    </xf>
    <xf numFmtId="3" fontId="48" fillId="7" borderId="2" xfId="0" applyNumberFormat="1" applyFont="1" applyFill="1" applyBorder="1" applyAlignment="1">
      <alignment vertical="center"/>
    </xf>
    <xf numFmtId="0" fontId="19" fillId="7" borderId="2" xfId="0" applyFont="1" applyFill="1" applyBorder="1" applyAlignment="1">
      <alignment horizontal="center" vertical="center"/>
    </xf>
    <xf numFmtId="0" fontId="19" fillId="7" borderId="2" xfId="0" applyFont="1" applyFill="1" applyBorder="1" applyAlignment="1">
      <alignment vertical="center" wrapText="1"/>
    </xf>
    <xf numFmtId="3" fontId="19" fillId="7" borderId="2" xfId="0" applyNumberFormat="1" applyFont="1" applyFill="1" applyBorder="1" applyAlignment="1">
      <alignment vertical="center"/>
    </xf>
    <xf numFmtId="0" fontId="20" fillId="7" borderId="2" xfId="0" applyFont="1" applyFill="1" applyBorder="1" applyAlignment="1">
      <alignment horizontal="center" vertical="center"/>
    </xf>
    <xf numFmtId="0" fontId="20" fillId="7" borderId="2" xfId="0" applyFont="1" applyFill="1" applyBorder="1" applyAlignment="1">
      <alignment vertical="center" wrapText="1"/>
    </xf>
    <xf numFmtId="0" fontId="45" fillId="7" borderId="2" xfId="22" applyNumberFormat="1" applyFont="1" applyFill="1" applyBorder="1" applyAlignment="1">
      <alignment wrapText="1"/>
    </xf>
    <xf numFmtId="49" fontId="46" fillId="7" borderId="2" xfId="22" applyNumberFormat="1" applyFont="1" applyFill="1" applyBorder="1" applyAlignment="1">
      <alignment horizontal="center"/>
    </xf>
    <xf numFmtId="0" fontId="20" fillId="7" borderId="2" xfId="0" quotePrefix="1" applyFont="1" applyFill="1" applyBorder="1" applyAlignment="1">
      <alignment horizontal="center" vertical="center"/>
    </xf>
    <xf numFmtId="49" fontId="45" fillId="7" borderId="2" xfId="22" applyNumberFormat="1" applyFont="1" applyFill="1" applyBorder="1" applyAlignment="1">
      <alignment horizontal="center"/>
    </xf>
    <xf numFmtId="0" fontId="48" fillId="7" borderId="2" xfId="0" applyFont="1" applyFill="1" applyBorder="1" applyAlignment="1">
      <alignment vertical="center" wrapText="1"/>
    </xf>
    <xf numFmtId="0" fontId="24" fillId="8" borderId="2" xfId="0" applyFont="1" applyFill="1" applyBorder="1" applyAlignment="1">
      <alignment horizontal="center" vertical="center"/>
    </xf>
    <xf numFmtId="0" fontId="46" fillId="8" borderId="2" xfId="22" applyNumberFormat="1" applyFont="1" applyFill="1" applyBorder="1" applyAlignment="1">
      <alignment vertical="center" wrapText="1"/>
    </xf>
    <xf numFmtId="49" fontId="46" fillId="8" borderId="2" xfId="22" applyNumberFormat="1" applyFont="1" applyFill="1" applyBorder="1" applyAlignment="1">
      <alignment horizontal="center"/>
    </xf>
    <xf numFmtId="3" fontId="12" fillId="8" borderId="2" xfId="0" applyNumberFormat="1" applyFont="1" applyFill="1" applyBorder="1" applyAlignment="1">
      <alignment vertical="center"/>
    </xf>
    <xf numFmtId="0" fontId="48" fillId="7" borderId="3" xfId="0" applyFont="1" applyFill="1" applyBorder="1" applyAlignment="1">
      <alignment horizontal="center" vertical="center"/>
    </xf>
    <xf numFmtId="0" fontId="48" fillId="7" borderId="3" xfId="0" applyFont="1" applyFill="1" applyBorder="1" applyAlignment="1">
      <alignment vertical="center" wrapText="1"/>
    </xf>
    <xf numFmtId="3" fontId="48" fillId="7" borderId="3" xfId="0" applyNumberFormat="1" applyFont="1" applyFill="1" applyBorder="1" applyAlignment="1">
      <alignment vertical="center"/>
    </xf>
    <xf numFmtId="0" fontId="12" fillId="7" borderId="0" xfId="0" applyFont="1" applyFill="1"/>
    <xf numFmtId="10" fontId="48" fillId="7" borderId="2" xfId="0" applyNumberFormat="1" applyFont="1" applyFill="1" applyBorder="1" applyAlignment="1">
      <alignment vertical="center"/>
    </xf>
    <xf numFmtId="10" fontId="19" fillId="7" borderId="2" xfId="0" applyNumberFormat="1" applyFont="1" applyFill="1" applyBorder="1" applyAlignment="1">
      <alignment vertical="center"/>
    </xf>
    <xf numFmtId="10" fontId="19" fillId="7" borderId="2" xfId="0" applyNumberFormat="1" applyFont="1" applyFill="1" applyBorder="1"/>
    <xf numFmtId="3" fontId="12" fillId="7" borderId="2" xfId="0" applyNumberFormat="1" applyFont="1" applyFill="1" applyBorder="1" applyAlignment="1">
      <alignment vertical="center"/>
    </xf>
    <xf numFmtId="10" fontId="12" fillId="7" borderId="2" xfId="0" applyNumberFormat="1" applyFont="1" applyFill="1" applyBorder="1"/>
    <xf numFmtId="10" fontId="12" fillId="7" borderId="2" xfId="0" applyNumberFormat="1" applyFont="1" applyFill="1" applyBorder="1" applyAlignment="1">
      <alignment horizontal="center" vertical="center"/>
    </xf>
    <xf numFmtId="10" fontId="19" fillId="7" borderId="2" xfId="0" applyNumberFormat="1" applyFont="1" applyFill="1" applyBorder="1" applyAlignment="1">
      <alignment horizontal="center" vertical="center"/>
    </xf>
    <xf numFmtId="10" fontId="48" fillId="7" borderId="3" xfId="0" applyNumberFormat="1" applyFont="1" applyFill="1" applyBorder="1" applyAlignment="1">
      <alignment vertical="center"/>
    </xf>
    <xf numFmtId="10" fontId="12" fillId="0" borderId="7" xfId="0" applyNumberFormat="1" applyFont="1" applyFill="1" applyBorder="1" applyAlignment="1">
      <alignment vertical="center"/>
    </xf>
    <xf numFmtId="0" fontId="19" fillId="7" borderId="17" xfId="0" applyFont="1" applyFill="1" applyBorder="1" applyAlignment="1">
      <alignment horizontal="center" vertical="center"/>
    </xf>
    <xf numFmtId="0" fontId="19" fillId="7" borderId="18" xfId="0" applyFont="1" applyFill="1" applyBorder="1" applyAlignment="1">
      <alignment vertical="center" wrapText="1"/>
    </xf>
    <xf numFmtId="0" fontId="19" fillId="7" borderId="18" xfId="0" applyFont="1" applyFill="1" applyBorder="1" applyAlignment="1">
      <alignment horizontal="center" vertical="center"/>
    </xf>
    <xf numFmtId="3" fontId="19" fillId="7" borderId="18" xfId="0" applyNumberFormat="1" applyFont="1" applyFill="1" applyBorder="1" applyAlignment="1">
      <alignment vertical="center"/>
    </xf>
    <xf numFmtId="10" fontId="19" fillId="7" borderId="18" xfId="0" applyNumberFormat="1" applyFont="1" applyFill="1" applyBorder="1" applyAlignment="1">
      <alignment vertical="center"/>
    </xf>
    <xf numFmtId="0" fontId="19" fillId="7" borderId="10" xfId="0" applyFont="1" applyFill="1" applyBorder="1" applyAlignment="1">
      <alignment vertical="center" wrapText="1"/>
    </xf>
    <xf numFmtId="0" fontId="19" fillId="7" borderId="10" xfId="0" applyFont="1" applyFill="1" applyBorder="1" applyAlignment="1">
      <alignment horizontal="center" vertical="center"/>
    </xf>
    <xf numFmtId="3" fontId="19" fillId="7" borderId="10" xfId="0" applyNumberFormat="1" applyFont="1" applyFill="1" applyBorder="1" applyAlignment="1">
      <alignment vertical="center"/>
    </xf>
    <xf numFmtId="0" fontId="19" fillId="7" borderId="12" xfId="0" applyFont="1" applyFill="1" applyBorder="1" applyAlignment="1">
      <alignment horizontal="center" vertical="center"/>
    </xf>
    <xf numFmtId="0" fontId="19" fillId="7" borderId="6" xfId="0" applyFont="1" applyFill="1" applyBorder="1" applyAlignment="1">
      <alignment vertical="center" wrapText="1"/>
    </xf>
    <xf numFmtId="0" fontId="19" fillId="7" borderId="6" xfId="0" applyFont="1" applyFill="1" applyBorder="1" applyAlignment="1">
      <alignment horizontal="center" vertical="center"/>
    </xf>
    <xf numFmtId="3" fontId="19" fillId="7" borderId="6" xfId="0" applyNumberFormat="1" applyFont="1" applyFill="1" applyBorder="1" applyAlignment="1">
      <alignment vertical="center"/>
    </xf>
    <xf numFmtId="10" fontId="19" fillId="7" borderId="6" xfId="0" applyNumberFormat="1" applyFont="1" applyFill="1" applyBorder="1" applyAlignment="1">
      <alignment vertical="center"/>
    </xf>
    <xf numFmtId="0" fontId="19" fillId="7" borderId="3" xfId="0" applyFont="1" applyFill="1" applyBorder="1" applyAlignment="1">
      <alignment horizontal="center" vertical="center"/>
    </xf>
    <xf numFmtId="0" fontId="19" fillId="7" borderId="3" xfId="0" applyFont="1" applyFill="1" applyBorder="1" applyAlignment="1">
      <alignment vertical="center" wrapText="1"/>
    </xf>
    <xf numFmtId="3" fontId="19" fillId="7" borderId="3" xfId="0" applyNumberFormat="1" applyFont="1" applyFill="1" applyBorder="1" applyAlignment="1">
      <alignment vertical="center"/>
    </xf>
    <xf numFmtId="10" fontId="19" fillId="7" borderId="3" xfId="0" applyNumberFormat="1" applyFont="1" applyFill="1" applyBorder="1" applyAlignment="1">
      <alignment vertical="center"/>
    </xf>
    <xf numFmtId="0" fontId="21" fillId="0" borderId="8" xfId="0" applyFont="1" applyFill="1" applyBorder="1" applyAlignment="1">
      <alignment vertical="center" wrapText="1"/>
    </xf>
    <xf numFmtId="0" fontId="21" fillId="0" borderId="9" xfId="0" applyFont="1" applyFill="1" applyBorder="1" applyAlignment="1">
      <alignment vertical="center" wrapText="1"/>
    </xf>
    <xf numFmtId="0" fontId="56" fillId="2" borderId="32" xfId="0" applyFont="1" applyFill="1" applyBorder="1" applyAlignment="1">
      <alignment horizontal="center" vertical="center"/>
    </xf>
    <xf numFmtId="0" fontId="56" fillId="2" borderId="33" xfId="0" applyFont="1" applyFill="1" applyBorder="1" applyAlignment="1">
      <alignment horizontal="center" vertical="center"/>
    </xf>
    <xf numFmtId="0" fontId="56" fillId="2" borderId="34" xfId="0" applyFont="1" applyFill="1" applyBorder="1" applyAlignment="1">
      <alignment horizontal="center" vertical="center"/>
    </xf>
    <xf numFmtId="0" fontId="56" fillId="2" borderId="35" xfId="0" applyFont="1" applyFill="1" applyBorder="1" applyAlignment="1">
      <alignment horizontal="center" vertical="center"/>
    </xf>
    <xf numFmtId="3" fontId="19" fillId="9" borderId="5" xfId="0" applyNumberFormat="1" applyFont="1" applyFill="1" applyBorder="1" applyAlignment="1">
      <alignment horizontal="center" vertical="center"/>
    </xf>
    <xf numFmtId="3" fontId="19" fillId="9" borderId="5" xfId="0" quotePrefix="1" applyNumberFormat="1" applyFont="1" applyFill="1" applyBorder="1" applyAlignment="1">
      <alignment horizontal="center" vertical="center"/>
    </xf>
    <xf numFmtId="3" fontId="19" fillId="9" borderId="16" xfId="0" quotePrefix="1" applyNumberFormat="1" applyFont="1" applyFill="1" applyBorder="1" applyAlignment="1">
      <alignment horizontal="center" vertical="center"/>
    </xf>
    <xf numFmtId="3" fontId="19" fillId="9" borderId="16" xfId="0" applyNumberFormat="1" applyFont="1" applyFill="1" applyBorder="1" applyAlignment="1">
      <alignment horizontal="center" vertical="center"/>
    </xf>
    <xf numFmtId="3" fontId="19" fillId="7" borderId="5" xfId="0" applyNumberFormat="1" applyFont="1" applyFill="1" applyBorder="1" applyAlignment="1">
      <alignment horizontal="center" vertical="center"/>
    </xf>
    <xf numFmtId="0" fontId="19" fillId="8" borderId="7" xfId="0" applyFont="1" applyFill="1" applyBorder="1" applyAlignment="1">
      <alignment horizontal="center" vertical="center"/>
    </xf>
    <xf numFmtId="0" fontId="21" fillId="8" borderId="7" xfId="0" applyFont="1" applyFill="1" applyBorder="1" applyAlignment="1">
      <alignment horizontal="left" vertical="center" wrapText="1"/>
    </xf>
    <xf numFmtId="3" fontId="12" fillId="8" borderId="7" xfId="0" applyNumberFormat="1" applyFont="1" applyFill="1" applyBorder="1" applyAlignment="1">
      <alignment horizontal="center" vertical="center"/>
    </xf>
    <xf numFmtId="3" fontId="12" fillId="8" borderId="7" xfId="0" applyNumberFormat="1" applyFont="1" applyFill="1" applyBorder="1" applyAlignment="1">
      <alignment vertical="center"/>
    </xf>
    <xf numFmtId="3" fontId="13" fillId="8" borderId="5" xfId="0" applyNumberFormat="1" applyFont="1" applyFill="1" applyBorder="1" applyAlignment="1">
      <alignment horizontal="center" vertical="center"/>
    </xf>
    <xf numFmtId="3" fontId="13" fillId="8" borderId="5" xfId="0" applyNumberFormat="1" applyFont="1" applyFill="1" applyBorder="1" applyAlignment="1">
      <alignment horizontal="center" vertical="center" wrapText="1"/>
    </xf>
    <xf numFmtId="0" fontId="13" fillId="8" borderId="5" xfId="0" applyFont="1" applyFill="1" applyBorder="1" applyAlignment="1">
      <alignment horizontal="center" vertical="center"/>
    </xf>
    <xf numFmtId="0" fontId="25" fillId="8" borderId="4" xfId="0" applyFont="1" applyFill="1" applyBorder="1" applyAlignment="1">
      <alignment vertical="center"/>
    </xf>
    <xf numFmtId="0" fontId="26" fillId="8" borderId="2" xfId="0" applyFont="1" applyFill="1" applyBorder="1" applyAlignment="1">
      <alignment horizontal="center" vertical="center"/>
    </xf>
    <xf numFmtId="0" fontId="26" fillId="8" borderId="16" xfId="0" applyFont="1" applyFill="1" applyBorder="1" applyAlignment="1">
      <alignment horizontal="center" vertical="center"/>
    </xf>
    <xf numFmtId="0" fontId="26" fillId="8" borderId="17" xfId="0" applyFont="1" applyFill="1" applyBorder="1" applyAlignment="1">
      <alignment horizontal="center" vertical="center"/>
    </xf>
    <xf numFmtId="0" fontId="26" fillId="8" borderId="7" xfId="0" applyFont="1" applyFill="1" applyBorder="1" applyAlignment="1">
      <alignment horizontal="center" vertical="center"/>
    </xf>
    <xf numFmtId="0" fontId="26" fillId="8" borderId="3" xfId="0" applyFont="1" applyFill="1" applyBorder="1" applyAlignment="1">
      <alignment horizontal="center" vertical="center"/>
    </xf>
    <xf numFmtId="0" fontId="53" fillId="8" borderId="11" xfId="0" applyFont="1" applyFill="1" applyBorder="1" applyAlignment="1">
      <alignment horizontal="center" vertical="center"/>
    </xf>
    <xf numFmtId="0" fontId="53" fillId="8" borderId="2" xfId="0" applyFont="1" applyFill="1" applyBorder="1" applyAlignment="1">
      <alignment horizontal="center" vertical="center"/>
    </xf>
    <xf numFmtId="0" fontId="22" fillId="0" borderId="0" xfId="0" applyFont="1"/>
    <xf numFmtId="0" fontId="23" fillId="0" borderId="5" xfId="0" applyFont="1" applyBorder="1" applyAlignment="1">
      <alignment horizontal="center" vertical="center" wrapText="1"/>
    </xf>
    <xf numFmtId="0" fontId="23" fillId="0" borderId="4" xfId="0" applyFont="1" applyBorder="1" applyAlignment="1">
      <alignment vertical="center" wrapText="1"/>
    </xf>
    <xf numFmtId="0" fontId="23" fillId="0" borderId="2" xfId="0" applyFont="1" applyBorder="1" applyAlignment="1">
      <alignment vertical="center" wrapText="1"/>
    </xf>
    <xf numFmtId="0" fontId="23" fillId="0" borderId="3" xfId="0" applyFont="1" applyBorder="1" applyAlignment="1">
      <alignment horizontal="right" vertical="center" wrapText="1"/>
    </xf>
    <xf numFmtId="0" fontId="23" fillId="0" borderId="5" xfId="0" applyFont="1" applyBorder="1" applyAlignment="1">
      <alignment vertical="center" wrapText="1"/>
    </xf>
    <xf numFmtId="0" fontId="23" fillId="0" borderId="12" xfId="0" applyFont="1" applyBorder="1" applyAlignment="1">
      <alignment vertical="center" wrapText="1"/>
    </xf>
    <xf numFmtId="0" fontId="22" fillId="0" borderId="2" xfId="0" applyFont="1" applyBorder="1" applyAlignment="1">
      <alignment horizontal="justify" vertical="center" wrapText="1"/>
    </xf>
    <xf numFmtId="0" fontId="22" fillId="0" borderId="3" xfId="0" applyFont="1" applyBorder="1" applyAlignment="1">
      <alignment horizontal="right" vertical="center" wrapText="1"/>
    </xf>
    <xf numFmtId="0" fontId="22" fillId="0" borderId="16" xfId="0" applyFont="1" applyBorder="1" applyAlignment="1">
      <alignment horizontal="justify" vertical="center" wrapText="1"/>
    </xf>
    <xf numFmtId="0" fontId="23" fillId="0" borderId="12" xfId="0" applyFont="1" applyBorder="1" applyAlignment="1">
      <alignment horizontal="right" vertical="center" wrapText="1"/>
    </xf>
    <xf numFmtId="4" fontId="23" fillId="0" borderId="12" xfId="0" applyNumberFormat="1" applyFont="1" applyBorder="1" applyAlignment="1">
      <alignment horizontal="right" vertical="center" wrapText="1"/>
    </xf>
    <xf numFmtId="0" fontId="22" fillId="0" borderId="3" xfId="0" applyFont="1" applyBorder="1" applyAlignment="1">
      <alignment horizontal="justify" vertical="center" wrapText="1"/>
    </xf>
    <xf numFmtId="0" fontId="23" fillId="0" borderId="11" xfId="0" applyFont="1" applyBorder="1" applyAlignment="1">
      <alignment horizontal="center" vertical="center" wrapText="1"/>
    </xf>
    <xf numFmtId="0" fontId="29" fillId="0" borderId="11" xfId="0" applyFont="1" applyBorder="1" applyAlignment="1">
      <alignment horizontal="center" vertical="center" wrapText="1"/>
    </xf>
    <xf numFmtId="0" fontId="22" fillId="0" borderId="7" xfId="0" applyFont="1" applyBorder="1" applyAlignment="1">
      <alignment horizontal="justify" vertical="center" wrapText="1"/>
    </xf>
    <xf numFmtId="0" fontId="22" fillId="0" borderId="7" xfId="0" applyFont="1" applyBorder="1" applyAlignment="1">
      <alignment horizontal="right" vertical="center" wrapText="1"/>
    </xf>
    <xf numFmtId="0" fontId="23" fillId="0" borderId="11" xfId="0" applyFont="1" applyBorder="1" applyAlignment="1">
      <alignment horizontal="right" vertical="center" wrapText="1"/>
    </xf>
    <xf numFmtId="0" fontId="22" fillId="0" borderId="3" xfId="0" applyFont="1" applyBorder="1" applyAlignment="1">
      <alignment vertical="center" wrapText="1"/>
    </xf>
    <xf numFmtId="0" fontId="22" fillId="0" borderId="12" xfId="0" applyFont="1" applyBorder="1" applyAlignment="1">
      <alignment horizontal="justify" vertical="center" wrapText="1"/>
    </xf>
    <xf numFmtId="0" fontId="22" fillId="0" borderId="12" xfId="0" applyFont="1" applyBorder="1" applyAlignment="1">
      <alignment horizontal="center" vertical="center" wrapText="1"/>
    </xf>
    <xf numFmtId="0" fontId="22" fillId="0" borderId="2" xfId="0" quotePrefix="1" applyFont="1" applyBorder="1" applyAlignment="1">
      <alignment vertical="center" wrapText="1"/>
    </xf>
    <xf numFmtId="0" fontId="22" fillId="0" borderId="2" xfId="0" quotePrefix="1" applyFont="1" applyBorder="1" applyAlignment="1">
      <alignment horizontal="justify" vertical="center" wrapText="1"/>
    </xf>
    <xf numFmtId="0" fontId="19" fillId="0" borderId="5" xfId="0" applyFont="1" applyBorder="1" applyAlignment="1">
      <alignment horizontal="center" vertical="center" wrapText="1"/>
    </xf>
    <xf numFmtId="3" fontId="22" fillId="0" borderId="2" xfId="0" applyNumberFormat="1" applyFont="1" applyBorder="1" applyAlignment="1">
      <alignment horizontal="right" vertical="center" wrapText="1"/>
    </xf>
    <xf numFmtId="3" fontId="23" fillId="0" borderId="4" xfId="0" applyNumberFormat="1" applyFont="1" applyBorder="1" applyAlignment="1">
      <alignment vertical="center" wrapText="1"/>
    </xf>
    <xf numFmtId="3" fontId="22" fillId="0" borderId="2" xfId="0" applyNumberFormat="1" applyFont="1" applyBorder="1" applyAlignment="1">
      <alignment horizontal="center" vertical="center" wrapText="1"/>
    </xf>
    <xf numFmtId="3" fontId="23" fillId="0" borderId="2" xfId="0" applyNumberFormat="1" applyFont="1" applyBorder="1" applyAlignment="1">
      <alignment vertical="center" wrapText="1"/>
    </xf>
    <xf numFmtId="3" fontId="23" fillId="0" borderId="5" xfId="0" applyNumberFormat="1" applyFont="1" applyBorder="1"/>
    <xf numFmtId="0" fontId="23" fillId="0" borderId="5" xfId="0" applyFont="1" applyBorder="1" applyAlignment="1">
      <alignment horizontal="center"/>
    </xf>
    <xf numFmtId="0" fontId="22" fillId="0" borderId="7" xfId="0" applyFont="1" applyBorder="1" applyAlignment="1">
      <alignment vertical="center" wrapText="1"/>
    </xf>
    <xf numFmtId="0" fontId="42" fillId="8" borderId="5" xfId="0" applyFont="1" applyFill="1" applyBorder="1" applyAlignment="1">
      <alignment horizontal="center" vertical="center" wrapText="1"/>
    </xf>
    <xf numFmtId="0" fontId="12" fillId="9" borderId="0" xfId="0" applyFont="1" applyFill="1"/>
    <xf numFmtId="3" fontId="12" fillId="0" borderId="11" xfId="0" applyNumberFormat="1" applyFont="1" applyFill="1" applyBorder="1" applyAlignment="1">
      <alignment vertical="center"/>
    </xf>
    <xf numFmtId="0" fontId="14" fillId="4" borderId="0" xfId="0" applyFont="1" applyFill="1" applyAlignment="1"/>
    <xf numFmtId="9" fontId="23" fillId="4" borderId="0" xfId="0" applyNumberFormat="1" applyFont="1" applyFill="1" applyAlignment="1"/>
    <xf numFmtId="0" fontId="61" fillId="0" borderId="0" xfId="0" applyFont="1" applyAlignment="1">
      <alignment horizontal="justify" vertical="center"/>
    </xf>
    <xf numFmtId="0" fontId="63" fillId="0" borderId="2" xfId="0" applyFont="1" applyBorder="1" applyAlignment="1">
      <alignment horizontal="center" vertical="center" wrapText="1"/>
    </xf>
    <xf numFmtId="0" fontId="63" fillId="0" borderId="2" xfId="0" applyFont="1" applyBorder="1" applyAlignment="1">
      <alignment vertical="center" wrapText="1"/>
    </xf>
    <xf numFmtId="0" fontId="63" fillId="0" borderId="2" xfId="0" applyFont="1" applyBorder="1" applyAlignment="1">
      <alignment horizontal="right" vertical="center" wrapText="1"/>
    </xf>
    <xf numFmtId="0" fontId="64" fillId="0" borderId="2" xfId="0" applyFont="1" applyBorder="1" applyAlignment="1">
      <alignment horizontal="right" vertical="center" wrapText="1"/>
    </xf>
    <xf numFmtId="0" fontId="63" fillId="0" borderId="3" xfId="0" applyFont="1" applyBorder="1" applyAlignment="1">
      <alignment horizontal="center" vertical="center" wrapText="1"/>
    </xf>
    <xf numFmtId="0" fontId="63" fillId="0" borderId="3" xfId="0" applyFont="1" applyBorder="1" applyAlignment="1">
      <alignment vertical="center" wrapText="1"/>
    </xf>
    <xf numFmtId="0" fontId="63" fillId="0" borderId="3" xfId="0" applyFont="1" applyBorder="1" applyAlignment="1">
      <alignment horizontal="right" vertical="center" wrapText="1"/>
    </xf>
    <xf numFmtId="0" fontId="62" fillId="0" borderId="11" xfId="0" applyFont="1" applyBorder="1" applyAlignment="1">
      <alignment horizontal="center" vertical="center" wrapText="1"/>
    </xf>
    <xf numFmtId="0" fontId="63" fillId="0" borderId="7" xfId="0" applyFont="1" applyBorder="1" applyAlignment="1">
      <alignment horizontal="center" vertical="center" wrapText="1"/>
    </xf>
    <xf numFmtId="0" fontId="63" fillId="0" borderId="7" xfId="0" applyFont="1" applyBorder="1" applyAlignment="1">
      <alignment vertical="center" wrapText="1"/>
    </xf>
    <xf numFmtId="0" fontId="63" fillId="0" borderId="7" xfId="0" applyFont="1" applyBorder="1" applyAlignment="1">
      <alignment horizontal="right" vertical="center" wrapText="1"/>
    </xf>
    <xf numFmtId="0" fontId="0" fillId="0" borderId="0" xfId="0" applyAlignment="1">
      <alignment wrapText="1"/>
    </xf>
    <xf numFmtId="9" fontId="0" fillId="0" borderId="0" xfId="0" applyNumberFormat="1"/>
    <xf numFmtId="3" fontId="0" fillId="0" borderId="0" xfId="0" applyNumberFormat="1"/>
    <xf numFmtId="3" fontId="63" fillId="0" borderId="7" xfId="0" applyNumberFormat="1" applyFont="1" applyBorder="1" applyAlignment="1">
      <alignment horizontal="right" vertical="center" wrapText="1"/>
    </xf>
    <xf numFmtId="3" fontId="63" fillId="0" borderId="2" xfId="0" applyNumberFormat="1" applyFont="1" applyBorder="1" applyAlignment="1">
      <alignment horizontal="right" vertical="center" wrapText="1"/>
    </xf>
    <xf numFmtId="3" fontId="63" fillId="0" borderId="3" xfId="0" applyNumberFormat="1" applyFont="1" applyBorder="1" applyAlignment="1">
      <alignment horizontal="right" vertical="center" wrapText="1"/>
    </xf>
    <xf numFmtId="4" fontId="63" fillId="0" borderId="2" xfId="0" applyNumberFormat="1" applyFont="1" applyBorder="1" applyAlignment="1">
      <alignment horizontal="right" vertical="center" wrapText="1"/>
    </xf>
    <xf numFmtId="3" fontId="22" fillId="0" borderId="0" xfId="0" applyNumberFormat="1" applyFont="1" applyBorder="1" applyAlignment="1">
      <alignment horizontal="right" vertical="center" wrapText="1"/>
    </xf>
    <xf numFmtId="0" fontId="23" fillId="0" borderId="7" xfId="0" applyFont="1" applyBorder="1" applyAlignment="1">
      <alignment horizontal="left" vertical="center" wrapText="1"/>
    </xf>
    <xf numFmtId="0" fontId="22" fillId="0" borderId="2" xfId="0" quotePrefix="1"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0" borderId="38" xfId="0" applyFont="1" applyBorder="1" applyAlignment="1">
      <alignment vertical="center" wrapText="1"/>
    </xf>
    <xf numFmtId="3" fontId="23" fillId="0" borderId="38" xfId="0" applyNumberFormat="1" applyFont="1" applyBorder="1" applyAlignment="1">
      <alignment vertical="center" wrapText="1"/>
    </xf>
    <xf numFmtId="0" fontId="22" fillId="0" borderId="7" xfId="0" applyFont="1" applyBorder="1"/>
    <xf numFmtId="0" fontId="22" fillId="0" borderId="2" xfId="0" applyFont="1" applyBorder="1"/>
    <xf numFmtId="0" fontId="22" fillId="0" borderId="3" xfId="0" applyFont="1" applyBorder="1"/>
    <xf numFmtId="0" fontId="23" fillId="0" borderId="0" xfId="0" applyFont="1" applyBorder="1" applyAlignment="1">
      <alignment horizontal="left" vertical="center" wrapText="1"/>
    </xf>
    <xf numFmtId="3" fontId="23" fillId="0" borderId="0" xfId="0" applyNumberFormat="1" applyFont="1" applyBorder="1" applyAlignment="1">
      <alignment horizontal="center" vertical="center" wrapText="1"/>
    </xf>
    <xf numFmtId="3" fontId="23" fillId="0" borderId="0" xfId="0" applyNumberFormat="1" applyFont="1" applyBorder="1" applyAlignment="1">
      <alignment vertical="center" wrapText="1"/>
    </xf>
    <xf numFmtId="0" fontId="60" fillId="0" borderId="0" xfId="0" applyFont="1" applyAlignment="1">
      <alignment horizontal="center" wrapText="1"/>
    </xf>
    <xf numFmtId="0" fontId="58" fillId="0" borderId="0" xfId="0" applyFont="1" applyAlignment="1">
      <alignment horizontal="center" wrapText="1"/>
    </xf>
    <xf numFmtId="0" fontId="14" fillId="4" borderId="0" xfId="0" applyFont="1" applyFill="1" applyAlignment="1">
      <alignment horizontal="center"/>
    </xf>
    <xf numFmtId="0" fontId="27" fillId="4" borderId="0" xfId="0" applyFont="1" applyFill="1" applyAlignment="1">
      <alignment horizontal="center"/>
    </xf>
    <xf numFmtId="0" fontId="19" fillId="9" borderId="11" xfId="0" applyFont="1" applyFill="1" applyBorder="1" applyAlignment="1">
      <alignment horizontal="center" vertical="center"/>
    </xf>
    <xf numFmtId="0" fontId="19" fillId="9" borderId="12" xfId="0" applyFont="1" applyFill="1" applyBorder="1" applyAlignment="1">
      <alignment horizontal="center" vertical="center"/>
    </xf>
    <xf numFmtId="0" fontId="19" fillId="9" borderId="11" xfId="0" applyFont="1" applyFill="1" applyBorder="1" applyAlignment="1">
      <alignment horizontal="center" vertical="center" wrapText="1"/>
    </xf>
    <xf numFmtId="0" fontId="19" fillId="9" borderId="12" xfId="0" applyFont="1" applyFill="1" applyBorder="1" applyAlignment="1">
      <alignment horizontal="center" vertical="center" wrapText="1"/>
    </xf>
    <xf numFmtId="174" fontId="19" fillId="9" borderId="13" xfId="0" applyNumberFormat="1" applyFont="1" applyFill="1" applyBorder="1" applyAlignment="1">
      <alignment horizontal="center" vertical="center"/>
    </xf>
    <xf numFmtId="174" fontId="19" fillId="9" borderId="14" xfId="0" applyNumberFormat="1" applyFont="1" applyFill="1" applyBorder="1" applyAlignment="1">
      <alignment horizontal="center" vertical="center"/>
    </xf>
    <xf numFmtId="0" fontId="19" fillId="9" borderId="31" xfId="0" applyFont="1" applyFill="1" applyBorder="1" applyAlignment="1">
      <alignment horizontal="center"/>
    </xf>
    <xf numFmtId="0" fontId="19" fillId="9" borderId="9" xfId="0" applyFont="1" applyFill="1" applyBorder="1" applyAlignment="1">
      <alignment horizontal="center"/>
    </xf>
    <xf numFmtId="174" fontId="19" fillId="9" borderId="27" xfId="0" applyNumberFormat="1" applyFont="1" applyFill="1" applyBorder="1" applyAlignment="1">
      <alignment horizontal="center" vertical="center"/>
    </xf>
    <xf numFmtId="174" fontId="19" fillId="9" borderId="28" xfId="0" applyNumberFormat="1" applyFont="1" applyFill="1" applyBorder="1" applyAlignment="1">
      <alignment horizontal="center" vertical="center"/>
    </xf>
    <xf numFmtId="174" fontId="19" fillId="9" borderId="29" xfId="0" applyNumberFormat="1" applyFont="1" applyFill="1" applyBorder="1" applyAlignment="1">
      <alignment horizontal="center" vertical="center"/>
    </xf>
    <xf numFmtId="174" fontId="19" fillId="9" borderId="30" xfId="0" applyNumberFormat="1" applyFont="1" applyFill="1" applyBorder="1" applyAlignment="1">
      <alignment horizontal="center" vertical="center"/>
    </xf>
    <xf numFmtId="174" fontId="19" fillId="9" borderId="7" xfId="0" applyNumberFormat="1" applyFont="1" applyFill="1" applyBorder="1" applyAlignment="1">
      <alignment horizontal="center" vertical="center"/>
    </xf>
    <xf numFmtId="0" fontId="19" fillId="9" borderId="7" xfId="0" applyFont="1" applyFill="1" applyBorder="1" applyAlignment="1">
      <alignment horizontal="center" vertical="center"/>
    </xf>
    <xf numFmtId="0" fontId="19" fillId="9" borderId="16" xfId="0" applyFont="1" applyFill="1" applyBorder="1" applyAlignment="1">
      <alignment horizontal="center" vertical="center"/>
    </xf>
    <xf numFmtId="0" fontId="19" fillId="9" borderId="7" xfId="0" applyFont="1" applyFill="1" applyBorder="1" applyAlignment="1">
      <alignment horizontal="center" vertical="center" wrapText="1"/>
    </xf>
    <xf numFmtId="0" fontId="19" fillId="9" borderId="16" xfId="0" applyFont="1" applyFill="1" applyBorder="1" applyAlignment="1">
      <alignment horizontal="center" vertical="center" wrapText="1"/>
    </xf>
    <xf numFmtId="174" fontId="19" fillId="9" borderId="16" xfId="0" applyNumberFormat="1" applyFont="1" applyFill="1" applyBorder="1" applyAlignment="1">
      <alignment horizontal="center" vertical="center"/>
    </xf>
    <xf numFmtId="174" fontId="19" fillId="9" borderId="11" xfId="0" applyNumberFormat="1" applyFont="1" applyFill="1" applyBorder="1" applyAlignment="1">
      <alignment horizontal="center" vertical="center"/>
    </xf>
    <xf numFmtId="174" fontId="19" fillId="9" borderId="7" xfId="0" applyNumberFormat="1" applyFont="1" applyFill="1" applyBorder="1" applyAlignment="1">
      <alignment horizontal="center" vertical="center" wrapText="1"/>
    </xf>
    <xf numFmtId="174" fontId="19" fillId="9" borderId="16" xfId="0" applyNumberFormat="1" applyFont="1" applyFill="1" applyBorder="1" applyAlignment="1">
      <alignment horizontal="center" vertical="center" wrapText="1"/>
    </xf>
    <xf numFmtId="0" fontId="21" fillId="8" borderId="31" xfId="0" applyFont="1" applyFill="1" applyBorder="1" applyAlignment="1">
      <alignment horizontal="left" vertical="center" wrapText="1"/>
    </xf>
    <xf numFmtId="0" fontId="21" fillId="8" borderId="8" xfId="0" applyFont="1" applyFill="1" applyBorder="1" applyAlignment="1">
      <alignment horizontal="left" vertical="center" wrapText="1"/>
    </xf>
    <xf numFmtId="0" fontId="21" fillId="8" borderId="9" xfId="0" applyFont="1" applyFill="1" applyBorder="1" applyAlignment="1">
      <alignment horizontal="left" vertical="center" wrapText="1"/>
    </xf>
    <xf numFmtId="0" fontId="19" fillId="7" borderId="11" xfId="0" applyFont="1" applyFill="1" applyBorder="1" applyAlignment="1">
      <alignment horizontal="center" vertical="center"/>
    </xf>
    <xf numFmtId="0" fontId="19" fillId="7" borderId="12" xfId="0" applyFont="1" applyFill="1" applyBorder="1" applyAlignment="1">
      <alignment horizontal="center" vertical="center"/>
    </xf>
    <xf numFmtId="0" fontId="19" fillId="7" borderId="11" xfId="0" applyFont="1" applyFill="1" applyBorder="1" applyAlignment="1">
      <alignment horizontal="center" vertical="center" wrapText="1"/>
    </xf>
    <xf numFmtId="0" fontId="19" fillId="7" borderId="12" xfId="0" applyFont="1" applyFill="1" applyBorder="1" applyAlignment="1">
      <alignment horizontal="center" vertical="center" wrapText="1"/>
    </xf>
    <xf numFmtId="174" fontId="19" fillId="7" borderId="13" xfId="0" applyNumberFormat="1" applyFont="1" applyFill="1" applyBorder="1" applyAlignment="1">
      <alignment horizontal="center" vertical="center"/>
    </xf>
    <xf numFmtId="174" fontId="19" fillId="7" borderId="14" xfId="0" applyNumberFormat="1" applyFont="1" applyFill="1" applyBorder="1" applyAlignment="1">
      <alignment horizontal="center" vertical="center"/>
    </xf>
    <xf numFmtId="0" fontId="14" fillId="0" borderId="0" xfId="0" applyFont="1" applyFill="1" applyAlignment="1">
      <alignment horizontal="center" vertical="center" wrapText="1"/>
    </xf>
    <xf numFmtId="0" fontId="27" fillId="0" borderId="0" xfId="0" applyFont="1" applyFill="1" applyAlignment="1">
      <alignment horizontal="center" vertical="center" wrapText="1"/>
    </xf>
    <xf numFmtId="0" fontId="17" fillId="0" borderId="13"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7" fillId="0" borderId="13" xfId="0" applyFont="1" applyFill="1" applyBorder="1" applyAlignment="1">
      <alignment horizontal="center" vertical="center"/>
    </xf>
    <xf numFmtId="0" fontId="17" fillId="0" borderId="14" xfId="0" applyFont="1" applyFill="1" applyBorder="1" applyAlignment="1">
      <alignment horizontal="center" vertical="center"/>
    </xf>
    <xf numFmtId="0" fontId="13" fillId="8" borderId="13"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1" xfId="0" applyFont="1" applyFill="1" applyBorder="1" applyAlignment="1">
      <alignment horizontal="center" vertical="center"/>
    </xf>
    <xf numFmtId="0" fontId="13" fillId="8" borderId="12" xfId="0" applyFont="1" applyFill="1" applyBorder="1" applyAlignment="1">
      <alignment horizontal="center" vertical="center"/>
    </xf>
    <xf numFmtId="0" fontId="13" fillId="8" borderId="11" xfId="0" applyFont="1" applyFill="1" applyBorder="1" applyAlignment="1">
      <alignment horizontal="center" vertical="center" wrapText="1"/>
    </xf>
    <xf numFmtId="0" fontId="13" fillId="8" borderId="12" xfId="0" applyFont="1" applyFill="1" applyBorder="1" applyAlignment="1">
      <alignment horizontal="center" vertical="center" wrapText="1"/>
    </xf>
    <xf numFmtId="174" fontId="13" fillId="8" borderId="13" xfId="0" applyNumberFormat="1" applyFont="1" applyFill="1" applyBorder="1" applyAlignment="1">
      <alignment horizontal="center" vertical="center"/>
    </xf>
    <xf numFmtId="174" fontId="13" fillId="8" borderId="15" xfId="0" applyNumberFormat="1" applyFont="1" applyFill="1" applyBorder="1" applyAlignment="1">
      <alignment horizontal="center" vertical="center"/>
    </xf>
    <xf numFmtId="174" fontId="13" fillId="8" borderId="14" xfId="0" applyNumberFormat="1" applyFont="1" applyFill="1" applyBorder="1" applyAlignment="1">
      <alignment horizontal="center" vertical="center"/>
    </xf>
    <xf numFmtId="0" fontId="16" fillId="7" borderId="0" xfId="0" applyFont="1" applyFill="1" applyAlignment="1">
      <alignment horizontal="center" vertical="center"/>
    </xf>
    <xf numFmtId="0" fontId="23" fillId="0" borderId="0" xfId="0" applyFont="1" applyFill="1" applyAlignment="1">
      <alignment horizontal="center" vertical="center" wrapText="1"/>
    </xf>
    <xf numFmtId="0" fontId="17" fillId="3" borderId="0" xfId="0" applyFont="1" applyFill="1" applyAlignment="1">
      <alignment horizontal="center" vertical="center"/>
    </xf>
    <xf numFmtId="0" fontId="23" fillId="7" borderId="7" xfId="0" applyFont="1" applyFill="1" applyBorder="1" applyAlignment="1">
      <alignment horizontal="center" vertical="center"/>
    </xf>
    <xf numFmtId="0" fontId="23" fillId="7" borderId="16" xfId="0" applyFont="1" applyFill="1" applyBorder="1" applyAlignment="1">
      <alignment horizontal="center" vertical="center"/>
    </xf>
    <xf numFmtId="0" fontId="23" fillId="7" borderId="7" xfId="0" applyFont="1" applyFill="1" applyBorder="1" applyAlignment="1">
      <alignment horizontal="center" vertical="center" wrapText="1"/>
    </xf>
    <xf numFmtId="0" fontId="23" fillId="7" borderId="16" xfId="0" applyFont="1" applyFill="1" applyBorder="1" applyAlignment="1">
      <alignment horizontal="center" vertical="center" wrapText="1"/>
    </xf>
    <xf numFmtId="0" fontId="23" fillId="0" borderId="15" xfId="0" applyFont="1" applyFill="1" applyBorder="1" applyAlignment="1">
      <alignment horizontal="center" vertical="center"/>
    </xf>
    <xf numFmtId="0" fontId="23" fillId="0" borderId="14" xfId="0" applyFont="1" applyFill="1" applyBorder="1" applyAlignment="1">
      <alignment horizontal="center" vertical="center"/>
    </xf>
    <xf numFmtId="174" fontId="23" fillId="7" borderId="7" xfId="0" applyNumberFormat="1" applyFont="1" applyFill="1" applyBorder="1" applyAlignment="1">
      <alignment horizontal="center" vertical="center" wrapText="1"/>
    </xf>
    <xf numFmtId="174" fontId="23" fillId="7" borderId="16" xfId="0" applyNumberFormat="1" applyFont="1" applyFill="1" applyBorder="1" applyAlignment="1">
      <alignment horizontal="center" vertical="center" wrapText="1"/>
    </xf>
    <xf numFmtId="0" fontId="21" fillId="8" borderId="36" xfId="0" applyFont="1" applyFill="1" applyBorder="1" applyAlignment="1">
      <alignment horizontal="left" vertical="center" wrapText="1"/>
    </xf>
    <xf numFmtId="0" fontId="21" fillId="8" borderId="37" xfId="0" applyFont="1" applyFill="1" applyBorder="1" applyAlignment="1">
      <alignment horizontal="left" vertical="center" wrapText="1"/>
    </xf>
    <xf numFmtId="0" fontId="21" fillId="8" borderId="32" xfId="0" applyFont="1" applyFill="1" applyBorder="1" applyAlignment="1">
      <alignment horizontal="left" vertical="center" wrapText="1"/>
    </xf>
    <xf numFmtId="0" fontId="22" fillId="0" borderId="36" xfId="0" applyFont="1" applyBorder="1" applyAlignment="1">
      <alignment horizontal="center"/>
    </xf>
    <xf numFmtId="0" fontId="22" fillId="0" borderId="32" xfId="0" applyFont="1" applyBorder="1" applyAlignment="1">
      <alignment horizontal="center"/>
    </xf>
    <xf numFmtId="0" fontId="22" fillId="0" borderId="40" xfId="0" applyFont="1" applyBorder="1" applyAlignment="1">
      <alignment horizontal="center"/>
    </xf>
    <xf numFmtId="0" fontId="22" fillId="0" borderId="35" xfId="0" applyFont="1" applyBorder="1" applyAlignment="1">
      <alignment horizontal="center"/>
    </xf>
    <xf numFmtId="0" fontId="22" fillId="0" borderId="31" xfId="0" applyFont="1" applyBorder="1" applyAlignment="1">
      <alignment horizontal="center"/>
    </xf>
    <xf numFmtId="0" fontId="22" fillId="0" borderId="9" xfId="0" applyFont="1" applyBorder="1" applyAlignment="1">
      <alignment horizontal="center"/>
    </xf>
    <xf numFmtId="0" fontId="22" fillId="0" borderId="42" xfId="0" applyFont="1" applyBorder="1" applyAlignment="1">
      <alignment horizontal="center"/>
    </xf>
    <xf numFmtId="0" fontId="22" fillId="0" borderId="33" xfId="0" applyFont="1" applyBorder="1" applyAlignment="1">
      <alignment horizontal="center"/>
    </xf>
    <xf numFmtId="0" fontId="23" fillId="7" borderId="0" xfId="0" applyFont="1" applyFill="1" applyBorder="1" applyAlignment="1">
      <alignment horizontal="left" vertical="center" wrapText="1"/>
    </xf>
    <xf numFmtId="0" fontId="22" fillId="0" borderId="3" xfId="0" applyFont="1" applyBorder="1" applyAlignment="1">
      <alignment horizontal="left" vertical="center" wrapText="1"/>
    </xf>
    <xf numFmtId="0" fontId="22" fillId="0" borderId="3"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28" xfId="0" applyFont="1" applyBorder="1" applyAlignment="1">
      <alignment horizontal="center" vertical="center" wrapText="1"/>
    </xf>
    <xf numFmtId="0" fontId="22" fillId="0" borderId="7" xfId="0" applyFont="1" applyBorder="1" applyAlignment="1">
      <alignment horizontal="left" vertical="center" wrapText="1"/>
    </xf>
    <xf numFmtId="0" fontId="23" fillId="0" borderId="11" xfId="0" applyFont="1" applyBorder="1" applyAlignment="1">
      <alignment horizontal="center" vertical="center" wrapText="1"/>
    </xf>
    <xf numFmtId="0" fontId="22" fillId="0" borderId="7" xfId="0" applyFont="1" applyBorder="1" applyAlignment="1">
      <alignment horizontal="center" vertical="center" wrapText="1"/>
    </xf>
    <xf numFmtId="3" fontId="22" fillId="0" borderId="2" xfId="0" applyNumberFormat="1" applyFont="1" applyBorder="1" applyAlignment="1">
      <alignment horizontal="right" vertical="center" wrapText="1"/>
    </xf>
    <xf numFmtId="3" fontId="22" fillId="0" borderId="3" xfId="0" applyNumberFormat="1" applyFont="1" applyBorder="1" applyAlignment="1">
      <alignment horizontal="right" vertical="center" wrapText="1"/>
    </xf>
    <xf numFmtId="3" fontId="23" fillId="0" borderId="36" xfId="0" applyNumberFormat="1" applyFont="1" applyBorder="1" applyAlignment="1">
      <alignment horizontal="center" vertical="center" wrapText="1"/>
    </xf>
    <xf numFmtId="3" fontId="23" fillId="0" borderId="37" xfId="0" applyNumberFormat="1" applyFont="1" applyBorder="1" applyAlignment="1">
      <alignment horizontal="center" vertical="center" wrapText="1"/>
    </xf>
    <xf numFmtId="3" fontId="23" fillId="0" borderId="2" xfId="0" applyNumberFormat="1" applyFont="1" applyBorder="1" applyAlignment="1">
      <alignment horizontal="right" vertical="center" wrapText="1"/>
    </xf>
    <xf numFmtId="0" fontId="23" fillId="7" borderId="0" xfId="0" applyFont="1" applyFill="1" applyBorder="1" applyAlignment="1">
      <alignment horizontal="left" wrapText="1"/>
    </xf>
    <xf numFmtId="3" fontId="23" fillId="0" borderId="13" xfId="0" applyNumberFormat="1" applyFont="1" applyBorder="1" applyAlignment="1">
      <alignment horizontal="right" vertical="center" wrapText="1"/>
    </xf>
    <xf numFmtId="3" fontId="23" fillId="0" borderId="15" xfId="0" applyNumberFormat="1" applyFont="1" applyBorder="1" applyAlignment="1">
      <alignment horizontal="right" vertical="center" wrapText="1"/>
    </xf>
    <xf numFmtId="0" fontId="23" fillId="0" borderId="15" xfId="0" applyFont="1" applyBorder="1" applyAlignment="1">
      <alignment horizontal="center" vertical="center" wrapText="1"/>
    </xf>
    <xf numFmtId="0" fontId="23" fillId="0" borderId="14" xfId="0" applyFont="1" applyBorder="1" applyAlignment="1">
      <alignment horizontal="center" vertical="center" wrapText="1"/>
    </xf>
    <xf numFmtId="3" fontId="23" fillId="0" borderId="0" xfId="0" applyNumberFormat="1" applyFont="1" applyBorder="1" applyAlignment="1">
      <alignment horizontal="right" vertical="center" wrapText="1"/>
    </xf>
    <xf numFmtId="3" fontId="23" fillId="0" borderId="34" xfId="0" applyNumberFormat="1" applyFont="1" applyBorder="1" applyAlignment="1">
      <alignment horizontal="right" vertical="center" wrapText="1"/>
    </xf>
    <xf numFmtId="0" fontId="22" fillId="0" borderId="0" xfId="0" applyFont="1" applyAlignment="1">
      <alignment horizontal="right"/>
    </xf>
    <xf numFmtId="0" fontId="22" fillId="0" borderId="34" xfId="0" applyFont="1" applyBorder="1" applyAlignment="1">
      <alignment horizontal="right"/>
    </xf>
    <xf numFmtId="3" fontId="23" fillId="0" borderId="14" xfId="0" applyNumberFormat="1" applyFont="1" applyBorder="1" applyAlignment="1">
      <alignment horizontal="right" vertical="center" wrapText="1"/>
    </xf>
    <xf numFmtId="0" fontId="23" fillId="0" borderId="13" xfId="0" applyFont="1" applyBorder="1" applyAlignment="1">
      <alignment horizontal="center" vertical="center" wrapText="1"/>
    </xf>
    <xf numFmtId="3" fontId="23" fillId="0" borderId="38" xfId="0" applyNumberFormat="1" applyFont="1" applyBorder="1" applyAlignment="1">
      <alignment horizontal="right" vertical="center" wrapText="1"/>
    </xf>
    <xf numFmtId="3" fontId="22" fillId="0" borderId="38" xfId="0" applyNumberFormat="1" applyFont="1" applyBorder="1" applyAlignment="1">
      <alignment horizontal="right" vertical="center" wrapText="1"/>
    </xf>
    <xf numFmtId="3" fontId="22" fillId="0" borderId="0" xfId="0" applyNumberFormat="1" applyFont="1" applyBorder="1" applyAlignment="1">
      <alignment horizontal="right" vertical="center" wrapText="1"/>
    </xf>
    <xf numFmtId="3" fontId="22" fillId="0" borderId="38" xfId="0" applyNumberFormat="1" applyFont="1" applyBorder="1" applyAlignment="1">
      <alignment horizontal="center" vertical="center" wrapText="1"/>
    </xf>
    <xf numFmtId="3" fontId="22" fillId="0" borderId="0" xfId="0" applyNumberFormat="1" applyFont="1" applyBorder="1" applyAlignment="1">
      <alignment horizontal="center" vertical="center" wrapText="1"/>
    </xf>
    <xf numFmtId="0" fontId="19" fillId="0" borderId="11"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3" xfId="0" applyFont="1" applyBorder="1" applyAlignment="1">
      <alignment horizontal="center" vertical="center" wrapText="1"/>
    </xf>
    <xf numFmtId="0" fontId="23" fillId="0" borderId="5"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3" fontId="23" fillId="0" borderId="7" xfId="0" applyNumberFormat="1" applyFont="1" applyBorder="1" applyAlignment="1">
      <alignment horizontal="right" vertical="center" wrapText="1"/>
    </xf>
    <xf numFmtId="3" fontId="23" fillId="0" borderId="27" xfId="0" applyNumberFormat="1" applyFont="1" applyBorder="1" applyAlignment="1">
      <alignment horizontal="center" vertical="center" wrapText="1"/>
    </xf>
    <xf numFmtId="3" fontId="23" fillId="0" borderId="39" xfId="0" applyNumberFormat="1" applyFont="1" applyBorder="1" applyAlignment="1">
      <alignment horizontal="center" vertical="center" wrapText="1"/>
    </xf>
    <xf numFmtId="3" fontId="23" fillId="0" borderId="40" xfId="0" applyNumberFormat="1" applyFont="1" applyBorder="1" applyAlignment="1">
      <alignment horizontal="center" vertical="center" wrapText="1"/>
    </xf>
    <xf numFmtId="3" fontId="23" fillId="0" borderId="41" xfId="0" applyNumberFormat="1" applyFont="1" applyBorder="1" applyAlignment="1">
      <alignment horizontal="center" vertical="center" wrapText="1"/>
    </xf>
    <xf numFmtId="0" fontId="32" fillId="6" borderId="26" xfId="20" applyFont="1" applyFill="1" applyBorder="1" applyAlignment="1">
      <alignment horizontal="left" wrapText="1"/>
    </xf>
    <xf numFmtId="0" fontId="30" fillId="0" borderId="26" xfId="20" applyBorder="1" applyAlignment="1">
      <alignment wrapText="1"/>
    </xf>
    <xf numFmtId="0" fontId="57" fillId="7" borderId="0" xfId="20" applyFont="1" applyFill="1" applyAlignment="1">
      <alignment horizontal="left"/>
    </xf>
    <xf numFmtId="0" fontId="57" fillId="7" borderId="0" xfId="20" applyFont="1" applyFill="1" applyAlignment="1">
      <alignment horizontal="center"/>
    </xf>
    <xf numFmtId="174" fontId="19" fillId="4" borderId="0" xfId="0" applyNumberFormat="1" applyFont="1" applyFill="1" applyBorder="1" applyAlignment="1">
      <alignment horizontal="center" vertical="center"/>
    </xf>
    <xf numFmtId="174" fontId="14" fillId="4" borderId="20" xfId="0" applyNumberFormat="1" applyFont="1" applyFill="1" applyBorder="1" applyAlignment="1">
      <alignment horizontal="center" vertical="center"/>
    </xf>
    <xf numFmtId="174" fontId="27" fillId="4" borderId="20" xfId="0" applyNumberFormat="1" applyFont="1" applyFill="1" applyBorder="1" applyAlignment="1">
      <alignment horizontal="center" vertical="center"/>
    </xf>
  </cellXfs>
  <cellStyles count="25">
    <cellStyle name="Bình thường 2" xfId="20"/>
    <cellStyle name="Comma 7" xfId="23"/>
    <cellStyle name="Comma0" xfId="1"/>
    <cellStyle name="Currency0" xfId="2"/>
    <cellStyle name="Date" xfId="3"/>
    <cellStyle name="Fixed" xfId="4"/>
    <cellStyle name="Heading 1" xfId="5" builtinId="16" customBuiltin="1"/>
    <cellStyle name="Heading 2" xfId="6" builtinId="17" customBuiltin="1"/>
    <cellStyle name="Normal" xfId="0" builtinId="0"/>
    <cellStyle name="Normal 3" xfId="24"/>
    <cellStyle name="Normal_KTGIATHANH 2" xfId="22"/>
    <cellStyle name="Phần trăm 2" xfId="21"/>
    <cellStyle name="Total" xfId="7" builtinId="25" customBuiltin="1"/>
    <cellStyle name="똿뗦먛귟 [0.00]_PRODUCT DETAIL Q1" xfId="8"/>
    <cellStyle name="똿뗦먛귟_PRODUCT DETAIL Q1" xfId="9"/>
    <cellStyle name="믅됞 [0.00]_PRODUCT DETAIL Q1" xfId="10"/>
    <cellStyle name="믅됞_PRODUCT DETAIL Q1" xfId="11"/>
    <cellStyle name="백분율_HOBONG" xfId="12"/>
    <cellStyle name="뷭?_BOOKSHIP" xfId="13"/>
    <cellStyle name="콤마 [0]_1202" xfId="14"/>
    <cellStyle name="콤마_1202" xfId="15"/>
    <cellStyle name="통화 [0]_1202" xfId="16"/>
    <cellStyle name="통화_1202" xfId="17"/>
    <cellStyle name="표준_(정보부문)월별인원계획" xfId="18"/>
    <cellStyle name="표준_kc-elec system check list" xfId="19"/>
  </cellStyles>
  <dxfs count="0"/>
  <tableStyles count="0" defaultTableStyle="TableStyleMedium9" defaultPivotStyle="PivotStyleLight16"/>
  <colors>
    <mruColors>
      <color rgb="FF2604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7666303162486371"/>
          <c:y val="3.6858974358974367E-2"/>
          <c:w val="0.70992366412213748"/>
          <c:h val="0.84134615384615374"/>
        </c:manualLayout>
      </c:layout>
      <c:barChart>
        <c:barDir val="col"/>
        <c:grouping val="stacked"/>
        <c:ser>
          <c:idx val="0"/>
          <c:order val="0"/>
          <c:tx>
            <c:v>Ngắn hạn</c:v>
          </c:tx>
          <c:spPr>
            <a:solidFill>
              <a:srgbClr val="9999FF"/>
            </a:solidFill>
            <a:ln w="12700">
              <a:solidFill>
                <a:srgbClr val="000000"/>
              </a:solidFill>
              <a:prstDash val="solid"/>
            </a:ln>
          </c:spPr>
          <c:val>
            <c:numRef>
              <c:f>PTBD!$B$5:$G$5</c:f>
              <c:numCache>
                <c:formatCode>#,##0</c:formatCode>
                <c:ptCount val="6"/>
                <c:pt idx="0">
                  <c:v>5844829</c:v>
                </c:pt>
                <c:pt idx="1">
                  <c:v>5933709</c:v>
                </c:pt>
                <c:pt idx="2">
                  <c:v>5844829</c:v>
                </c:pt>
                <c:pt idx="3">
                  <c:v>5933709</c:v>
                </c:pt>
                <c:pt idx="4">
                  <c:v>4127123</c:v>
                </c:pt>
                <c:pt idx="5">
                  <c:v>3886032</c:v>
                </c:pt>
              </c:numCache>
            </c:numRef>
          </c:val>
          <c:extLst xmlns:c16r2="http://schemas.microsoft.com/office/drawing/2015/06/chart">
            <c:ext xmlns:c16="http://schemas.microsoft.com/office/drawing/2014/chart" uri="{C3380CC4-5D6E-409C-BE32-E72D297353CC}">
              <c16:uniqueId val="{00000000-C72E-495E-9F18-60D167E7F9E8}"/>
            </c:ext>
          </c:extLst>
        </c:ser>
        <c:ser>
          <c:idx val="1"/>
          <c:order val="1"/>
          <c:tx>
            <c:v>Dài hạn</c:v>
          </c:tx>
          <c:spPr>
            <a:solidFill>
              <a:srgbClr val="993366"/>
            </a:solidFill>
            <a:ln w="12700">
              <a:solidFill>
                <a:srgbClr val="000000"/>
              </a:solidFill>
              <a:prstDash val="solid"/>
            </a:ln>
          </c:spPr>
          <c:val>
            <c:numRef>
              <c:f>PTBD!$B$6:$G$6</c:f>
              <c:numCache>
                <c:formatCode>#,##0</c:formatCode>
                <c:ptCount val="6"/>
                <c:pt idx="0">
                  <c:v>3919533</c:v>
                </c:pt>
                <c:pt idx="1">
                  <c:v>3830652</c:v>
                </c:pt>
                <c:pt idx="2">
                  <c:v>3919533</c:v>
                </c:pt>
                <c:pt idx="3">
                  <c:v>3830652</c:v>
                </c:pt>
                <c:pt idx="4">
                  <c:v>3758327</c:v>
                </c:pt>
                <c:pt idx="5">
                  <c:v>3999415</c:v>
                </c:pt>
              </c:numCache>
            </c:numRef>
          </c:val>
          <c:extLst xmlns:c16r2="http://schemas.microsoft.com/office/drawing/2015/06/chart">
            <c:ext xmlns:c16="http://schemas.microsoft.com/office/drawing/2014/chart" uri="{C3380CC4-5D6E-409C-BE32-E72D297353CC}">
              <c16:uniqueId val="{00000001-C72E-495E-9F18-60D167E7F9E8}"/>
            </c:ext>
          </c:extLst>
        </c:ser>
        <c:dLbls/>
        <c:overlap val="100"/>
        <c:axId val="108779392"/>
        <c:axId val="108859392"/>
      </c:barChart>
      <c:catAx>
        <c:axId val="108779392"/>
        <c:scaling>
          <c:orientation val="minMax"/>
        </c:scaling>
        <c:axPos val="b"/>
        <c:title>
          <c:tx>
            <c:rich>
              <a:bodyPr/>
              <a:lstStyle/>
              <a:p>
                <a:pPr>
                  <a:defRPr sz="1200" b="1" i="0" u="none" strike="noStrike" baseline="0">
                    <a:solidFill>
                      <a:srgbClr val="000000"/>
                    </a:solidFill>
                    <a:latin typeface="Times New Roman"/>
                    <a:ea typeface="Times New Roman"/>
                    <a:cs typeface="Times New Roman"/>
                  </a:defRPr>
                </a:pPr>
                <a:r>
                  <a:rPr lang="en-US"/>
                  <a:t>Tài sản/nguồn vốn</a:t>
                </a:r>
              </a:p>
            </c:rich>
          </c:tx>
          <c:layout>
            <c:manualLayout>
              <c:xMode val="edge"/>
              <c:yMode val="edge"/>
              <c:x val="0.45692466389299602"/>
              <c:y val="0.9358973560508328"/>
            </c:manualLayout>
          </c:layout>
          <c:spPr>
            <a:noFill/>
            <a:ln w="25400">
              <a:noFill/>
            </a:ln>
          </c:spPr>
        </c:title>
        <c:numFmt formatCode="General" sourceLinked="1"/>
        <c:tickLblPos val="nextTo"/>
        <c:spPr>
          <a:ln w="3175">
            <a:solidFill>
              <a:srgbClr val="000000"/>
            </a:solidFill>
            <a:prstDash val="solid"/>
          </a:ln>
        </c:spPr>
        <c:txPr>
          <a:bodyPr rot="0" vert="horz"/>
          <a:lstStyle/>
          <a:p>
            <a:pPr>
              <a:defRPr sz="1200" b="0" i="0" u="none" strike="noStrike" baseline="0">
                <a:solidFill>
                  <a:srgbClr val="000000"/>
                </a:solidFill>
                <a:latin typeface=".VnTime"/>
                <a:ea typeface=".VnTime"/>
                <a:cs typeface=".VnTime"/>
              </a:defRPr>
            </a:pPr>
            <a:endParaRPr lang="en-US"/>
          </a:p>
        </c:txPr>
        <c:crossAx val="108859392"/>
        <c:crosses val="autoZero"/>
        <c:auto val="1"/>
        <c:lblAlgn val="ctr"/>
        <c:lblOffset val="100"/>
        <c:tickLblSkip val="1"/>
        <c:tickMarkSkip val="1"/>
      </c:catAx>
      <c:valAx>
        <c:axId val="108859392"/>
        <c:scaling>
          <c:orientation val="minMax"/>
        </c:scaling>
        <c:axPos val="l"/>
        <c:majorGridlines/>
        <c:title>
          <c:tx>
            <c:rich>
              <a:bodyPr/>
              <a:lstStyle/>
              <a:p>
                <a:pPr>
                  <a:defRPr sz="1200" b="1" i="0" u="none" strike="noStrike" baseline="0">
                    <a:solidFill>
                      <a:srgbClr val="000000"/>
                    </a:solidFill>
                    <a:latin typeface="Times New Roman"/>
                    <a:ea typeface="Times New Roman"/>
                    <a:cs typeface="Times New Roman"/>
                  </a:defRPr>
                </a:pPr>
                <a:r>
                  <a:rPr lang="en-US"/>
                  <a:t>Giá trị</a:t>
                </a:r>
              </a:p>
            </c:rich>
          </c:tx>
          <c:layout>
            <c:manualLayout>
              <c:xMode val="edge"/>
              <c:yMode val="edge"/>
              <c:x val="1.1995667572121168E-2"/>
              <c:y val="0.41826919940092239"/>
            </c:manualLayout>
          </c:layout>
          <c:spPr>
            <a:noFill/>
            <a:ln w="25400">
              <a:noFill/>
            </a:ln>
          </c:spPr>
        </c:title>
        <c:numFmt formatCode="#,##0" sourceLinked="1"/>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US"/>
          </a:p>
        </c:txPr>
        <c:crossAx val="108779392"/>
        <c:crosses val="autoZero"/>
        <c:crossBetween val="between"/>
      </c:valAx>
    </c:plotArea>
    <c:legend>
      <c:legendPos val="r"/>
      <c:layout>
        <c:manualLayout>
          <c:xMode val="edge"/>
          <c:yMode val="edge"/>
          <c:x val="0.89858233332187198"/>
          <c:y val="0.41826919940092239"/>
          <c:w val="9.70556682598082E-2"/>
          <c:h val="7.8525735130566321E-2"/>
        </c:manualLayout>
      </c:layout>
      <c:spPr>
        <a:solidFill>
          <a:srgbClr val="FFFFFF"/>
        </a:solidFill>
        <a:ln w="3175">
          <a:solidFill>
            <a:srgbClr val="000000"/>
          </a:solidFill>
          <a:prstDash val="solid"/>
        </a:ln>
      </c:spPr>
      <c:txPr>
        <a:bodyPr/>
        <a:lstStyle/>
        <a:p>
          <a:pPr>
            <a:defRPr sz="1010" b="0" i="0" u="none" strike="noStrike" baseline="0">
              <a:solidFill>
                <a:srgbClr val="000000"/>
              </a:solidFill>
              <a:latin typeface="Times New Roman"/>
              <a:ea typeface="Times New Roman"/>
              <a:cs typeface="Times New Roman"/>
            </a:defRPr>
          </a:pPr>
          <a:endParaRPr lang="en-US"/>
        </a:p>
      </c:txPr>
    </c:legend>
    <c:plotVisOnly val="1"/>
    <c:dispBlanksAs val="gap"/>
  </c:chart>
  <c:spPr>
    <a:noFill/>
    <a:ln w="9525">
      <a:noFill/>
    </a:ln>
  </c:spPr>
  <c:txPr>
    <a:bodyPr/>
    <a:lstStyle/>
    <a:p>
      <a:pPr>
        <a:defRPr sz="1200" b="0" i="0" u="none" strike="noStrike" baseline="0">
          <a:solidFill>
            <a:srgbClr val="000000"/>
          </a:solidFill>
          <a:latin typeface=".VnTime"/>
          <a:ea typeface=".VnTime"/>
          <a:cs typeface=".VnTime"/>
        </a:defRPr>
      </a:pPr>
      <a:endParaRPr lang="en-US"/>
    </a:p>
  </c:txPr>
  <c:printSettings>
    <c:headerFooter/>
    <c:pageMargins b="0.75000000000000011" l="0.70000000000000007" r="0.70000000000000007" t="0.75000000000000011" header="0.30000000000000004" footer="0.30000000000000004"/>
    <c:pageSetup/>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hyperlink" Target="#BCNHANH!A1"/><Relationship Id="rId13" Type="http://schemas.openxmlformats.org/officeDocument/2006/relationships/hyperlink" Target="#'KQKD-Word d&#7921; b&#225;o'!A1"/><Relationship Id="rId3" Type="http://schemas.openxmlformats.org/officeDocument/2006/relationships/hyperlink" Target="#PTTC!A1"/><Relationship Id="rId7" Type="http://schemas.openxmlformats.org/officeDocument/2006/relationships/hyperlink" Target="#'HMTD-DN'!A1"/><Relationship Id="rId12" Type="http://schemas.openxmlformats.org/officeDocument/2006/relationships/hyperlink" Target="#'DN-CIC-NCV'!A1"/><Relationship Id="rId2" Type="http://schemas.openxmlformats.org/officeDocument/2006/relationships/hyperlink" Target="#KQKD!A1"/><Relationship Id="rId1" Type="http://schemas.openxmlformats.org/officeDocument/2006/relationships/hyperlink" Target="#C&#272;KT!A1"/><Relationship Id="rId6" Type="http://schemas.openxmlformats.org/officeDocument/2006/relationships/hyperlink" Target="#Bieudo!A1"/><Relationship Id="rId11" Type="http://schemas.openxmlformats.org/officeDocument/2006/relationships/hyperlink" Target="#'SSKQ-Word'!A1"/><Relationship Id="rId5" Type="http://schemas.openxmlformats.org/officeDocument/2006/relationships/hyperlink" Target="#PTBD!A1"/><Relationship Id="rId10" Type="http://schemas.openxmlformats.org/officeDocument/2006/relationships/hyperlink" Target="#'KQKD-Word'!A1"/><Relationship Id="rId4" Type="http://schemas.openxmlformats.org/officeDocument/2006/relationships/hyperlink" Target="#SSKQ!A1"/><Relationship Id="rId9" Type="http://schemas.openxmlformats.org/officeDocument/2006/relationships/hyperlink" Target="#'C&#272;KT-Word'!A1"/><Relationship Id="rId14" Type="http://schemas.openxmlformats.org/officeDocument/2006/relationships/hyperlink" Target="#'HMTD-NH'!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1" Type="http://schemas.openxmlformats.org/officeDocument/2006/relationships/hyperlink" Target="#MENU!A1"/></Relationships>
</file>

<file path=xl/drawings/_rels/drawing13.xml.rels><?xml version="1.0" encoding="UTF-8" standalone="yes"?>
<Relationships xmlns="http://schemas.openxmlformats.org/package/2006/relationships"><Relationship Id="rId1" Type="http://schemas.openxmlformats.org/officeDocument/2006/relationships/hyperlink" Target="#MENU!A1"/></Relationships>
</file>

<file path=xl/drawings/_rels/drawing14.xml.rels><?xml version="1.0" encoding="UTF-8" standalone="yes"?>
<Relationships xmlns="http://schemas.openxmlformats.org/package/2006/relationships"><Relationship Id="rId1" Type="http://schemas.openxmlformats.org/officeDocument/2006/relationships/hyperlink" Target="#MENU!A1"/></Relationships>
</file>

<file path=xl/drawings/_rels/drawing15.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114299</xdr:colOff>
      <xdr:row>6</xdr:row>
      <xdr:rowOff>28575</xdr:rowOff>
    </xdr:from>
    <xdr:to>
      <xdr:col>6</xdr:col>
      <xdr:colOff>38100</xdr:colOff>
      <xdr:row>8</xdr:row>
      <xdr:rowOff>95250</xdr:rowOff>
    </xdr:to>
    <xdr:sp macro="" textlink="">
      <xdr:nvSpPr>
        <xdr:cNvPr id="3" name="Rounded Rectangle 2">
          <a:hlinkClick xmlns:r="http://schemas.openxmlformats.org/officeDocument/2006/relationships" r:id="rId1"/>
          <a:extLst>
            <a:ext uri="{FF2B5EF4-FFF2-40B4-BE49-F238E27FC236}">
              <a16:creationId xmlns="" xmlns:a16="http://schemas.microsoft.com/office/drawing/2014/main" id="{00000000-0008-0000-0000-000003000000}"/>
            </a:ext>
          </a:extLst>
        </xdr:cNvPr>
        <xdr:cNvSpPr/>
      </xdr:nvSpPr>
      <xdr:spPr>
        <a:xfrm>
          <a:off x="114299" y="1000125"/>
          <a:ext cx="2971801" cy="390525"/>
        </a:xfrm>
        <a:prstGeom prst="roundRect">
          <a:avLst/>
        </a:prstGeom>
        <a:gradFill>
          <a:gsLst>
            <a:gs pos="100000">
              <a:srgbClr val="FF0000"/>
            </a:gs>
            <a:gs pos="100000">
              <a:srgbClr val="FFC000"/>
            </a:gs>
            <a:gs pos="100000">
              <a:schemeClr val="accent6">
                <a:shade val="94000"/>
                <a:satMod val="135000"/>
              </a:schemeClr>
            </a:gs>
          </a:gsLst>
        </a:gra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NHẬP BẢNG CÂN ĐỐI KẾ TOÁN</a:t>
          </a:r>
        </a:p>
      </xdr:txBody>
    </xdr:sp>
    <xdr:clientData/>
  </xdr:twoCellAnchor>
  <xdr:twoCellAnchor>
    <xdr:from>
      <xdr:col>6</xdr:col>
      <xdr:colOff>200025</xdr:colOff>
      <xdr:row>6</xdr:row>
      <xdr:rowOff>28575</xdr:rowOff>
    </xdr:from>
    <xdr:to>
      <xdr:col>11</xdr:col>
      <xdr:colOff>371475</xdr:colOff>
      <xdr:row>8</xdr:row>
      <xdr:rowOff>95250</xdr:rowOff>
    </xdr:to>
    <xdr:sp macro="" textlink="">
      <xdr:nvSpPr>
        <xdr:cNvPr id="4" name="Rounded Rectangle 3">
          <a:hlinkClick xmlns:r="http://schemas.openxmlformats.org/officeDocument/2006/relationships" r:id="rId2"/>
          <a:extLst>
            <a:ext uri="{FF2B5EF4-FFF2-40B4-BE49-F238E27FC236}">
              <a16:creationId xmlns="" xmlns:a16="http://schemas.microsoft.com/office/drawing/2014/main" id="{00000000-0008-0000-0000-000004000000}"/>
            </a:ext>
          </a:extLst>
        </xdr:cNvPr>
        <xdr:cNvSpPr/>
      </xdr:nvSpPr>
      <xdr:spPr>
        <a:xfrm>
          <a:off x="3248025" y="1000125"/>
          <a:ext cx="3219450" cy="390525"/>
        </a:xfrm>
        <a:prstGeom prst="roundRect">
          <a:avLst/>
        </a:prstGeom>
        <a:gradFill>
          <a:gsLst>
            <a:gs pos="100000">
              <a:srgbClr val="FF0000"/>
            </a:gs>
            <a:gs pos="100000">
              <a:schemeClr val="accent6">
                <a:shade val="93000"/>
                <a:satMod val="130000"/>
              </a:schemeClr>
            </a:gs>
            <a:gs pos="100000">
              <a:schemeClr val="accent6">
                <a:shade val="94000"/>
                <a:satMod val="135000"/>
              </a:schemeClr>
            </a:gs>
          </a:gsLst>
        </a:gra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NHẬP BÁO CÁO KẾT QUẢ KINH DOANH</a:t>
          </a:r>
        </a:p>
      </xdr:txBody>
    </xdr:sp>
    <xdr:clientData/>
  </xdr:twoCellAnchor>
  <xdr:twoCellAnchor>
    <xdr:from>
      <xdr:col>1</xdr:col>
      <xdr:colOff>135254</xdr:colOff>
      <xdr:row>12</xdr:row>
      <xdr:rowOff>15240</xdr:rowOff>
    </xdr:from>
    <xdr:to>
      <xdr:col>6</xdr:col>
      <xdr:colOff>68579</xdr:colOff>
      <xdr:row>15</xdr:row>
      <xdr:rowOff>0</xdr:rowOff>
    </xdr:to>
    <xdr:sp macro="" textlink="">
      <xdr:nvSpPr>
        <xdr:cNvPr id="5" name="Rounded Rectangle 4">
          <a:hlinkClick xmlns:r="http://schemas.openxmlformats.org/officeDocument/2006/relationships" r:id="rId3"/>
          <a:extLst>
            <a:ext uri="{FF2B5EF4-FFF2-40B4-BE49-F238E27FC236}">
              <a16:creationId xmlns="" xmlns:a16="http://schemas.microsoft.com/office/drawing/2014/main" id="{00000000-0008-0000-0000-000005000000}"/>
            </a:ext>
          </a:extLst>
        </xdr:cNvPr>
        <xdr:cNvSpPr/>
      </xdr:nvSpPr>
      <xdr:spPr>
        <a:xfrm>
          <a:off x="432434" y="2415540"/>
          <a:ext cx="3057525" cy="487680"/>
        </a:xfrm>
        <a:prstGeom prst="round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KẾT QUẢ CÁC CHỈ TIÊU TÀI CHÍNH</a:t>
          </a:r>
        </a:p>
      </xdr:txBody>
    </xdr:sp>
    <xdr:clientData/>
  </xdr:twoCellAnchor>
  <xdr:twoCellAnchor>
    <xdr:from>
      <xdr:col>6</xdr:col>
      <xdr:colOff>203834</xdr:colOff>
      <xdr:row>12</xdr:row>
      <xdr:rowOff>38100</xdr:rowOff>
    </xdr:from>
    <xdr:to>
      <xdr:col>11</xdr:col>
      <xdr:colOff>342900</xdr:colOff>
      <xdr:row>15</xdr:row>
      <xdr:rowOff>0</xdr:rowOff>
    </xdr:to>
    <xdr:sp macro="" textlink="">
      <xdr:nvSpPr>
        <xdr:cNvPr id="6" name="Rounded Rectangle 5">
          <a:hlinkClick xmlns:r="http://schemas.openxmlformats.org/officeDocument/2006/relationships" r:id="rId4"/>
          <a:extLst>
            <a:ext uri="{FF2B5EF4-FFF2-40B4-BE49-F238E27FC236}">
              <a16:creationId xmlns="" xmlns:a16="http://schemas.microsoft.com/office/drawing/2014/main" id="{00000000-0008-0000-0000-000006000000}"/>
            </a:ext>
          </a:extLst>
        </xdr:cNvPr>
        <xdr:cNvSpPr/>
      </xdr:nvSpPr>
      <xdr:spPr>
        <a:xfrm>
          <a:off x="3625214" y="2438400"/>
          <a:ext cx="3263266" cy="464820"/>
        </a:xfrm>
        <a:prstGeom prst="round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SO SÁNH CÁC CHỈ TIÊU TÀI CHÍNH</a:t>
          </a:r>
        </a:p>
      </xdr:txBody>
    </xdr:sp>
    <xdr:clientData/>
  </xdr:twoCellAnchor>
  <xdr:twoCellAnchor>
    <xdr:from>
      <xdr:col>1</xdr:col>
      <xdr:colOff>129540</xdr:colOff>
      <xdr:row>25</xdr:row>
      <xdr:rowOff>1</xdr:rowOff>
    </xdr:from>
    <xdr:to>
      <xdr:col>6</xdr:col>
      <xdr:colOff>91440</xdr:colOff>
      <xdr:row>27</xdr:row>
      <xdr:rowOff>83821</xdr:rowOff>
    </xdr:to>
    <xdr:sp macro="" textlink="">
      <xdr:nvSpPr>
        <xdr:cNvPr id="7" name="Rounded Rectangle 6">
          <a:hlinkClick xmlns:r="http://schemas.openxmlformats.org/officeDocument/2006/relationships" r:id="rId5"/>
          <a:extLst>
            <a:ext uri="{FF2B5EF4-FFF2-40B4-BE49-F238E27FC236}">
              <a16:creationId xmlns="" xmlns:a16="http://schemas.microsoft.com/office/drawing/2014/main" id="{00000000-0008-0000-0000-000007000000}"/>
            </a:ext>
          </a:extLst>
        </xdr:cNvPr>
        <xdr:cNvSpPr/>
      </xdr:nvSpPr>
      <xdr:spPr>
        <a:xfrm>
          <a:off x="426720" y="4579621"/>
          <a:ext cx="3086100" cy="419100"/>
        </a:xfrm>
        <a:prstGeom prst="round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DỮ LIỆU CHO BIỂU ĐỒ</a:t>
          </a:r>
        </a:p>
      </xdr:txBody>
    </xdr:sp>
    <xdr:clientData/>
  </xdr:twoCellAnchor>
  <xdr:twoCellAnchor>
    <xdr:from>
      <xdr:col>6</xdr:col>
      <xdr:colOff>207644</xdr:colOff>
      <xdr:row>24</xdr:row>
      <xdr:rowOff>160021</xdr:rowOff>
    </xdr:from>
    <xdr:to>
      <xdr:col>11</xdr:col>
      <xdr:colOff>335280</xdr:colOff>
      <xdr:row>27</xdr:row>
      <xdr:rowOff>76201</xdr:rowOff>
    </xdr:to>
    <xdr:sp macro="" textlink="">
      <xdr:nvSpPr>
        <xdr:cNvPr id="8" name="Rounded Rectangle 7">
          <a:hlinkClick xmlns:r="http://schemas.openxmlformats.org/officeDocument/2006/relationships" r:id="rId6"/>
          <a:extLst>
            <a:ext uri="{FF2B5EF4-FFF2-40B4-BE49-F238E27FC236}">
              <a16:creationId xmlns="" xmlns:a16="http://schemas.microsoft.com/office/drawing/2014/main" id="{00000000-0008-0000-0000-000008000000}"/>
            </a:ext>
          </a:extLst>
        </xdr:cNvPr>
        <xdr:cNvSpPr/>
      </xdr:nvSpPr>
      <xdr:spPr>
        <a:xfrm>
          <a:off x="3629024" y="4572001"/>
          <a:ext cx="3251836" cy="419100"/>
        </a:xfrm>
        <a:prstGeom prst="round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XEM BIỂU ĐỒ </a:t>
          </a:r>
        </a:p>
      </xdr:txBody>
    </xdr:sp>
    <xdr:clientData/>
  </xdr:twoCellAnchor>
  <xdr:twoCellAnchor>
    <xdr:from>
      <xdr:col>1</xdr:col>
      <xdr:colOff>36194</xdr:colOff>
      <xdr:row>2</xdr:row>
      <xdr:rowOff>121920</xdr:rowOff>
    </xdr:from>
    <xdr:to>
      <xdr:col>11</xdr:col>
      <xdr:colOff>495300</xdr:colOff>
      <xdr:row>28</xdr:row>
      <xdr:rowOff>38100</xdr:rowOff>
    </xdr:to>
    <xdr:sp macro="" textlink="">
      <xdr:nvSpPr>
        <xdr:cNvPr id="2" name="Rectangle 1">
          <a:extLst>
            <a:ext uri="{FF2B5EF4-FFF2-40B4-BE49-F238E27FC236}">
              <a16:creationId xmlns="" xmlns:a16="http://schemas.microsoft.com/office/drawing/2014/main" id="{00000000-0008-0000-0000-000002000000}"/>
            </a:ext>
          </a:extLst>
        </xdr:cNvPr>
        <xdr:cNvSpPr/>
      </xdr:nvSpPr>
      <xdr:spPr>
        <a:xfrm>
          <a:off x="333374" y="457200"/>
          <a:ext cx="6707506" cy="46634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127634</xdr:colOff>
      <xdr:row>21</xdr:row>
      <xdr:rowOff>152401</xdr:rowOff>
    </xdr:from>
    <xdr:to>
      <xdr:col>6</xdr:col>
      <xdr:colOff>91440</xdr:colOff>
      <xdr:row>24</xdr:row>
      <xdr:rowOff>83821</xdr:rowOff>
    </xdr:to>
    <xdr:sp macro="" textlink="">
      <xdr:nvSpPr>
        <xdr:cNvPr id="9" name="Rounded Rectangle 6">
          <a:hlinkClick xmlns:r="http://schemas.openxmlformats.org/officeDocument/2006/relationships" r:id="rId7"/>
          <a:extLst>
            <a:ext uri="{FF2B5EF4-FFF2-40B4-BE49-F238E27FC236}">
              <a16:creationId xmlns="" xmlns:a16="http://schemas.microsoft.com/office/drawing/2014/main" id="{44DB1292-CB9A-44BA-8CA7-C2A5E40EB6AD}"/>
            </a:ext>
          </a:extLst>
        </xdr:cNvPr>
        <xdr:cNvSpPr/>
      </xdr:nvSpPr>
      <xdr:spPr>
        <a:xfrm>
          <a:off x="424814" y="4061461"/>
          <a:ext cx="3088006" cy="434340"/>
        </a:xfrm>
        <a:prstGeom prst="roundRect">
          <a:avLst/>
        </a:prstGeom>
        <a:gradFill>
          <a:gsLst>
            <a:gs pos="49000">
              <a:srgbClr val="FFC00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XÁC ĐỊNH HMTD THEO DN</a:t>
          </a:r>
        </a:p>
      </xdr:txBody>
    </xdr:sp>
    <xdr:clientData/>
  </xdr:twoCellAnchor>
  <xdr:twoCellAnchor>
    <xdr:from>
      <xdr:col>1</xdr:col>
      <xdr:colOff>150494</xdr:colOff>
      <xdr:row>15</xdr:row>
      <xdr:rowOff>91440</xdr:rowOff>
    </xdr:from>
    <xdr:to>
      <xdr:col>6</xdr:col>
      <xdr:colOff>83820</xdr:colOff>
      <xdr:row>18</xdr:row>
      <xdr:rowOff>60959</xdr:rowOff>
    </xdr:to>
    <xdr:sp macro="" textlink="">
      <xdr:nvSpPr>
        <xdr:cNvPr id="10" name="Rounded Rectangle 6">
          <a:hlinkClick xmlns:r="http://schemas.openxmlformats.org/officeDocument/2006/relationships" r:id="rId8"/>
          <a:extLst>
            <a:ext uri="{FF2B5EF4-FFF2-40B4-BE49-F238E27FC236}">
              <a16:creationId xmlns="" xmlns:a16="http://schemas.microsoft.com/office/drawing/2014/main" id="{5B1185D3-6882-48A1-B69F-2AD516746E18}"/>
            </a:ext>
          </a:extLst>
        </xdr:cNvPr>
        <xdr:cNvSpPr/>
      </xdr:nvSpPr>
      <xdr:spPr>
        <a:xfrm>
          <a:off x="447674" y="2994660"/>
          <a:ext cx="3057526" cy="472439"/>
        </a:xfrm>
        <a:prstGeom prst="roundRect">
          <a:avLst/>
        </a:prstGeom>
        <a:gradFill>
          <a:gsLst>
            <a:gs pos="57000">
              <a:srgbClr val="FF000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BÁO CÁO NHANH TÀI CHÍNH</a:t>
          </a:r>
        </a:p>
      </xdr:txBody>
    </xdr:sp>
    <xdr:clientData/>
  </xdr:twoCellAnchor>
  <xdr:twoCellAnchor>
    <xdr:from>
      <xdr:col>1</xdr:col>
      <xdr:colOff>123824</xdr:colOff>
      <xdr:row>9</xdr:row>
      <xdr:rowOff>15240</xdr:rowOff>
    </xdr:from>
    <xdr:to>
      <xdr:col>6</xdr:col>
      <xdr:colOff>60960</xdr:colOff>
      <xdr:row>11</xdr:row>
      <xdr:rowOff>106679</xdr:rowOff>
    </xdr:to>
    <xdr:sp macro="" textlink="">
      <xdr:nvSpPr>
        <xdr:cNvPr id="11" name="Rounded Rectangle 7">
          <a:hlinkClick xmlns:r="http://schemas.openxmlformats.org/officeDocument/2006/relationships" r:id="rId9"/>
          <a:extLst>
            <a:ext uri="{FF2B5EF4-FFF2-40B4-BE49-F238E27FC236}">
              <a16:creationId xmlns="" xmlns:a16="http://schemas.microsoft.com/office/drawing/2014/main" id="{22A06EBA-FAF1-46D8-984A-0E52E015F41A}"/>
            </a:ext>
          </a:extLst>
        </xdr:cNvPr>
        <xdr:cNvSpPr/>
      </xdr:nvSpPr>
      <xdr:spPr>
        <a:xfrm>
          <a:off x="421004" y="1912620"/>
          <a:ext cx="3061336" cy="426719"/>
        </a:xfrm>
        <a:prstGeom prst="roundRect">
          <a:avLst/>
        </a:prstGeom>
        <a:gradFill>
          <a:gsLst>
            <a:gs pos="100000">
              <a:srgbClr val="00B05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BẢNG CÂN ĐỐI KẾ TOÁN- WORD</a:t>
          </a:r>
        </a:p>
      </xdr:txBody>
    </xdr:sp>
    <xdr:clientData/>
  </xdr:twoCellAnchor>
  <xdr:twoCellAnchor>
    <xdr:from>
      <xdr:col>6</xdr:col>
      <xdr:colOff>188594</xdr:colOff>
      <xdr:row>9</xdr:row>
      <xdr:rowOff>24765</xdr:rowOff>
    </xdr:from>
    <xdr:to>
      <xdr:col>11</xdr:col>
      <xdr:colOff>350520</xdr:colOff>
      <xdr:row>11</xdr:row>
      <xdr:rowOff>114300</xdr:rowOff>
    </xdr:to>
    <xdr:sp macro="" textlink="">
      <xdr:nvSpPr>
        <xdr:cNvPr id="12" name="Rounded Rectangle 6">
          <a:hlinkClick xmlns:r="http://schemas.openxmlformats.org/officeDocument/2006/relationships" r:id="rId10"/>
          <a:extLst>
            <a:ext uri="{FF2B5EF4-FFF2-40B4-BE49-F238E27FC236}">
              <a16:creationId xmlns="" xmlns:a16="http://schemas.microsoft.com/office/drawing/2014/main" id="{0AA5B410-94FE-4262-9415-724050899A07}"/>
            </a:ext>
          </a:extLst>
        </xdr:cNvPr>
        <xdr:cNvSpPr/>
      </xdr:nvSpPr>
      <xdr:spPr>
        <a:xfrm>
          <a:off x="3609974" y="1922145"/>
          <a:ext cx="3286126" cy="424815"/>
        </a:xfrm>
        <a:prstGeom prst="roundRect">
          <a:avLst/>
        </a:prstGeom>
        <a:gradFill>
          <a:gsLst>
            <a:gs pos="100000">
              <a:srgbClr val="00B05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BÁO CÁO KQHĐKD - WORD</a:t>
          </a:r>
        </a:p>
      </xdr:txBody>
    </xdr:sp>
    <xdr:clientData/>
  </xdr:twoCellAnchor>
  <xdr:twoCellAnchor>
    <xdr:from>
      <xdr:col>1</xdr:col>
      <xdr:colOff>139064</xdr:colOff>
      <xdr:row>18</xdr:row>
      <xdr:rowOff>160021</xdr:rowOff>
    </xdr:from>
    <xdr:to>
      <xdr:col>6</xdr:col>
      <xdr:colOff>83820</xdr:colOff>
      <xdr:row>21</xdr:row>
      <xdr:rowOff>76201</xdr:rowOff>
    </xdr:to>
    <xdr:sp macro="" textlink="">
      <xdr:nvSpPr>
        <xdr:cNvPr id="13" name="Rounded Rectangle 7">
          <a:hlinkClick xmlns:r="http://schemas.openxmlformats.org/officeDocument/2006/relationships" r:id="rId11"/>
          <a:extLst>
            <a:ext uri="{FF2B5EF4-FFF2-40B4-BE49-F238E27FC236}">
              <a16:creationId xmlns="" xmlns:a16="http://schemas.microsoft.com/office/drawing/2014/main" id="{4AFB5354-2B69-4028-A012-AD6F4283E2C8}"/>
            </a:ext>
          </a:extLst>
        </xdr:cNvPr>
        <xdr:cNvSpPr/>
      </xdr:nvSpPr>
      <xdr:spPr>
        <a:xfrm>
          <a:off x="436244" y="3566161"/>
          <a:ext cx="3068956" cy="419100"/>
        </a:xfrm>
        <a:prstGeom prst="roundRect">
          <a:avLst/>
        </a:prstGeom>
        <a:gradFill>
          <a:gsLst>
            <a:gs pos="100000">
              <a:srgbClr val="00B05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CÁC CHỈ SỐ TÀI CHÍNH - WORD</a:t>
          </a:r>
        </a:p>
      </xdr:txBody>
    </xdr:sp>
    <xdr:clientData/>
  </xdr:twoCellAnchor>
  <xdr:twoCellAnchor>
    <xdr:from>
      <xdr:col>6</xdr:col>
      <xdr:colOff>220980</xdr:colOff>
      <xdr:row>15</xdr:row>
      <xdr:rowOff>108585</xdr:rowOff>
    </xdr:from>
    <xdr:to>
      <xdr:col>11</xdr:col>
      <xdr:colOff>327660</xdr:colOff>
      <xdr:row>18</xdr:row>
      <xdr:rowOff>53340</xdr:rowOff>
    </xdr:to>
    <xdr:sp macro="" textlink="">
      <xdr:nvSpPr>
        <xdr:cNvPr id="14" name="Rounded Rectangle 6">
          <a:hlinkClick xmlns:r="http://schemas.openxmlformats.org/officeDocument/2006/relationships" r:id="rId12"/>
          <a:extLst>
            <a:ext uri="{FF2B5EF4-FFF2-40B4-BE49-F238E27FC236}">
              <a16:creationId xmlns="" xmlns:a16="http://schemas.microsoft.com/office/drawing/2014/main" id="{3F19E90C-BD8A-4008-BDDB-ECE3B41A0574}"/>
            </a:ext>
          </a:extLst>
        </xdr:cNvPr>
        <xdr:cNvSpPr/>
      </xdr:nvSpPr>
      <xdr:spPr>
        <a:xfrm>
          <a:off x="3642360" y="3011805"/>
          <a:ext cx="3230880" cy="447675"/>
        </a:xfrm>
        <a:prstGeom prst="roundRect">
          <a:avLst/>
        </a:prstGeom>
        <a:gradFill>
          <a:gsLst>
            <a:gs pos="100000">
              <a:srgbClr val="FF000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THÔNG TIN CIC, D</a:t>
          </a:r>
          <a:r>
            <a:rPr lang="vi-VN" sz="1200" b="1">
              <a:latin typeface="Times New Roman" pitchFamily="18" charset="0"/>
              <a:cs typeface="Times New Roman" pitchFamily="18" charset="0"/>
            </a:rPr>
            <a:t>Ư</a:t>
          </a:r>
          <a:r>
            <a:rPr lang="en-US" sz="1200" b="1">
              <a:latin typeface="Times New Roman" pitchFamily="18" charset="0"/>
              <a:cs typeface="Times New Roman" pitchFamily="18" charset="0"/>
            </a:rPr>
            <a:t> NỢ, NHU CẦU VỐN</a:t>
          </a:r>
        </a:p>
      </xdr:txBody>
    </xdr:sp>
    <xdr:clientData/>
  </xdr:twoCellAnchor>
  <xdr:twoCellAnchor>
    <xdr:from>
      <xdr:col>6</xdr:col>
      <xdr:colOff>213360</xdr:colOff>
      <xdr:row>18</xdr:row>
      <xdr:rowOff>161925</xdr:rowOff>
    </xdr:from>
    <xdr:to>
      <xdr:col>11</xdr:col>
      <xdr:colOff>320040</xdr:colOff>
      <xdr:row>21</xdr:row>
      <xdr:rowOff>83820</xdr:rowOff>
    </xdr:to>
    <xdr:sp macro="" textlink="">
      <xdr:nvSpPr>
        <xdr:cNvPr id="15" name="Rounded Rectangle 6">
          <a:hlinkClick xmlns:r="http://schemas.openxmlformats.org/officeDocument/2006/relationships" r:id="rId13"/>
          <a:extLst>
            <a:ext uri="{FF2B5EF4-FFF2-40B4-BE49-F238E27FC236}">
              <a16:creationId xmlns="" xmlns:a16="http://schemas.microsoft.com/office/drawing/2014/main" id="{2BA9C4B0-EB1F-4F1B-B7DF-A5A0B7A16D5D}"/>
            </a:ext>
          </a:extLst>
        </xdr:cNvPr>
        <xdr:cNvSpPr/>
      </xdr:nvSpPr>
      <xdr:spPr>
        <a:xfrm>
          <a:off x="3634740" y="3568065"/>
          <a:ext cx="3230880" cy="424815"/>
        </a:xfrm>
        <a:prstGeom prst="roundRect">
          <a:avLst/>
        </a:prstGeom>
        <a:gradFill>
          <a:gsLst>
            <a:gs pos="100000">
              <a:srgbClr val="00B05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BÁO CÁO KQHĐKD DỰ BÁO - WORD</a:t>
          </a:r>
        </a:p>
      </xdr:txBody>
    </xdr:sp>
    <xdr:clientData/>
  </xdr:twoCellAnchor>
  <xdr:twoCellAnchor>
    <xdr:from>
      <xdr:col>6</xdr:col>
      <xdr:colOff>234314</xdr:colOff>
      <xdr:row>21</xdr:row>
      <xdr:rowOff>160021</xdr:rowOff>
    </xdr:from>
    <xdr:to>
      <xdr:col>11</xdr:col>
      <xdr:colOff>304800</xdr:colOff>
      <xdr:row>24</xdr:row>
      <xdr:rowOff>91441</xdr:rowOff>
    </xdr:to>
    <xdr:sp macro="" textlink="">
      <xdr:nvSpPr>
        <xdr:cNvPr id="16" name="Rounded Rectangle 6">
          <a:hlinkClick xmlns:r="http://schemas.openxmlformats.org/officeDocument/2006/relationships" r:id="rId14"/>
          <a:extLst>
            <a:ext uri="{FF2B5EF4-FFF2-40B4-BE49-F238E27FC236}">
              <a16:creationId xmlns="" xmlns:a16="http://schemas.microsoft.com/office/drawing/2014/main" id="{84D29E60-6D39-4A25-B0B6-2B06637987A4}"/>
            </a:ext>
          </a:extLst>
        </xdr:cNvPr>
        <xdr:cNvSpPr/>
      </xdr:nvSpPr>
      <xdr:spPr>
        <a:xfrm>
          <a:off x="3655694" y="4069081"/>
          <a:ext cx="3194686" cy="434340"/>
        </a:xfrm>
        <a:prstGeom prst="roundRect">
          <a:avLst/>
        </a:prstGeom>
        <a:gradFill>
          <a:gsLst>
            <a:gs pos="49000">
              <a:srgbClr val="FFC000"/>
            </a:gs>
            <a:gs pos="100000">
              <a:schemeClr val="accent5">
                <a:shade val="93000"/>
                <a:satMod val="130000"/>
              </a:schemeClr>
            </a:gs>
            <a:gs pos="100000">
              <a:schemeClr val="accent5">
                <a:shade val="94000"/>
                <a:satMod val="135000"/>
              </a:schemeClr>
            </a:gs>
          </a:gsLst>
        </a:gra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XÁC ĐỊNH HMTD THEO NH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57150</xdr:rowOff>
    </xdr:from>
    <xdr:to>
      <xdr:col>8</xdr:col>
      <xdr:colOff>57150</xdr:colOff>
      <xdr:row>1</xdr:row>
      <xdr:rowOff>257175</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7381875" y="57150"/>
          <a:ext cx="2105025" cy="39052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525780</xdr:colOff>
      <xdr:row>0</xdr:row>
      <xdr:rowOff>87630</xdr:rowOff>
    </xdr:from>
    <xdr:to>
      <xdr:col>9</xdr:col>
      <xdr:colOff>605790</xdr:colOff>
      <xdr:row>2</xdr:row>
      <xdr:rowOff>28575</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B78A0BCE-A795-40BA-82EC-044B7AB82D00}"/>
            </a:ext>
          </a:extLst>
        </xdr:cNvPr>
        <xdr:cNvSpPr/>
      </xdr:nvSpPr>
      <xdr:spPr>
        <a:xfrm>
          <a:off x="4937760" y="87630"/>
          <a:ext cx="750570" cy="34480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662940</xdr:colOff>
      <xdr:row>0</xdr:row>
      <xdr:rowOff>80010</xdr:rowOff>
    </xdr:from>
    <xdr:to>
      <xdr:col>8</xdr:col>
      <xdr:colOff>674370</xdr:colOff>
      <xdr:row>2</xdr:row>
      <xdr:rowOff>30480</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7CBBA15E-04B2-4496-BD8B-C77F9EBEDE44}"/>
            </a:ext>
          </a:extLst>
        </xdr:cNvPr>
        <xdr:cNvSpPr/>
      </xdr:nvSpPr>
      <xdr:spPr>
        <a:xfrm>
          <a:off x="7269480" y="80010"/>
          <a:ext cx="697230" cy="30099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678180</xdr:colOff>
      <xdr:row>0</xdr:row>
      <xdr:rowOff>49530</xdr:rowOff>
    </xdr:from>
    <xdr:to>
      <xdr:col>8</xdr:col>
      <xdr:colOff>742950</xdr:colOff>
      <xdr:row>1</xdr:row>
      <xdr:rowOff>167640</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00000000-0008-0000-0200-000002000000}"/>
            </a:ext>
          </a:extLst>
        </xdr:cNvPr>
        <xdr:cNvSpPr/>
      </xdr:nvSpPr>
      <xdr:spPr>
        <a:xfrm>
          <a:off x="5250180" y="49530"/>
          <a:ext cx="750570" cy="29337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678180</xdr:colOff>
      <xdr:row>0</xdr:row>
      <xdr:rowOff>49530</xdr:rowOff>
    </xdr:from>
    <xdr:to>
      <xdr:col>8</xdr:col>
      <xdr:colOff>742950</xdr:colOff>
      <xdr:row>1</xdr:row>
      <xdr:rowOff>167640</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0F307C01-1DAB-4A31-A022-343196A3F588}"/>
            </a:ext>
          </a:extLst>
        </xdr:cNvPr>
        <xdr:cNvSpPr/>
      </xdr:nvSpPr>
      <xdr:spPr>
        <a:xfrm>
          <a:off x="5250180" y="49530"/>
          <a:ext cx="750570" cy="29337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678180</xdr:colOff>
      <xdr:row>0</xdr:row>
      <xdr:rowOff>47626</xdr:rowOff>
    </xdr:from>
    <xdr:to>
      <xdr:col>7</xdr:col>
      <xdr:colOff>3810</xdr:colOff>
      <xdr:row>1</xdr:row>
      <xdr:rowOff>211456</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00000000-0008-0000-0300-000002000000}"/>
            </a:ext>
          </a:extLst>
        </xdr:cNvPr>
        <xdr:cNvSpPr/>
      </xdr:nvSpPr>
      <xdr:spPr>
        <a:xfrm>
          <a:off x="7025640" y="47626"/>
          <a:ext cx="712470" cy="30861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38660</xdr:colOff>
      <xdr:row>0</xdr:row>
      <xdr:rowOff>37540</xdr:rowOff>
    </xdr:from>
    <xdr:to>
      <xdr:col>6</xdr:col>
      <xdr:colOff>543485</xdr:colOff>
      <xdr:row>1</xdr:row>
      <xdr:rowOff>18490</xdr:rowOff>
    </xdr:to>
    <xdr:sp macro="" textlink="">
      <xdr:nvSpPr>
        <xdr:cNvPr id="1055" name="AutoShape 4">
          <a:extLst>
            <a:ext uri="{FF2B5EF4-FFF2-40B4-BE49-F238E27FC236}">
              <a16:creationId xmlns="" xmlns:a16="http://schemas.microsoft.com/office/drawing/2014/main" id="{00000000-0008-0000-0400-00001F040000}"/>
            </a:ext>
          </a:extLst>
        </xdr:cNvPr>
        <xdr:cNvSpPr>
          <a:spLocks noChangeArrowheads="1"/>
        </xdr:cNvSpPr>
      </xdr:nvSpPr>
      <xdr:spPr bwMode="auto">
        <a:xfrm>
          <a:off x="6869766" y="37540"/>
          <a:ext cx="504825" cy="240926"/>
        </a:xfrm>
        <a:prstGeom prst="rightArrow">
          <a:avLst>
            <a:gd name="adj1" fmla="val 50000"/>
            <a:gd name="adj2" fmla="val 41092"/>
          </a:avLst>
        </a:prstGeom>
        <a:solidFill>
          <a:srgbClr val="CC99FF"/>
        </a:solidFill>
        <a:ln w="9525">
          <a:solidFill>
            <a:srgbClr val="000000"/>
          </a:solidFill>
          <a:miter lim="800000"/>
          <a:headEnd/>
          <a:tailEnd/>
        </a:ln>
      </xdr:spPr>
    </xdr:sp>
    <xdr:clientData/>
  </xdr:twoCellAnchor>
  <xdr:twoCellAnchor>
    <xdr:from>
      <xdr:col>2</xdr:col>
      <xdr:colOff>62752</xdr:colOff>
      <xdr:row>0</xdr:row>
      <xdr:rowOff>0</xdr:rowOff>
    </xdr:from>
    <xdr:to>
      <xdr:col>3</xdr:col>
      <xdr:colOff>428625</xdr:colOff>
      <xdr:row>1</xdr:row>
      <xdr:rowOff>113179</xdr:rowOff>
    </xdr:to>
    <xdr:sp macro="" textlink="">
      <xdr:nvSpPr>
        <xdr:cNvPr id="3" name="Rounded Rectangle 2">
          <a:hlinkClick xmlns:r="http://schemas.openxmlformats.org/officeDocument/2006/relationships" r:id="rId1"/>
          <a:extLst>
            <a:ext uri="{FF2B5EF4-FFF2-40B4-BE49-F238E27FC236}">
              <a16:creationId xmlns="" xmlns:a16="http://schemas.microsoft.com/office/drawing/2014/main" id="{00000000-0008-0000-0400-000003000000}"/>
            </a:ext>
          </a:extLst>
        </xdr:cNvPr>
        <xdr:cNvSpPr/>
      </xdr:nvSpPr>
      <xdr:spPr>
        <a:xfrm>
          <a:off x="4338917" y="0"/>
          <a:ext cx="957543" cy="37315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47625</xdr:colOff>
      <xdr:row>0</xdr:row>
      <xdr:rowOff>28575</xdr:rowOff>
    </xdr:from>
    <xdr:to>
      <xdr:col>8</xdr:col>
      <xdr:colOff>552450</xdr:colOff>
      <xdr:row>1</xdr:row>
      <xdr:rowOff>9525</xdr:rowOff>
    </xdr:to>
    <xdr:sp macro="" textlink="">
      <xdr:nvSpPr>
        <xdr:cNvPr id="2" name="AutoShape 4">
          <a:extLst>
            <a:ext uri="{FF2B5EF4-FFF2-40B4-BE49-F238E27FC236}">
              <a16:creationId xmlns="" xmlns:a16="http://schemas.microsoft.com/office/drawing/2014/main" id="{77C01609-E655-4FAF-B584-642C3E5509E6}"/>
            </a:ext>
          </a:extLst>
        </xdr:cNvPr>
        <xdr:cNvSpPr>
          <a:spLocks noChangeArrowheads="1"/>
        </xdr:cNvSpPr>
      </xdr:nvSpPr>
      <xdr:spPr bwMode="auto">
        <a:xfrm>
          <a:off x="10243185" y="28575"/>
          <a:ext cx="504825" cy="240030"/>
        </a:xfrm>
        <a:prstGeom prst="rightArrow">
          <a:avLst>
            <a:gd name="adj1" fmla="val 50000"/>
            <a:gd name="adj2" fmla="val 41092"/>
          </a:avLst>
        </a:prstGeom>
        <a:solidFill>
          <a:srgbClr val="CC99FF"/>
        </a:solidFill>
        <a:ln w="9525">
          <a:solidFill>
            <a:srgbClr val="000000"/>
          </a:solidFill>
          <a:miter lim="800000"/>
          <a:headEnd/>
          <a:tailEnd/>
        </a:ln>
      </xdr:spPr>
    </xdr:sp>
    <xdr:clientData/>
  </xdr:twoCellAnchor>
  <xdr:twoCellAnchor>
    <xdr:from>
      <xdr:col>2</xdr:col>
      <xdr:colOff>60960</xdr:colOff>
      <xdr:row>0</xdr:row>
      <xdr:rowOff>44825</xdr:rowOff>
    </xdr:from>
    <xdr:to>
      <xdr:col>5</xdr:col>
      <xdr:colOff>190500</xdr:colOff>
      <xdr:row>1</xdr:row>
      <xdr:rowOff>45721</xdr:rowOff>
    </xdr:to>
    <xdr:sp macro="" textlink="">
      <xdr:nvSpPr>
        <xdr:cNvPr id="3" name="Rounded Rectangle 2">
          <a:hlinkClick xmlns:r="http://schemas.openxmlformats.org/officeDocument/2006/relationships" r:id="rId1"/>
          <a:extLst>
            <a:ext uri="{FF2B5EF4-FFF2-40B4-BE49-F238E27FC236}">
              <a16:creationId xmlns="" xmlns:a16="http://schemas.microsoft.com/office/drawing/2014/main" id="{BB75AF9B-4B6C-4132-AB8C-B560ABCB3F0A}"/>
            </a:ext>
          </a:extLst>
        </xdr:cNvPr>
        <xdr:cNvSpPr/>
      </xdr:nvSpPr>
      <xdr:spPr>
        <a:xfrm>
          <a:off x="3619500" y="44825"/>
          <a:ext cx="701040" cy="259976"/>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0</xdr:row>
      <xdr:rowOff>0</xdr:rowOff>
    </xdr:from>
    <xdr:to>
      <xdr:col>10</xdr:col>
      <xdr:colOff>140970</xdr:colOff>
      <xdr:row>0</xdr:row>
      <xdr:rowOff>344805</xdr:rowOff>
    </xdr:to>
    <xdr:sp macro="" textlink="">
      <xdr:nvSpPr>
        <xdr:cNvPr id="3" name="Rounded Rectangle 1">
          <a:hlinkClick xmlns:r="http://schemas.openxmlformats.org/officeDocument/2006/relationships" r:id="rId1"/>
          <a:extLst>
            <a:ext uri="{FF2B5EF4-FFF2-40B4-BE49-F238E27FC236}">
              <a16:creationId xmlns="" xmlns:a16="http://schemas.microsoft.com/office/drawing/2014/main" id="{A857D146-8A70-4F20-8B5A-8BA3EC3B172D}"/>
            </a:ext>
          </a:extLst>
        </xdr:cNvPr>
        <xdr:cNvSpPr/>
      </xdr:nvSpPr>
      <xdr:spPr>
        <a:xfrm>
          <a:off x="6789420" y="0"/>
          <a:ext cx="750570" cy="34480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0</xdr:row>
      <xdr:rowOff>0</xdr:rowOff>
    </xdr:from>
    <xdr:to>
      <xdr:col>5</xdr:col>
      <xdr:colOff>140970</xdr:colOff>
      <xdr:row>0</xdr:row>
      <xdr:rowOff>344805</xdr:rowOff>
    </xdr:to>
    <xdr:sp macro="" textlink="">
      <xdr:nvSpPr>
        <xdr:cNvPr id="3" name="Rounded Rectangle 1">
          <a:hlinkClick xmlns:r="http://schemas.openxmlformats.org/officeDocument/2006/relationships" r:id="rId1"/>
          <a:extLst>
            <a:ext uri="{FF2B5EF4-FFF2-40B4-BE49-F238E27FC236}">
              <a16:creationId xmlns="" xmlns:a16="http://schemas.microsoft.com/office/drawing/2014/main" id="{1DEF72A7-2A9E-4608-8074-152284E15BC7}"/>
            </a:ext>
          </a:extLst>
        </xdr:cNvPr>
        <xdr:cNvSpPr/>
      </xdr:nvSpPr>
      <xdr:spPr>
        <a:xfrm>
          <a:off x="5448300" y="0"/>
          <a:ext cx="750570" cy="34480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750570</xdr:colOff>
      <xdr:row>1</xdr:row>
      <xdr:rowOff>146685</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3B611FC4-A9C9-474F-A515-E6ADBC33C059}"/>
            </a:ext>
          </a:extLst>
        </xdr:cNvPr>
        <xdr:cNvSpPr/>
      </xdr:nvSpPr>
      <xdr:spPr>
        <a:xfrm>
          <a:off x="4724400" y="0"/>
          <a:ext cx="750570" cy="344805"/>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182880</xdr:colOff>
      <xdr:row>0</xdr:row>
      <xdr:rowOff>1</xdr:rowOff>
    </xdr:from>
    <xdr:to>
      <xdr:col>5</xdr:col>
      <xdr:colOff>0</xdr:colOff>
      <xdr:row>1</xdr:row>
      <xdr:rowOff>83821</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F7377202-8624-4635-9EA4-8851F960A194}"/>
            </a:ext>
          </a:extLst>
        </xdr:cNvPr>
        <xdr:cNvSpPr/>
      </xdr:nvSpPr>
      <xdr:spPr>
        <a:xfrm>
          <a:off x="4130040" y="1"/>
          <a:ext cx="735330" cy="28194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1724025</xdr:colOff>
      <xdr:row>0</xdr:row>
      <xdr:rowOff>114300</xdr:rowOff>
    </xdr:from>
    <xdr:to>
      <xdr:col>6</xdr:col>
      <xdr:colOff>257175</xdr:colOff>
      <xdr:row>2</xdr:row>
      <xdr:rowOff>171450</xdr:rowOff>
    </xdr:to>
    <xdr:sp macro="" textlink="">
      <xdr:nvSpPr>
        <xdr:cNvPr id="2" name="Rounded Rectangle 1">
          <a:hlinkClick xmlns:r="http://schemas.openxmlformats.org/officeDocument/2006/relationships" r:id="rId1"/>
          <a:extLst>
            <a:ext uri="{FF2B5EF4-FFF2-40B4-BE49-F238E27FC236}">
              <a16:creationId xmlns="" xmlns:a16="http://schemas.microsoft.com/office/drawing/2014/main" id="{00000000-0008-0000-0500-000002000000}"/>
            </a:ext>
          </a:extLst>
        </xdr:cNvPr>
        <xdr:cNvSpPr/>
      </xdr:nvSpPr>
      <xdr:spPr>
        <a:xfrm>
          <a:off x="7553325" y="114300"/>
          <a:ext cx="2105025" cy="43815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0</xdr:colOff>
      <xdr:row>4</xdr:row>
      <xdr:rowOff>0</xdr:rowOff>
    </xdr:from>
    <xdr:to>
      <xdr:col>17</xdr:col>
      <xdr:colOff>190500</xdr:colOff>
      <xdr:row>45</xdr:row>
      <xdr:rowOff>104775</xdr:rowOff>
    </xdr:to>
    <xdr:graphicFrame macro="">
      <xdr:nvGraphicFramePr>
        <xdr:cNvPr id="25609" name="Chart 1">
          <a:extLst>
            <a:ext uri="{FF2B5EF4-FFF2-40B4-BE49-F238E27FC236}">
              <a16:creationId xmlns="" xmlns:a16="http://schemas.microsoft.com/office/drawing/2014/main" id="{00000000-0008-0000-0600-00000964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142875</xdr:rowOff>
    </xdr:from>
    <xdr:to>
      <xdr:col>18</xdr:col>
      <xdr:colOff>276225</xdr:colOff>
      <xdr:row>3</xdr:row>
      <xdr:rowOff>95250</xdr:rowOff>
    </xdr:to>
    <xdr:sp macro="" textlink="">
      <xdr:nvSpPr>
        <xdr:cNvPr id="3" name="Rounded Rectangle 2">
          <a:hlinkClick xmlns:r="http://schemas.openxmlformats.org/officeDocument/2006/relationships" r:id="rId2"/>
          <a:extLst>
            <a:ext uri="{FF2B5EF4-FFF2-40B4-BE49-F238E27FC236}">
              <a16:creationId xmlns="" xmlns:a16="http://schemas.microsoft.com/office/drawing/2014/main" id="{00000000-0008-0000-0600-000003000000}"/>
            </a:ext>
          </a:extLst>
        </xdr:cNvPr>
        <xdr:cNvSpPr/>
      </xdr:nvSpPr>
      <xdr:spPr>
        <a:xfrm>
          <a:off x="9144000" y="142875"/>
          <a:ext cx="2105025" cy="438150"/>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US" sz="1200" b="1">
              <a:latin typeface="Times New Roman" pitchFamily="18" charset="0"/>
              <a:cs typeface="Times New Roman" pitchFamily="18" charset="0"/>
            </a:rPr>
            <a:t>MENU</a:t>
          </a:r>
        </a:p>
      </xdr:txBody>
    </xdr:sp>
    <xdr:clientData/>
  </xdr:twoCellAnchor>
</xdr:wsDr>
</file>

<file path=xl/drawings/drawing16.xml><?xml version="1.0" encoding="utf-8"?>
<c:userShapes xmlns:c="http://schemas.openxmlformats.org/drawingml/2006/chart">
  <cdr:relSizeAnchor xmlns:cdr="http://schemas.openxmlformats.org/drawingml/2006/chartDrawing">
    <cdr:from>
      <cdr:x>0.213</cdr:x>
      <cdr:y>0.88725</cdr:y>
    </cdr:from>
    <cdr:to>
      <cdr:x>0.38275</cdr:x>
      <cdr:y>0.93675</cdr:y>
    </cdr:to>
    <cdr:sp macro="" textlink="">
      <cdr:nvSpPr>
        <cdr:cNvPr id="5121" name="Rectangle 1"/>
        <cdr:cNvSpPr>
          <a:spLocks xmlns:a="http://schemas.openxmlformats.org/drawingml/2006/main" noChangeArrowheads="1"/>
        </cdr:cNvSpPr>
      </cdr:nvSpPr>
      <cdr:spPr bwMode="auto">
        <a:xfrm xmlns:a="http://schemas.openxmlformats.org/drawingml/2006/main">
          <a:off x="1860433" y="5282375"/>
          <a:ext cx="1482668" cy="28975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vi-VN" sz="1200" b="0" i="0" u="none" strike="noStrike" baseline="0">
              <a:solidFill>
                <a:srgbClr val="000000"/>
              </a:solidFill>
              <a:latin typeface="+mj-lt"/>
            </a:rPr>
            <a:t>TS      năm 0      NV</a:t>
          </a:r>
        </a:p>
      </cdr:txBody>
    </cdr:sp>
  </cdr:relSizeAnchor>
  <cdr:relSizeAnchor xmlns:cdr="http://schemas.openxmlformats.org/drawingml/2006/chartDrawing">
    <cdr:from>
      <cdr:x>0.448</cdr:x>
      <cdr:y>0.88725</cdr:y>
    </cdr:from>
    <cdr:to>
      <cdr:x>0.61775</cdr:x>
      <cdr:y>0.93675</cdr:y>
    </cdr:to>
    <cdr:sp macro="" textlink="">
      <cdr:nvSpPr>
        <cdr:cNvPr id="5122" name="Rectangle 2"/>
        <cdr:cNvSpPr>
          <a:spLocks xmlns:a="http://schemas.openxmlformats.org/drawingml/2006/main" noChangeArrowheads="1"/>
        </cdr:cNvSpPr>
      </cdr:nvSpPr>
      <cdr:spPr bwMode="auto">
        <a:xfrm xmlns:a="http://schemas.openxmlformats.org/drawingml/2006/main">
          <a:off x="3913022" y="5282375"/>
          <a:ext cx="1482669" cy="28975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vi-VN" sz="1200" b="0" i="0" u="none" strike="noStrike" baseline="0">
              <a:solidFill>
                <a:srgbClr val="000000"/>
              </a:solidFill>
              <a:latin typeface="+mj-lt"/>
            </a:rPr>
            <a:t>TS       năm 1       NV</a:t>
          </a:r>
        </a:p>
      </cdr:txBody>
    </cdr:sp>
  </cdr:relSizeAnchor>
  <cdr:relSizeAnchor xmlns:cdr="http://schemas.openxmlformats.org/drawingml/2006/chartDrawing">
    <cdr:from>
      <cdr:x>0.6845</cdr:x>
      <cdr:y>0.88725</cdr:y>
    </cdr:from>
    <cdr:to>
      <cdr:x>0.854</cdr:x>
      <cdr:y>0.93675</cdr:y>
    </cdr:to>
    <cdr:sp macro="" textlink="">
      <cdr:nvSpPr>
        <cdr:cNvPr id="5124" name="Rectangle 4"/>
        <cdr:cNvSpPr>
          <a:spLocks xmlns:a="http://schemas.openxmlformats.org/drawingml/2006/main" noChangeArrowheads="1"/>
        </cdr:cNvSpPr>
      </cdr:nvSpPr>
      <cdr:spPr bwMode="auto">
        <a:xfrm xmlns:a="http://schemas.openxmlformats.org/drawingml/2006/main">
          <a:off x="5978714" y="5282375"/>
          <a:ext cx="1480485" cy="28975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vi-VN" sz="1200" b="0" i="0" u="none" strike="noStrike" baseline="0">
              <a:solidFill>
                <a:srgbClr val="000000"/>
              </a:solidFill>
              <a:latin typeface="+mj-lt"/>
            </a:rPr>
            <a:t>TS       năm 2       NV</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APC%20Enterprise/Export%20&amp;%20Import/Kh&#225;ch%20h&#224;ng%20ph&#225;p%20nh&#226;n/M&#7851;u%20s&#7889;%20s&#225;ch%20theo%20TT%2020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hongtinDN"/>
      <sheetName val="MENU"/>
      <sheetName val="NKC"/>
      <sheetName val="Nhap-Xuat"/>
      <sheetName val="Tổng hợp NXT"/>
      <sheetName val="DANHKHACHHANG"/>
      <sheetName val="CDPS"/>
      <sheetName val="CDKT"/>
      <sheetName val="BCKQKD"/>
      <sheetName val="KQHĐSXKD"/>
      <sheetName val="LCTTTT"/>
      <sheetName val="TMBCTC"/>
      <sheetName val="lc tte"/>
      <sheetName val="so chi tiet"/>
      <sheetName val="Phieu nhap"/>
      <sheetName val="Phieu xuat"/>
      <sheetName val="Thẻ kho"/>
      <sheetName val="SQTM111"/>
      <sheetName val="TGNH112"/>
      <sheetName val=" PhieuThu-Chi"/>
      <sheetName val="Phieuhoachtoan"/>
      <sheetName val="Sổ chi tiết.131"/>
      <sheetName val="Sổ chi tiết.331"/>
      <sheetName val="Sổ chi tiết.154"/>
      <sheetName val="dthu-cp"/>
      <sheetName val="Phan bo khau hao"/>
      <sheetName val="QTTNDN năm"/>
      <sheetName val="03-1A_TNDN"/>
      <sheetName val="03-2A_TNDN"/>
      <sheetName val="Bankechiphixuatoan"/>
      <sheetName val="03-3A_TNDN"/>
      <sheetName val="Sheet1"/>
    </sheetNames>
    <sheetDataSet>
      <sheetData sheetId="0"/>
      <sheetData sheetId="1"/>
      <sheetData sheetId="2"/>
      <sheetData sheetId="3"/>
      <sheetData sheetId="4"/>
      <sheetData sheetId="5"/>
      <sheetData sheetId="6">
        <row r="11">
          <cell r="E11">
            <v>0</v>
          </cell>
          <cell r="F11">
            <v>0</v>
          </cell>
          <cell r="I11">
            <v>16444200000</v>
          </cell>
          <cell r="J11">
            <v>0</v>
          </cell>
        </row>
        <row r="12">
          <cell r="B12" t="str">
            <v>111</v>
          </cell>
          <cell r="E12">
            <v>0</v>
          </cell>
          <cell r="F12">
            <v>0</v>
          </cell>
          <cell r="I12">
            <v>16444200000</v>
          </cell>
          <cell r="J12">
            <v>0</v>
          </cell>
        </row>
        <row r="13">
          <cell r="B13" t="str">
            <v>111</v>
          </cell>
          <cell r="E13">
            <v>0</v>
          </cell>
          <cell r="F13">
            <v>0</v>
          </cell>
          <cell r="I13">
            <v>0</v>
          </cell>
          <cell r="J13">
            <v>0</v>
          </cell>
        </row>
        <row r="14">
          <cell r="B14" t="str">
            <v>111</v>
          </cell>
          <cell r="E14">
            <v>0</v>
          </cell>
          <cell r="F14">
            <v>0</v>
          </cell>
          <cell r="I14">
            <v>0</v>
          </cell>
          <cell r="J14">
            <v>0</v>
          </cell>
        </row>
        <row r="15">
          <cell r="E15">
            <v>0</v>
          </cell>
          <cell r="F15">
            <v>0</v>
          </cell>
          <cell r="I15">
            <v>1600000000</v>
          </cell>
          <cell r="J15">
            <v>0</v>
          </cell>
        </row>
        <row r="16">
          <cell r="B16" t="str">
            <v>111</v>
          </cell>
          <cell r="E16">
            <v>0</v>
          </cell>
          <cell r="F16">
            <v>0</v>
          </cell>
          <cell r="I16">
            <v>1600000000</v>
          </cell>
          <cell r="J16">
            <v>0</v>
          </cell>
        </row>
        <row r="17">
          <cell r="B17" t="str">
            <v>111</v>
          </cell>
          <cell r="E17">
            <v>0</v>
          </cell>
          <cell r="F17">
            <v>0</v>
          </cell>
          <cell r="I17">
            <v>0</v>
          </cell>
          <cell r="J17">
            <v>0</v>
          </cell>
        </row>
        <row r="18">
          <cell r="B18" t="str">
            <v>111</v>
          </cell>
          <cell r="E18">
            <v>0</v>
          </cell>
          <cell r="F18">
            <v>0</v>
          </cell>
          <cell r="I18">
            <v>0</v>
          </cell>
          <cell r="J18">
            <v>0</v>
          </cell>
        </row>
        <row r="19">
          <cell r="E19">
            <v>0</v>
          </cell>
          <cell r="F19">
            <v>0</v>
          </cell>
          <cell r="I19">
            <v>0</v>
          </cell>
          <cell r="J19">
            <v>0</v>
          </cell>
        </row>
        <row r="20">
          <cell r="B20" t="str">
            <v>111</v>
          </cell>
          <cell r="E20">
            <v>0</v>
          </cell>
          <cell r="F20">
            <v>0</v>
          </cell>
          <cell r="I20">
            <v>0</v>
          </cell>
          <cell r="J20">
            <v>0</v>
          </cell>
        </row>
        <row r="21">
          <cell r="B21" t="str">
            <v>111</v>
          </cell>
          <cell r="E21">
            <v>0</v>
          </cell>
          <cell r="F21">
            <v>0</v>
          </cell>
          <cell r="I21">
            <v>0</v>
          </cell>
          <cell r="J21">
            <v>0</v>
          </cell>
        </row>
        <row r="22">
          <cell r="E22">
            <v>0</v>
          </cell>
          <cell r="F22">
            <v>0</v>
          </cell>
          <cell r="I22">
            <v>0</v>
          </cell>
          <cell r="J22">
            <v>0</v>
          </cell>
        </row>
        <row r="23">
          <cell r="B23">
            <v>121</v>
          </cell>
          <cell r="E23">
            <v>0</v>
          </cell>
          <cell r="F23">
            <v>0</v>
          </cell>
          <cell r="I23">
            <v>0</v>
          </cell>
          <cell r="J23">
            <v>0</v>
          </cell>
        </row>
        <row r="24">
          <cell r="B24">
            <v>121</v>
          </cell>
          <cell r="E24">
            <v>0</v>
          </cell>
          <cell r="F24">
            <v>0</v>
          </cell>
          <cell r="I24">
            <v>0</v>
          </cell>
          <cell r="J24">
            <v>0</v>
          </cell>
        </row>
        <row r="25">
          <cell r="B25">
            <v>121</v>
          </cell>
          <cell r="E25">
            <v>0</v>
          </cell>
          <cell r="F25">
            <v>0</v>
          </cell>
          <cell r="I25">
            <v>0</v>
          </cell>
          <cell r="J25">
            <v>0</v>
          </cell>
        </row>
        <row r="26">
          <cell r="E26">
            <v>0</v>
          </cell>
          <cell r="F26">
            <v>0</v>
          </cell>
          <cell r="I26">
            <v>0</v>
          </cell>
          <cell r="J26">
            <v>0</v>
          </cell>
        </row>
        <row r="27">
          <cell r="B27">
            <v>123</v>
          </cell>
          <cell r="E27">
            <v>0</v>
          </cell>
          <cell r="F27">
            <v>0</v>
          </cell>
          <cell r="I27">
            <v>0</v>
          </cell>
          <cell r="J27">
            <v>0</v>
          </cell>
        </row>
        <row r="28">
          <cell r="B28">
            <v>123</v>
          </cell>
          <cell r="E28">
            <v>0</v>
          </cell>
          <cell r="F28">
            <v>0</v>
          </cell>
          <cell r="I28">
            <v>0</v>
          </cell>
          <cell r="J28">
            <v>0</v>
          </cell>
        </row>
        <row r="29">
          <cell r="B29">
            <v>135</v>
          </cell>
          <cell r="E29">
            <v>0</v>
          </cell>
          <cell r="F29">
            <v>0</v>
          </cell>
          <cell r="I29">
            <v>0</v>
          </cell>
          <cell r="J29">
            <v>0</v>
          </cell>
        </row>
        <row r="30">
          <cell r="B30">
            <v>123</v>
          </cell>
          <cell r="E30">
            <v>0</v>
          </cell>
          <cell r="F30">
            <v>0</v>
          </cell>
          <cell r="I30">
            <v>0</v>
          </cell>
          <cell r="J30">
            <v>0</v>
          </cell>
        </row>
        <row r="31">
          <cell r="B31">
            <v>131</v>
          </cell>
          <cell r="E31">
            <v>0</v>
          </cell>
          <cell r="F31">
            <v>0</v>
          </cell>
          <cell r="I31">
            <v>0</v>
          </cell>
          <cell r="J31">
            <v>0</v>
          </cell>
        </row>
        <row r="32">
          <cell r="E32">
            <v>0</v>
          </cell>
          <cell r="F32">
            <v>0</v>
          </cell>
          <cell r="I32">
            <v>259300000</v>
          </cell>
          <cell r="J32">
            <v>0</v>
          </cell>
        </row>
        <row r="33">
          <cell r="B33">
            <v>152</v>
          </cell>
          <cell r="E33">
            <v>0</v>
          </cell>
          <cell r="F33">
            <v>0</v>
          </cell>
          <cell r="I33">
            <v>259300000</v>
          </cell>
          <cell r="J33">
            <v>0</v>
          </cell>
        </row>
        <row r="34">
          <cell r="B34">
            <v>152</v>
          </cell>
          <cell r="E34">
            <v>0</v>
          </cell>
          <cell r="F34">
            <v>0</v>
          </cell>
          <cell r="I34">
            <v>0</v>
          </cell>
          <cell r="J34">
            <v>0</v>
          </cell>
        </row>
        <row r="35">
          <cell r="E35">
            <v>0</v>
          </cell>
          <cell r="F35">
            <v>0</v>
          </cell>
          <cell r="I35">
            <v>0</v>
          </cell>
          <cell r="J35">
            <v>0</v>
          </cell>
        </row>
        <row r="36">
          <cell r="B36">
            <v>133</v>
          </cell>
          <cell r="E36">
            <v>0</v>
          </cell>
          <cell r="F36">
            <v>0</v>
          </cell>
          <cell r="I36">
            <v>0</v>
          </cell>
          <cell r="J36">
            <v>0</v>
          </cell>
        </row>
        <row r="37">
          <cell r="B37">
            <v>133</v>
          </cell>
          <cell r="E37">
            <v>0</v>
          </cell>
          <cell r="F37">
            <v>0</v>
          </cell>
          <cell r="I37">
            <v>0</v>
          </cell>
          <cell r="J37">
            <v>0</v>
          </cell>
        </row>
        <row r="38">
          <cell r="B38">
            <v>133</v>
          </cell>
          <cell r="E38">
            <v>0</v>
          </cell>
          <cell r="F38">
            <v>0</v>
          </cell>
          <cell r="I38">
            <v>0</v>
          </cell>
          <cell r="J38">
            <v>0</v>
          </cell>
        </row>
        <row r="39">
          <cell r="B39">
            <v>133</v>
          </cell>
          <cell r="E39">
            <v>0</v>
          </cell>
          <cell r="F39">
            <v>0</v>
          </cell>
          <cell r="I39">
            <v>0</v>
          </cell>
          <cell r="J39">
            <v>0</v>
          </cell>
        </row>
        <row r="40">
          <cell r="E40">
            <v>0</v>
          </cell>
          <cell r="F40">
            <v>0</v>
          </cell>
          <cell r="I40">
            <v>0</v>
          </cell>
          <cell r="J40">
            <v>0</v>
          </cell>
        </row>
        <row r="41">
          <cell r="B41">
            <v>137</v>
          </cell>
          <cell r="E41">
            <v>0</v>
          </cell>
          <cell r="F41">
            <v>0</v>
          </cell>
          <cell r="I41">
            <v>0</v>
          </cell>
          <cell r="J41">
            <v>0</v>
          </cell>
        </row>
        <row r="42">
          <cell r="B42">
            <v>136</v>
          </cell>
          <cell r="E42">
            <v>0</v>
          </cell>
          <cell r="F42">
            <v>0</v>
          </cell>
          <cell r="I42">
            <v>0</v>
          </cell>
          <cell r="J42">
            <v>0</v>
          </cell>
        </row>
        <row r="43">
          <cell r="B43">
            <v>136</v>
          </cell>
          <cell r="E43">
            <v>0</v>
          </cell>
          <cell r="F43">
            <v>0</v>
          </cell>
          <cell r="I43">
            <v>0</v>
          </cell>
          <cell r="J43">
            <v>0</v>
          </cell>
        </row>
        <row r="44">
          <cell r="B44">
            <v>136</v>
          </cell>
          <cell r="E44">
            <v>0</v>
          </cell>
          <cell r="F44">
            <v>0</v>
          </cell>
          <cell r="I44">
            <v>0</v>
          </cell>
          <cell r="J44">
            <v>0</v>
          </cell>
        </row>
        <row r="45">
          <cell r="B45">
            <v>141</v>
          </cell>
          <cell r="E45">
            <v>0</v>
          </cell>
          <cell r="F45">
            <v>0</v>
          </cell>
          <cell r="I45">
            <v>0</v>
          </cell>
          <cell r="J45">
            <v>0</v>
          </cell>
        </row>
        <row r="46">
          <cell r="B46">
            <v>141</v>
          </cell>
          <cell r="E46">
            <v>0</v>
          </cell>
          <cell r="F46">
            <v>0</v>
          </cell>
          <cell r="I46">
            <v>0</v>
          </cell>
          <cell r="J46">
            <v>0</v>
          </cell>
        </row>
        <row r="47">
          <cell r="E47">
            <v>0</v>
          </cell>
          <cell r="F47">
            <v>0</v>
          </cell>
          <cell r="I47">
            <v>0</v>
          </cell>
          <cell r="J47">
            <v>0</v>
          </cell>
        </row>
        <row r="48">
          <cell r="B48">
            <v>141</v>
          </cell>
          <cell r="E48">
            <v>0</v>
          </cell>
          <cell r="F48">
            <v>0</v>
          </cell>
          <cell r="I48">
            <v>0</v>
          </cell>
          <cell r="J48">
            <v>0</v>
          </cell>
        </row>
        <row r="49">
          <cell r="B49">
            <v>141</v>
          </cell>
          <cell r="E49">
            <v>0</v>
          </cell>
          <cell r="F49">
            <v>0</v>
          </cell>
          <cell r="I49">
            <v>0</v>
          </cell>
          <cell r="J49">
            <v>0</v>
          </cell>
        </row>
        <row r="50">
          <cell r="B50">
            <v>141</v>
          </cell>
          <cell r="E50">
            <v>0</v>
          </cell>
          <cell r="F50">
            <v>0</v>
          </cell>
          <cell r="I50">
            <v>0</v>
          </cell>
          <cell r="J50">
            <v>0</v>
          </cell>
        </row>
        <row r="51">
          <cell r="B51">
            <v>141</v>
          </cell>
          <cell r="E51">
            <v>0</v>
          </cell>
          <cell r="F51">
            <v>0</v>
          </cell>
          <cell r="I51">
            <v>0</v>
          </cell>
          <cell r="J51">
            <v>0</v>
          </cell>
        </row>
        <row r="52">
          <cell r="B52">
            <v>141</v>
          </cell>
          <cell r="E52">
            <v>0</v>
          </cell>
          <cell r="F52">
            <v>0</v>
          </cell>
          <cell r="I52">
            <v>33361111</v>
          </cell>
          <cell r="J52">
            <v>0</v>
          </cell>
        </row>
        <row r="53">
          <cell r="E53">
            <v>0</v>
          </cell>
          <cell r="F53">
            <v>0</v>
          </cell>
          <cell r="I53">
            <v>0</v>
          </cell>
          <cell r="J53">
            <v>0</v>
          </cell>
        </row>
        <row r="54">
          <cell r="B54">
            <v>141</v>
          </cell>
          <cell r="E54">
            <v>0</v>
          </cell>
          <cell r="F54">
            <v>0</v>
          </cell>
          <cell r="I54">
            <v>0</v>
          </cell>
          <cell r="J54">
            <v>0</v>
          </cell>
        </row>
        <row r="55">
          <cell r="B55">
            <v>141</v>
          </cell>
          <cell r="E55">
            <v>0</v>
          </cell>
          <cell r="F55">
            <v>0</v>
          </cell>
          <cell r="I55">
            <v>0</v>
          </cell>
          <cell r="J55">
            <v>0</v>
          </cell>
        </row>
        <row r="56">
          <cell r="E56">
            <v>0</v>
          </cell>
          <cell r="F56">
            <v>0</v>
          </cell>
          <cell r="I56">
            <v>0</v>
          </cell>
          <cell r="J56">
            <v>0</v>
          </cell>
        </row>
        <row r="57">
          <cell r="B57">
            <v>141</v>
          </cell>
          <cell r="E57">
            <v>0</v>
          </cell>
          <cell r="F57">
            <v>0</v>
          </cell>
          <cell r="I57">
            <v>0</v>
          </cell>
          <cell r="J57">
            <v>0</v>
          </cell>
        </row>
        <row r="58">
          <cell r="B58">
            <v>141</v>
          </cell>
          <cell r="E58">
            <v>0</v>
          </cell>
          <cell r="F58">
            <v>0</v>
          </cell>
          <cell r="I58">
            <v>0</v>
          </cell>
          <cell r="J58">
            <v>0</v>
          </cell>
        </row>
        <row r="59">
          <cell r="B59">
            <v>141</v>
          </cell>
          <cell r="E59">
            <v>0</v>
          </cell>
          <cell r="F59">
            <v>0</v>
          </cell>
          <cell r="I59">
            <v>0</v>
          </cell>
          <cell r="J59">
            <v>0</v>
          </cell>
        </row>
        <row r="60">
          <cell r="B60">
            <v>141</v>
          </cell>
          <cell r="E60">
            <v>0</v>
          </cell>
          <cell r="F60">
            <v>0</v>
          </cell>
          <cell r="I60">
            <v>0</v>
          </cell>
          <cell r="J60">
            <v>0</v>
          </cell>
        </row>
        <row r="61">
          <cell r="B61">
            <v>141</v>
          </cell>
          <cell r="E61">
            <v>0</v>
          </cell>
          <cell r="F61">
            <v>0</v>
          </cell>
          <cell r="I61">
            <v>0</v>
          </cell>
          <cell r="J61">
            <v>0</v>
          </cell>
        </row>
        <row r="62">
          <cell r="B62" t="str">
            <v>154</v>
          </cell>
          <cell r="E62">
            <v>0</v>
          </cell>
          <cell r="F62">
            <v>0</v>
          </cell>
          <cell r="I62">
            <v>0</v>
          </cell>
          <cell r="J62">
            <v>0</v>
          </cell>
        </row>
        <row r="63">
          <cell r="E63">
            <v>0</v>
          </cell>
          <cell r="F63">
            <v>0</v>
          </cell>
          <cell r="I63">
            <v>2500000000</v>
          </cell>
          <cell r="J63">
            <v>0</v>
          </cell>
        </row>
        <row r="64">
          <cell r="B64">
            <v>222</v>
          </cell>
          <cell r="E64">
            <v>0</v>
          </cell>
          <cell r="F64">
            <v>0</v>
          </cell>
          <cell r="I64">
            <v>0</v>
          </cell>
          <cell r="J64">
            <v>0</v>
          </cell>
        </row>
        <row r="65">
          <cell r="B65">
            <v>222</v>
          </cell>
          <cell r="E65">
            <v>0</v>
          </cell>
          <cell r="F65">
            <v>0</v>
          </cell>
          <cell r="I65">
            <v>0</v>
          </cell>
          <cell r="J65">
            <v>0</v>
          </cell>
        </row>
        <row r="66">
          <cell r="B66">
            <v>222</v>
          </cell>
          <cell r="E66">
            <v>0</v>
          </cell>
          <cell r="F66">
            <v>0</v>
          </cell>
          <cell r="I66">
            <v>2500000000</v>
          </cell>
          <cell r="J66">
            <v>0</v>
          </cell>
        </row>
        <row r="67">
          <cell r="B67">
            <v>222</v>
          </cell>
          <cell r="E67">
            <v>0</v>
          </cell>
          <cell r="F67">
            <v>0</v>
          </cell>
          <cell r="I67">
            <v>0</v>
          </cell>
          <cell r="J67">
            <v>0</v>
          </cell>
        </row>
        <row r="68">
          <cell r="B68">
            <v>222</v>
          </cell>
          <cell r="E68">
            <v>0</v>
          </cell>
          <cell r="F68">
            <v>0</v>
          </cell>
          <cell r="I68">
            <v>0</v>
          </cell>
          <cell r="J68">
            <v>0</v>
          </cell>
        </row>
        <row r="69">
          <cell r="B69">
            <v>222</v>
          </cell>
          <cell r="E69">
            <v>0</v>
          </cell>
          <cell r="F69">
            <v>0</v>
          </cell>
          <cell r="I69">
            <v>0</v>
          </cell>
          <cell r="J69">
            <v>0</v>
          </cell>
        </row>
        <row r="70">
          <cell r="E70">
            <v>0</v>
          </cell>
          <cell r="F70">
            <v>0</v>
          </cell>
          <cell r="I70">
            <v>0</v>
          </cell>
          <cell r="J70">
            <v>0</v>
          </cell>
        </row>
        <row r="71">
          <cell r="B71" t="str">
            <v>225</v>
          </cell>
          <cell r="E71">
            <v>0</v>
          </cell>
          <cell r="F71">
            <v>0</v>
          </cell>
          <cell r="I71">
            <v>0</v>
          </cell>
          <cell r="J71">
            <v>0</v>
          </cell>
        </row>
        <row r="72">
          <cell r="B72" t="str">
            <v>225</v>
          </cell>
          <cell r="E72">
            <v>0</v>
          </cell>
          <cell r="F72">
            <v>0</v>
          </cell>
          <cell r="I72">
            <v>0</v>
          </cell>
          <cell r="J72">
            <v>0</v>
          </cell>
        </row>
        <row r="73">
          <cell r="E73">
            <v>0</v>
          </cell>
          <cell r="F73">
            <v>0</v>
          </cell>
          <cell r="I73">
            <v>0</v>
          </cell>
          <cell r="J73">
            <v>0</v>
          </cell>
        </row>
        <row r="74">
          <cell r="B74">
            <v>228</v>
          </cell>
          <cell r="E74">
            <v>0</v>
          </cell>
          <cell r="F74">
            <v>0</v>
          </cell>
          <cell r="I74">
            <v>0</v>
          </cell>
          <cell r="J74">
            <v>0</v>
          </cell>
        </row>
        <row r="75">
          <cell r="B75">
            <v>228</v>
          </cell>
          <cell r="E75">
            <v>0</v>
          </cell>
          <cell r="F75">
            <v>0</v>
          </cell>
          <cell r="I75">
            <v>0</v>
          </cell>
          <cell r="J75">
            <v>0</v>
          </cell>
        </row>
        <row r="76">
          <cell r="B76">
            <v>228</v>
          </cell>
          <cell r="E76">
            <v>0</v>
          </cell>
          <cell r="F76">
            <v>0</v>
          </cell>
          <cell r="I76">
            <v>0</v>
          </cell>
          <cell r="J76">
            <v>0</v>
          </cell>
        </row>
        <row r="77">
          <cell r="B77">
            <v>228</v>
          </cell>
          <cell r="E77">
            <v>0</v>
          </cell>
          <cell r="F77">
            <v>0</v>
          </cell>
          <cell r="I77">
            <v>0</v>
          </cell>
          <cell r="J77">
            <v>0</v>
          </cell>
        </row>
        <row r="78">
          <cell r="B78">
            <v>228</v>
          </cell>
          <cell r="E78">
            <v>0</v>
          </cell>
          <cell r="F78">
            <v>0</v>
          </cell>
          <cell r="I78">
            <v>0</v>
          </cell>
          <cell r="J78">
            <v>0</v>
          </cell>
        </row>
        <row r="79">
          <cell r="B79">
            <v>228</v>
          </cell>
          <cell r="E79">
            <v>0</v>
          </cell>
          <cell r="F79">
            <v>0</v>
          </cell>
          <cell r="I79">
            <v>0</v>
          </cell>
          <cell r="J79">
            <v>0</v>
          </cell>
        </row>
        <row r="80">
          <cell r="B80">
            <v>228</v>
          </cell>
          <cell r="E80">
            <v>0</v>
          </cell>
          <cell r="F80">
            <v>0</v>
          </cell>
          <cell r="I80">
            <v>0</v>
          </cell>
          <cell r="J80">
            <v>0</v>
          </cell>
        </row>
        <row r="81">
          <cell r="E81">
            <v>0</v>
          </cell>
          <cell r="F81">
            <v>0</v>
          </cell>
          <cell r="I81">
            <v>0</v>
          </cell>
          <cell r="J81">
            <v>41666667</v>
          </cell>
        </row>
        <row r="82">
          <cell r="B82">
            <v>223</v>
          </cell>
          <cell r="E82">
            <v>0</v>
          </cell>
          <cell r="F82">
            <v>0</v>
          </cell>
          <cell r="I82">
            <v>0</v>
          </cell>
          <cell r="J82">
            <v>41666667</v>
          </cell>
        </row>
        <row r="83">
          <cell r="B83">
            <v>226</v>
          </cell>
          <cell r="E83">
            <v>0</v>
          </cell>
          <cell r="F83">
            <v>0</v>
          </cell>
          <cell r="I83">
            <v>0</v>
          </cell>
          <cell r="J83">
            <v>0</v>
          </cell>
        </row>
        <row r="84">
          <cell r="B84">
            <v>229</v>
          </cell>
          <cell r="E84">
            <v>0</v>
          </cell>
          <cell r="F84">
            <v>0</v>
          </cell>
          <cell r="I84">
            <v>0</v>
          </cell>
          <cell r="J84">
            <v>0</v>
          </cell>
        </row>
        <row r="85">
          <cell r="B85" t="str">
            <v>232</v>
          </cell>
          <cell r="E85">
            <v>0</v>
          </cell>
          <cell r="F85">
            <v>0</v>
          </cell>
          <cell r="I85">
            <v>0</v>
          </cell>
          <cell r="J85">
            <v>0</v>
          </cell>
        </row>
        <row r="86">
          <cell r="B86" t="str">
            <v>231</v>
          </cell>
          <cell r="E86">
            <v>0</v>
          </cell>
          <cell r="F86">
            <v>0</v>
          </cell>
          <cell r="I86">
            <v>0</v>
          </cell>
          <cell r="J86">
            <v>0</v>
          </cell>
        </row>
        <row r="87">
          <cell r="B87">
            <v>251</v>
          </cell>
          <cell r="E87">
            <v>0</v>
          </cell>
          <cell r="F87">
            <v>0</v>
          </cell>
          <cell r="I87">
            <v>0</v>
          </cell>
          <cell r="J87">
            <v>0</v>
          </cell>
        </row>
        <row r="88">
          <cell r="B88">
            <v>252</v>
          </cell>
          <cell r="E88">
            <v>0</v>
          </cell>
          <cell r="F88">
            <v>0</v>
          </cell>
          <cell r="I88">
            <v>0</v>
          </cell>
          <cell r="J88">
            <v>0</v>
          </cell>
        </row>
        <row r="89">
          <cell r="E89">
            <v>0</v>
          </cell>
          <cell r="F89">
            <v>0</v>
          </cell>
          <cell r="I89">
            <v>0</v>
          </cell>
          <cell r="J89">
            <v>0</v>
          </cell>
        </row>
        <row r="90">
          <cell r="B90">
            <v>253</v>
          </cell>
          <cell r="E90">
            <v>0</v>
          </cell>
          <cell r="F90">
            <v>0</v>
          </cell>
          <cell r="I90">
            <v>0</v>
          </cell>
          <cell r="J90">
            <v>0</v>
          </cell>
        </row>
        <row r="91">
          <cell r="B91" t="str">
            <v>155</v>
          </cell>
          <cell r="E91">
            <v>0</v>
          </cell>
          <cell r="F91">
            <v>0</v>
          </cell>
          <cell r="I91">
            <v>0</v>
          </cell>
          <cell r="J91">
            <v>0</v>
          </cell>
        </row>
        <row r="92">
          <cell r="E92">
            <v>0</v>
          </cell>
          <cell r="F92">
            <v>0</v>
          </cell>
          <cell r="I92">
            <v>0</v>
          </cell>
          <cell r="J92">
            <v>0</v>
          </cell>
        </row>
        <row r="93">
          <cell r="B93">
            <v>122</v>
          </cell>
          <cell r="E93">
            <v>0</v>
          </cell>
          <cell r="F93">
            <v>0</v>
          </cell>
          <cell r="I93">
            <v>0</v>
          </cell>
          <cell r="J93">
            <v>0</v>
          </cell>
        </row>
        <row r="94">
          <cell r="B94">
            <v>254</v>
          </cell>
          <cell r="E94">
            <v>0</v>
          </cell>
          <cell r="F94">
            <v>0</v>
          </cell>
          <cell r="I94">
            <v>0</v>
          </cell>
          <cell r="J94">
            <v>0</v>
          </cell>
        </row>
        <row r="95">
          <cell r="B95">
            <v>139</v>
          </cell>
          <cell r="E95">
            <v>0</v>
          </cell>
          <cell r="F95">
            <v>0</v>
          </cell>
          <cell r="I95">
            <v>0</v>
          </cell>
          <cell r="J95">
            <v>0</v>
          </cell>
        </row>
        <row r="96">
          <cell r="B96">
            <v>149</v>
          </cell>
          <cell r="E96">
            <v>0</v>
          </cell>
          <cell r="F96">
            <v>0</v>
          </cell>
          <cell r="I96">
            <v>0</v>
          </cell>
          <cell r="J96">
            <v>0</v>
          </cell>
        </row>
        <row r="97">
          <cell r="E97">
            <v>0</v>
          </cell>
          <cell r="F97">
            <v>0</v>
          </cell>
          <cell r="I97">
            <v>0</v>
          </cell>
          <cell r="J97">
            <v>0</v>
          </cell>
        </row>
        <row r="98">
          <cell r="B98" t="str">
            <v>242</v>
          </cell>
          <cell r="E98">
            <v>0</v>
          </cell>
          <cell r="F98">
            <v>0</v>
          </cell>
          <cell r="I98">
            <v>0</v>
          </cell>
          <cell r="J98">
            <v>0</v>
          </cell>
        </row>
        <row r="99">
          <cell r="B99" t="str">
            <v>242</v>
          </cell>
          <cell r="E99">
            <v>0</v>
          </cell>
          <cell r="F99">
            <v>0</v>
          </cell>
          <cell r="I99">
            <v>0</v>
          </cell>
          <cell r="J99">
            <v>0</v>
          </cell>
        </row>
        <row r="100">
          <cell r="B100" t="str">
            <v>242</v>
          </cell>
          <cell r="E100">
            <v>0</v>
          </cell>
          <cell r="F100">
            <v>0</v>
          </cell>
          <cell r="I100">
            <v>0</v>
          </cell>
          <cell r="J100">
            <v>0</v>
          </cell>
        </row>
        <row r="101">
          <cell r="E101">
            <v>0</v>
          </cell>
          <cell r="F101">
            <v>0</v>
          </cell>
          <cell r="I101">
            <v>59055556</v>
          </cell>
          <cell r="J101">
            <v>0</v>
          </cell>
        </row>
        <row r="102">
          <cell r="B102">
            <v>151</v>
          </cell>
          <cell r="E102">
            <v>0</v>
          </cell>
          <cell r="F102">
            <v>0</v>
          </cell>
          <cell r="I102">
            <v>8166667</v>
          </cell>
          <cell r="J102">
            <v>0</v>
          </cell>
        </row>
        <row r="103">
          <cell r="B103">
            <v>261</v>
          </cell>
          <cell r="E103">
            <v>0</v>
          </cell>
          <cell r="F103">
            <v>0</v>
          </cell>
          <cell r="I103">
            <v>50888889</v>
          </cell>
          <cell r="J103">
            <v>0</v>
          </cell>
        </row>
        <row r="104">
          <cell r="B104">
            <v>262</v>
          </cell>
          <cell r="E104">
            <v>0</v>
          </cell>
          <cell r="F104">
            <v>0</v>
          </cell>
          <cell r="I104">
            <v>0</v>
          </cell>
          <cell r="J104">
            <v>0</v>
          </cell>
        </row>
        <row r="105">
          <cell r="B105">
            <v>216</v>
          </cell>
          <cell r="E105">
            <v>0</v>
          </cell>
          <cell r="F105">
            <v>0</v>
          </cell>
          <cell r="I105">
            <v>0</v>
          </cell>
          <cell r="J105">
            <v>0</v>
          </cell>
        </row>
        <row r="106">
          <cell r="B106">
            <v>311</v>
          </cell>
          <cell r="E106">
            <v>0</v>
          </cell>
          <cell r="F106">
            <v>0</v>
          </cell>
          <cell r="I106">
            <v>0</v>
          </cell>
          <cell r="J106">
            <v>1877500000</v>
          </cell>
        </row>
        <row r="107">
          <cell r="E107">
            <v>0</v>
          </cell>
          <cell r="F107">
            <v>0</v>
          </cell>
          <cell r="I107">
            <v>0</v>
          </cell>
          <cell r="J107">
            <v>2000000</v>
          </cell>
        </row>
        <row r="108">
          <cell r="B108" t="str">
            <v>313</v>
          </cell>
          <cell r="E108">
            <v>0</v>
          </cell>
          <cell r="F108">
            <v>0</v>
          </cell>
          <cell r="I108">
            <v>0</v>
          </cell>
          <cell r="J108">
            <v>2000000</v>
          </cell>
        </row>
        <row r="109">
          <cell r="B109" t="str">
            <v>313</v>
          </cell>
          <cell r="E109">
            <v>0</v>
          </cell>
          <cell r="F109">
            <v>0</v>
          </cell>
          <cell r="I109">
            <v>0</v>
          </cell>
          <cell r="J109">
            <v>0</v>
          </cell>
        </row>
        <row r="110">
          <cell r="B110" t="str">
            <v>313</v>
          </cell>
          <cell r="E110">
            <v>0</v>
          </cell>
          <cell r="F110">
            <v>0</v>
          </cell>
          <cell r="I110">
            <v>0</v>
          </cell>
          <cell r="J110">
            <v>0</v>
          </cell>
        </row>
        <row r="111">
          <cell r="B111" t="str">
            <v>313</v>
          </cell>
          <cell r="E111">
            <v>0</v>
          </cell>
          <cell r="F111">
            <v>0</v>
          </cell>
          <cell r="I111">
            <v>0</v>
          </cell>
          <cell r="J111">
            <v>0</v>
          </cell>
        </row>
        <row r="112">
          <cell r="B112" t="str">
            <v>313</v>
          </cell>
          <cell r="E112">
            <v>0</v>
          </cell>
          <cell r="F112">
            <v>0</v>
          </cell>
          <cell r="I112">
            <v>0</v>
          </cell>
          <cell r="J112">
            <v>0</v>
          </cell>
        </row>
        <row r="113">
          <cell r="B113" t="str">
            <v>313</v>
          </cell>
          <cell r="I113">
            <v>0</v>
          </cell>
          <cell r="J113">
            <v>0</v>
          </cell>
        </row>
        <row r="114">
          <cell r="B114" t="str">
            <v>313</v>
          </cell>
          <cell r="I114">
            <v>0</v>
          </cell>
          <cell r="J114">
            <v>0</v>
          </cell>
        </row>
        <row r="115">
          <cell r="B115" t="str">
            <v>313</v>
          </cell>
          <cell r="I115">
            <v>0</v>
          </cell>
          <cell r="J115">
            <v>0</v>
          </cell>
        </row>
        <row r="116">
          <cell r="B116" t="str">
            <v>313</v>
          </cell>
          <cell r="I116">
            <v>0</v>
          </cell>
          <cell r="J116">
            <v>0</v>
          </cell>
        </row>
        <row r="117">
          <cell r="B117" t="str">
            <v>313</v>
          </cell>
          <cell r="I117">
            <v>0</v>
          </cell>
          <cell r="J117">
            <v>0</v>
          </cell>
        </row>
        <row r="118">
          <cell r="E118">
            <v>0</v>
          </cell>
          <cell r="F118">
            <v>0</v>
          </cell>
          <cell r="I118">
            <v>0</v>
          </cell>
          <cell r="J118">
            <v>0</v>
          </cell>
        </row>
        <row r="119">
          <cell r="B119" t="str">
            <v>314</v>
          </cell>
          <cell r="E119">
            <v>0</v>
          </cell>
          <cell r="F119">
            <v>0</v>
          </cell>
          <cell r="I119">
            <v>0</v>
          </cell>
          <cell r="J119">
            <v>0</v>
          </cell>
        </row>
        <row r="120">
          <cell r="B120" t="str">
            <v>314</v>
          </cell>
          <cell r="E120">
            <v>0</v>
          </cell>
          <cell r="F120">
            <v>0</v>
          </cell>
          <cell r="I120">
            <v>0</v>
          </cell>
          <cell r="J120">
            <v>0</v>
          </cell>
        </row>
        <row r="121">
          <cell r="B121" t="str">
            <v>315</v>
          </cell>
          <cell r="E121">
            <v>0</v>
          </cell>
          <cell r="F121">
            <v>0</v>
          </cell>
          <cell r="I121">
            <v>0</v>
          </cell>
          <cell r="J121">
            <v>0</v>
          </cell>
        </row>
        <row r="122">
          <cell r="E122">
            <v>0</v>
          </cell>
          <cell r="F122">
            <v>0</v>
          </cell>
          <cell r="I122">
            <v>0</v>
          </cell>
          <cell r="J122">
            <v>0</v>
          </cell>
        </row>
        <row r="123">
          <cell r="B123" t="str">
            <v>334</v>
          </cell>
          <cell r="I123">
            <v>0</v>
          </cell>
          <cell r="J123">
            <v>0</v>
          </cell>
        </row>
        <row r="124">
          <cell r="B124" t="str">
            <v>316</v>
          </cell>
          <cell r="I124">
            <v>0</v>
          </cell>
          <cell r="J124">
            <v>0</v>
          </cell>
        </row>
        <row r="125">
          <cell r="B125" t="str">
            <v>316</v>
          </cell>
          <cell r="I125">
            <v>0</v>
          </cell>
          <cell r="J125">
            <v>0</v>
          </cell>
        </row>
        <row r="126">
          <cell r="B126" t="str">
            <v>316</v>
          </cell>
          <cell r="I126">
            <v>0</v>
          </cell>
          <cell r="J126">
            <v>0</v>
          </cell>
        </row>
        <row r="127">
          <cell r="B127" t="str">
            <v>317</v>
          </cell>
          <cell r="I127">
            <v>0</v>
          </cell>
          <cell r="J127">
            <v>0</v>
          </cell>
        </row>
        <row r="128">
          <cell r="E128">
            <v>0</v>
          </cell>
          <cell r="F128">
            <v>0</v>
          </cell>
          <cell r="I128">
            <v>0</v>
          </cell>
          <cell r="J128">
            <v>0</v>
          </cell>
        </row>
        <row r="129">
          <cell r="B129" t="str">
            <v>319</v>
          </cell>
          <cell r="I129">
            <v>0</v>
          </cell>
          <cell r="J129">
            <v>0</v>
          </cell>
        </row>
        <row r="130">
          <cell r="B130" t="str">
            <v>319</v>
          </cell>
          <cell r="I130">
            <v>0</v>
          </cell>
          <cell r="J130">
            <v>0</v>
          </cell>
        </row>
        <row r="131">
          <cell r="B131" t="str">
            <v>319</v>
          </cell>
          <cell r="I131">
            <v>0</v>
          </cell>
          <cell r="J131">
            <v>0</v>
          </cell>
        </row>
        <row r="132">
          <cell r="B132" t="str">
            <v>319</v>
          </cell>
          <cell r="I132">
            <v>0</v>
          </cell>
          <cell r="J132">
            <v>0</v>
          </cell>
        </row>
        <row r="133">
          <cell r="B133" t="str">
            <v>319</v>
          </cell>
          <cell r="I133">
            <v>0</v>
          </cell>
          <cell r="J133">
            <v>0</v>
          </cell>
        </row>
        <row r="134">
          <cell r="B134" t="str">
            <v>319</v>
          </cell>
          <cell r="I134">
            <v>0</v>
          </cell>
          <cell r="J134">
            <v>0</v>
          </cell>
        </row>
        <row r="135">
          <cell r="B135" t="str">
            <v>318</v>
          </cell>
          <cell r="I135">
            <v>0</v>
          </cell>
          <cell r="J135">
            <v>0</v>
          </cell>
        </row>
        <row r="136">
          <cell r="B136" t="str">
            <v>319</v>
          </cell>
          <cell r="I136">
            <v>0</v>
          </cell>
          <cell r="J136">
            <v>0</v>
          </cell>
        </row>
        <row r="137">
          <cell r="E137">
            <v>0</v>
          </cell>
          <cell r="F137">
            <v>0</v>
          </cell>
          <cell r="I137">
            <v>0</v>
          </cell>
          <cell r="J137">
            <v>0</v>
          </cell>
        </row>
        <row r="138">
          <cell r="B138" t="str">
            <v>320</v>
          </cell>
          <cell r="I138">
            <v>0</v>
          </cell>
          <cell r="J138">
            <v>0</v>
          </cell>
        </row>
        <row r="139">
          <cell r="B139" t="str">
            <v>320</v>
          </cell>
          <cell r="I139">
            <v>0</v>
          </cell>
          <cell r="J139">
            <v>0</v>
          </cell>
        </row>
        <row r="140">
          <cell r="E140">
            <v>0</v>
          </cell>
          <cell r="F140">
            <v>0</v>
          </cell>
          <cell r="I140">
            <v>0</v>
          </cell>
          <cell r="J140">
            <v>0</v>
          </cell>
        </row>
        <row r="141">
          <cell r="B141" t="str">
            <v>320</v>
          </cell>
          <cell r="I141">
            <v>0</v>
          </cell>
          <cell r="J141">
            <v>0</v>
          </cell>
        </row>
        <row r="142">
          <cell r="B142" t="str">
            <v>320</v>
          </cell>
          <cell r="I142">
            <v>0</v>
          </cell>
          <cell r="J142">
            <v>0</v>
          </cell>
        </row>
        <row r="143">
          <cell r="B143" t="str">
            <v>338</v>
          </cell>
          <cell r="I143">
            <v>0</v>
          </cell>
          <cell r="J143">
            <v>0</v>
          </cell>
        </row>
        <row r="144">
          <cell r="B144" t="str">
            <v>339</v>
          </cell>
          <cell r="I144">
            <v>0</v>
          </cell>
          <cell r="J144">
            <v>0</v>
          </cell>
        </row>
        <row r="145">
          <cell r="B145" t="str">
            <v>319</v>
          </cell>
          <cell r="I145">
            <v>0</v>
          </cell>
          <cell r="J145">
            <v>0</v>
          </cell>
        </row>
        <row r="146">
          <cell r="B146" t="str">
            <v>341</v>
          </cell>
          <cell r="I146">
            <v>0</v>
          </cell>
          <cell r="J146">
            <v>0</v>
          </cell>
        </row>
        <row r="147">
          <cell r="E147">
            <v>0</v>
          </cell>
          <cell r="F147">
            <v>0</v>
          </cell>
          <cell r="I147">
            <v>0</v>
          </cell>
          <cell r="J147">
            <v>0</v>
          </cell>
        </row>
        <row r="148">
          <cell r="B148" t="str">
            <v>321</v>
          </cell>
          <cell r="I148">
            <v>0</v>
          </cell>
          <cell r="J148">
            <v>0</v>
          </cell>
        </row>
        <row r="149">
          <cell r="B149" t="str">
            <v>321</v>
          </cell>
          <cell r="I149">
            <v>0</v>
          </cell>
          <cell r="J149">
            <v>0</v>
          </cell>
        </row>
        <row r="150">
          <cell r="B150" t="str">
            <v>321</v>
          </cell>
          <cell r="I150">
            <v>0</v>
          </cell>
          <cell r="J150">
            <v>0</v>
          </cell>
        </row>
        <row r="151">
          <cell r="B151" t="str">
            <v>321</v>
          </cell>
          <cell r="I151">
            <v>0</v>
          </cell>
          <cell r="J151">
            <v>0</v>
          </cell>
        </row>
        <row r="152">
          <cell r="E152">
            <v>0</v>
          </cell>
          <cell r="F152">
            <v>0</v>
          </cell>
          <cell r="I152">
            <v>0</v>
          </cell>
          <cell r="J152">
            <v>0</v>
          </cell>
        </row>
        <row r="153">
          <cell r="B153" t="str">
            <v>322</v>
          </cell>
          <cell r="I153">
            <v>0</v>
          </cell>
          <cell r="J153">
            <v>0</v>
          </cell>
        </row>
        <row r="154">
          <cell r="B154" t="str">
            <v>322</v>
          </cell>
          <cell r="I154">
            <v>0</v>
          </cell>
          <cell r="J154">
            <v>0</v>
          </cell>
        </row>
        <row r="155">
          <cell r="B155" t="str">
            <v>322</v>
          </cell>
          <cell r="I155">
            <v>0</v>
          </cell>
          <cell r="J155">
            <v>0</v>
          </cell>
        </row>
        <row r="156">
          <cell r="B156" t="str">
            <v>322</v>
          </cell>
          <cell r="I156">
            <v>0</v>
          </cell>
          <cell r="J156">
            <v>0</v>
          </cell>
        </row>
        <row r="157">
          <cell r="E157">
            <v>0</v>
          </cell>
          <cell r="F157">
            <v>0</v>
          </cell>
          <cell r="I157">
            <v>0</v>
          </cell>
          <cell r="J157">
            <v>0</v>
          </cell>
        </row>
        <row r="158">
          <cell r="B158" t="str">
            <v>343</v>
          </cell>
          <cell r="I158">
            <v>0</v>
          </cell>
          <cell r="J158">
            <v>0</v>
          </cell>
        </row>
        <row r="159">
          <cell r="B159" t="str">
            <v>343</v>
          </cell>
          <cell r="I159">
            <v>0</v>
          </cell>
          <cell r="J159">
            <v>0</v>
          </cell>
        </row>
        <row r="160">
          <cell r="B160" t="str">
            <v>323</v>
          </cell>
          <cell r="I160">
            <v>0</v>
          </cell>
          <cell r="J160">
            <v>0</v>
          </cell>
        </row>
        <row r="161">
          <cell r="E161">
            <v>0</v>
          </cell>
          <cell r="F161">
            <v>0</v>
          </cell>
          <cell r="I161">
            <v>0</v>
          </cell>
          <cell r="J161">
            <v>19000000000</v>
          </cell>
        </row>
        <row r="162">
          <cell r="B162">
            <v>411</v>
          </cell>
          <cell r="I162">
            <v>0</v>
          </cell>
          <cell r="J162">
            <v>19000000000</v>
          </cell>
        </row>
        <row r="163">
          <cell r="B163">
            <v>412</v>
          </cell>
          <cell r="I163">
            <v>0</v>
          </cell>
          <cell r="J163">
            <v>0</v>
          </cell>
        </row>
        <row r="164">
          <cell r="B164">
            <v>413</v>
          </cell>
          <cell r="I164">
            <v>0</v>
          </cell>
          <cell r="J164">
            <v>0</v>
          </cell>
        </row>
        <row r="165">
          <cell r="B165">
            <v>414</v>
          </cell>
          <cell r="I165">
            <v>0</v>
          </cell>
          <cell r="J165">
            <v>0</v>
          </cell>
        </row>
        <row r="166">
          <cell r="B166">
            <v>416</v>
          </cell>
          <cell r="E166">
            <v>0</v>
          </cell>
          <cell r="F166">
            <v>0</v>
          </cell>
          <cell r="I166">
            <v>0</v>
          </cell>
          <cell r="J166">
            <v>0</v>
          </cell>
        </row>
        <row r="167">
          <cell r="E167">
            <v>0</v>
          </cell>
          <cell r="F167">
            <v>0</v>
          </cell>
          <cell r="I167">
            <v>0</v>
          </cell>
          <cell r="J167">
            <v>0</v>
          </cell>
        </row>
        <row r="168">
          <cell r="B168">
            <v>417</v>
          </cell>
          <cell r="I168">
            <v>0</v>
          </cell>
          <cell r="J168">
            <v>0</v>
          </cell>
        </row>
        <row r="169">
          <cell r="B169">
            <v>417</v>
          </cell>
          <cell r="I169">
            <v>0</v>
          </cell>
          <cell r="J169">
            <v>0</v>
          </cell>
        </row>
        <row r="170">
          <cell r="B170" t="str">
            <v>418</v>
          </cell>
          <cell r="I170">
            <v>0</v>
          </cell>
          <cell r="J170">
            <v>0</v>
          </cell>
        </row>
        <row r="171">
          <cell r="B171">
            <v>419</v>
          </cell>
          <cell r="I171">
            <v>0</v>
          </cell>
          <cell r="J171">
            <v>0</v>
          </cell>
        </row>
        <row r="172">
          <cell r="B172">
            <v>420</v>
          </cell>
          <cell r="I172">
            <v>0</v>
          </cell>
          <cell r="J172">
            <v>0</v>
          </cell>
        </row>
        <row r="173">
          <cell r="B173">
            <v>415</v>
          </cell>
          <cell r="I173">
            <v>0</v>
          </cell>
          <cell r="J173">
            <v>0</v>
          </cell>
        </row>
        <row r="174">
          <cell r="E174">
            <v>0</v>
          </cell>
          <cell r="F174">
            <v>0</v>
          </cell>
          <cell r="I174">
            <v>25250000</v>
          </cell>
          <cell r="J174">
            <v>0</v>
          </cell>
        </row>
        <row r="175">
          <cell r="B175" t="str">
            <v>421a</v>
          </cell>
          <cell r="I175">
            <v>0</v>
          </cell>
          <cell r="J175">
            <v>0</v>
          </cell>
        </row>
        <row r="176">
          <cell r="B176" t="str">
            <v>421b</v>
          </cell>
          <cell r="I176">
            <v>25250000</v>
          </cell>
          <cell r="J176">
            <v>0</v>
          </cell>
        </row>
        <row r="177">
          <cell r="B177">
            <v>422</v>
          </cell>
          <cell r="I177">
            <v>0</v>
          </cell>
          <cell r="J177">
            <v>0</v>
          </cell>
        </row>
        <row r="178">
          <cell r="E178">
            <v>0</v>
          </cell>
          <cell r="F178">
            <v>0</v>
          </cell>
          <cell r="I178">
            <v>0</v>
          </cell>
          <cell r="J178">
            <v>0</v>
          </cell>
        </row>
        <row r="179">
          <cell r="I179">
            <v>0</v>
          </cell>
          <cell r="J179">
            <v>0</v>
          </cell>
        </row>
        <row r="180">
          <cell r="I180">
            <v>0</v>
          </cell>
          <cell r="J180">
            <v>0</v>
          </cell>
        </row>
        <row r="181">
          <cell r="I181">
            <v>0</v>
          </cell>
          <cell r="J181">
            <v>0</v>
          </cell>
        </row>
        <row r="182">
          <cell r="I182">
            <v>0</v>
          </cell>
          <cell r="J182">
            <v>0</v>
          </cell>
        </row>
        <row r="183">
          <cell r="I183">
            <v>0</v>
          </cell>
          <cell r="J183">
            <v>0</v>
          </cell>
        </row>
        <row r="184">
          <cell r="I184">
            <v>0</v>
          </cell>
          <cell r="J184">
            <v>0</v>
          </cell>
        </row>
        <row r="185">
          <cell r="I185">
            <v>0</v>
          </cell>
          <cell r="J185">
            <v>0</v>
          </cell>
        </row>
        <row r="186">
          <cell r="E186">
            <v>0</v>
          </cell>
          <cell r="F186">
            <v>0</v>
          </cell>
          <cell r="I186">
            <v>0</v>
          </cell>
          <cell r="J186">
            <v>0</v>
          </cell>
        </row>
        <row r="187">
          <cell r="I187">
            <v>0</v>
          </cell>
          <cell r="J187">
            <v>0</v>
          </cell>
        </row>
        <row r="188">
          <cell r="I188">
            <v>0</v>
          </cell>
          <cell r="J188">
            <v>0</v>
          </cell>
        </row>
        <row r="189">
          <cell r="I189">
            <v>0</v>
          </cell>
          <cell r="J189">
            <v>0</v>
          </cell>
        </row>
        <row r="190">
          <cell r="I190">
            <v>0</v>
          </cell>
          <cell r="J190">
            <v>0</v>
          </cell>
        </row>
        <row r="191">
          <cell r="I191">
            <v>0</v>
          </cell>
          <cell r="J191">
            <v>0</v>
          </cell>
        </row>
        <row r="192">
          <cell r="E192">
            <v>0</v>
          </cell>
          <cell r="F192">
            <v>0</v>
          </cell>
          <cell r="I192">
            <v>0</v>
          </cell>
          <cell r="J192">
            <v>0</v>
          </cell>
        </row>
        <row r="193">
          <cell r="I193">
            <v>0</v>
          </cell>
          <cell r="J193">
            <v>0</v>
          </cell>
        </row>
        <row r="194">
          <cell r="I194">
            <v>0</v>
          </cell>
          <cell r="J194">
            <v>0</v>
          </cell>
        </row>
        <row r="195">
          <cell r="I195">
            <v>0</v>
          </cell>
          <cell r="J195">
            <v>0</v>
          </cell>
        </row>
        <row r="196">
          <cell r="I196">
            <v>0</v>
          </cell>
          <cell r="J196">
            <v>0</v>
          </cell>
        </row>
        <row r="197">
          <cell r="E197">
            <v>0</v>
          </cell>
          <cell r="F197">
            <v>0</v>
          </cell>
          <cell r="I197">
            <v>0</v>
          </cell>
          <cell r="J197">
            <v>0</v>
          </cell>
        </row>
        <row r="198">
          <cell r="I198">
            <v>0</v>
          </cell>
          <cell r="J198">
            <v>0</v>
          </cell>
        </row>
        <row r="199">
          <cell r="I199">
            <v>0</v>
          </cell>
          <cell r="J199">
            <v>0</v>
          </cell>
        </row>
        <row r="200">
          <cell r="I200">
            <v>0</v>
          </cell>
          <cell r="J200">
            <v>0</v>
          </cell>
        </row>
        <row r="201">
          <cell r="I201">
            <v>0</v>
          </cell>
          <cell r="J201">
            <v>0</v>
          </cell>
        </row>
        <row r="202">
          <cell r="I202">
            <v>0</v>
          </cell>
          <cell r="J202">
            <v>0</v>
          </cell>
        </row>
        <row r="203">
          <cell r="I203">
            <v>0</v>
          </cell>
          <cell r="J203">
            <v>0</v>
          </cell>
        </row>
        <row r="204">
          <cell r="I204">
            <v>0</v>
          </cell>
          <cell r="J204">
            <v>0</v>
          </cell>
        </row>
        <row r="205">
          <cell r="E205">
            <v>0</v>
          </cell>
          <cell r="F205">
            <v>0</v>
          </cell>
          <cell r="I205">
            <v>0</v>
          </cell>
          <cell r="J205">
            <v>0</v>
          </cell>
        </row>
        <row r="206">
          <cell r="I206">
            <v>0</v>
          </cell>
          <cell r="J206">
            <v>0</v>
          </cell>
        </row>
        <row r="207">
          <cell r="I207">
            <v>0</v>
          </cell>
          <cell r="J207">
            <v>0</v>
          </cell>
        </row>
        <row r="208">
          <cell r="I208">
            <v>0</v>
          </cell>
          <cell r="J208">
            <v>0</v>
          </cell>
        </row>
        <row r="209">
          <cell r="I209">
            <v>0</v>
          </cell>
          <cell r="J209">
            <v>0</v>
          </cell>
        </row>
        <row r="210">
          <cell r="I210">
            <v>0</v>
          </cell>
          <cell r="J210">
            <v>0</v>
          </cell>
        </row>
        <row r="211">
          <cell r="I211">
            <v>0</v>
          </cell>
          <cell r="J211">
            <v>0</v>
          </cell>
        </row>
        <row r="212">
          <cell r="I212">
            <v>0</v>
          </cell>
          <cell r="J212">
            <v>0</v>
          </cell>
        </row>
        <row r="213">
          <cell r="I213">
            <v>0</v>
          </cell>
          <cell r="J213">
            <v>0</v>
          </cell>
        </row>
        <row r="214">
          <cell r="I214">
            <v>0</v>
          </cell>
          <cell r="J214">
            <v>0</v>
          </cell>
        </row>
        <row r="215">
          <cell r="I215">
            <v>0</v>
          </cell>
          <cell r="J215">
            <v>0</v>
          </cell>
        </row>
        <row r="216">
          <cell r="E216">
            <v>0</v>
          </cell>
          <cell r="F216">
            <v>0</v>
          </cell>
          <cell r="I216">
            <v>0</v>
          </cell>
          <cell r="J216">
            <v>0</v>
          </cell>
        </row>
        <row r="217">
          <cell r="E217">
            <v>0</v>
          </cell>
          <cell r="F217">
            <v>0</v>
          </cell>
          <cell r="I217">
            <v>0</v>
          </cell>
          <cell r="J217">
            <v>0</v>
          </cell>
        </row>
        <row r="218">
          <cell r="E218">
            <v>0</v>
          </cell>
          <cell r="F218">
            <v>0</v>
          </cell>
          <cell r="I218">
            <v>0</v>
          </cell>
          <cell r="J218">
            <v>0</v>
          </cell>
        </row>
        <row r="219">
          <cell r="E219">
            <v>0</v>
          </cell>
          <cell r="F219">
            <v>0</v>
          </cell>
          <cell r="I219">
            <v>0</v>
          </cell>
          <cell r="J219">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sheetPr codeName="Trang_tính1"/>
  <dimension ref="B1:T26"/>
  <sheetViews>
    <sheetView showGridLines="0" tabSelected="1" workbookViewId="0"/>
  </sheetViews>
  <sheetFormatPr defaultColWidth="9.140625" defaultRowHeight="12.75"/>
  <cols>
    <col min="1" max="1" width="4.28515625" style="76" customWidth="1"/>
    <col min="2" max="11" width="9.140625" style="76"/>
    <col min="12" max="12" width="7.42578125" style="76" customWidth="1"/>
    <col min="13" max="13" width="1.5703125" style="76" customWidth="1"/>
    <col min="14" max="16384" width="9.140625" style="76"/>
  </cols>
  <sheetData>
    <row r="1" spans="2:20">
      <c r="B1"/>
      <c r="C1"/>
      <c r="D1"/>
      <c r="E1"/>
      <c r="F1"/>
      <c r="G1"/>
      <c r="H1"/>
      <c r="I1"/>
      <c r="J1"/>
      <c r="K1"/>
      <c r="L1"/>
      <c r="M1"/>
      <c r="N1"/>
      <c r="O1"/>
      <c r="P1"/>
      <c r="Q1"/>
      <c r="R1"/>
      <c r="S1"/>
      <c r="T1"/>
    </row>
    <row r="2" spans="2:20">
      <c r="B2"/>
      <c r="C2"/>
      <c r="D2"/>
      <c r="E2"/>
      <c r="F2"/>
      <c r="G2"/>
      <c r="H2"/>
      <c r="I2"/>
      <c r="J2"/>
      <c r="K2"/>
      <c r="L2"/>
      <c r="M2"/>
      <c r="N2"/>
      <c r="O2"/>
      <c r="P2"/>
      <c r="Q2"/>
      <c r="R2"/>
      <c r="S2"/>
      <c r="T2"/>
    </row>
    <row r="3" spans="2:20">
      <c r="B3"/>
      <c r="C3"/>
      <c r="D3"/>
      <c r="E3"/>
      <c r="F3"/>
      <c r="G3"/>
      <c r="H3"/>
      <c r="I3"/>
      <c r="J3"/>
      <c r="K3"/>
      <c r="L3"/>
      <c r="M3"/>
      <c r="N3"/>
      <c r="O3"/>
      <c r="P3"/>
      <c r="Q3"/>
      <c r="R3"/>
      <c r="S3"/>
      <c r="T3"/>
    </row>
    <row r="4" spans="2:20">
      <c r="M4"/>
      <c r="N4"/>
      <c r="O4"/>
      <c r="P4"/>
      <c r="Q4"/>
      <c r="R4"/>
      <c r="S4"/>
      <c r="T4"/>
    </row>
    <row r="5" spans="2:20" ht="43.9" customHeight="1">
      <c r="B5" s="406" t="s">
        <v>431</v>
      </c>
      <c r="C5" s="407"/>
      <c r="D5" s="407"/>
      <c r="E5" s="407"/>
      <c r="F5" s="407"/>
      <c r="G5" s="407"/>
      <c r="H5" s="407"/>
      <c r="I5" s="407"/>
      <c r="J5" s="407"/>
      <c r="K5" s="407"/>
      <c r="L5" s="407"/>
      <c r="M5"/>
      <c r="N5"/>
      <c r="O5"/>
      <c r="P5"/>
      <c r="Q5"/>
      <c r="R5"/>
      <c r="S5"/>
      <c r="T5"/>
    </row>
    <row r="6" spans="2:20">
      <c r="B6"/>
      <c r="C6"/>
      <c r="D6"/>
      <c r="E6"/>
      <c r="F6"/>
      <c r="G6"/>
      <c r="H6"/>
      <c r="I6"/>
      <c r="J6"/>
      <c r="K6"/>
      <c r="L6"/>
      <c r="M6"/>
      <c r="N6"/>
      <c r="O6"/>
      <c r="P6"/>
      <c r="Q6"/>
      <c r="R6"/>
      <c r="S6"/>
      <c r="T6"/>
    </row>
    <row r="7" spans="2:20">
      <c r="B7"/>
      <c r="C7"/>
      <c r="D7"/>
      <c r="E7"/>
      <c r="F7"/>
      <c r="G7"/>
      <c r="H7"/>
      <c r="I7"/>
      <c r="J7"/>
      <c r="K7"/>
      <c r="L7"/>
      <c r="M7"/>
      <c r="N7"/>
      <c r="O7"/>
      <c r="P7"/>
      <c r="Q7"/>
      <c r="R7"/>
      <c r="S7"/>
      <c r="T7"/>
    </row>
    <row r="8" spans="2:20">
      <c r="B8"/>
      <c r="C8"/>
      <c r="D8"/>
      <c r="E8"/>
      <c r="F8"/>
      <c r="G8"/>
      <c r="H8"/>
      <c r="I8"/>
      <c r="J8"/>
      <c r="K8"/>
      <c r="L8"/>
      <c r="M8"/>
      <c r="N8"/>
      <c r="O8"/>
      <c r="P8"/>
      <c r="Q8"/>
      <c r="R8"/>
      <c r="S8"/>
      <c r="T8"/>
    </row>
    <row r="9" spans="2:20">
      <c r="B9"/>
      <c r="C9"/>
      <c r="D9"/>
      <c r="E9"/>
      <c r="F9"/>
      <c r="G9"/>
      <c r="H9"/>
      <c r="I9"/>
      <c r="J9"/>
      <c r="K9"/>
      <c r="L9"/>
      <c r="M9"/>
      <c r="N9"/>
      <c r="O9"/>
      <c r="P9"/>
      <c r="Q9"/>
      <c r="R9"/>
      <c r="S9"/>
      <c r="T9"/>
    </row>
    <row r="10" spans="2:20">
      <c r="B10"/>
      <c r="C10"/>
      <c r="D10"/>
      <c r="E10"/>
      <c r="F10"/>
      <c r="G10"/>
      <c r="H10"/>
      <c r="I10"/>
      <c r="J10"/>
      <c r="K10"/>
      <c r="L10"/>
      <c r="M10"/>
      <c r="N10"/>
      <c r="O10"/>
      <c r="P10"/>
      <c r="Q10"/>
      <c r="R10"/>
      <c r="S10"/>
      <c r="T10"/>
    </row>
    <row r="11" spans="2:20">
      <c r="B11"/>
      <c r="C11"/>
      <c r="D11"/>
      <c r="E11"/>
      <c r="F11"/>
      <c r="G11"/>
      <c r="H11"/>
      <c r="I11"/>
      <c r="J11"/>
      <c r="K11"/>
      <c r="L11"/>
      <c r="M11"/>
      <c r="N11"/>
      <c r="O11"/>
      <c r="P11"/>
      <c r="Q11"/>
      <c r="R11"/>
      <c r="S11"/>
      <c r="T11"/>
    </row>
    <row r="12" spans="2:20">
      <c r="B12"/>
      <c r="C12"/>
      <c r="D12"/>
      <c r="E12"/>
      <c r="F12"/>
      <c r="G12"/>
      <c r="H12"/>
      <c r="I12"/>
      <c r="J12"/>
      <c r="K12"/>
      <c r="L12"/>
      <c r="M12"/>
      <c r="N12"/>
      <c r="O12"/>
      <c r="P12"/>
      <c r="Q12"/>
      <c r="R12"/>
      <c r="S12"/>
      <c r="T12"/>
    </row>
    <row r="13" spans="2:20">
      <c r="B13"/>
      <c r="C13"/>
      <c r="D13"/>
      <c r="E13"/>
      <c r="F13"/>
      <c r="G13"/>
      <c r="H13"/>
      <c r="I13"/>
      <c r="J13"/>
      <c r="K13"/>
      <c r="L13"/>
      <c r="M13"/>
      <c r="N13"/>
      <c r="O13"/>
      <c r="P13"/>
      <c r="Q13"/>
      <c r="R13"/>
      <c r="S13"/>
      <c r="T13"/>
    </row>
    <row r="14" spans="2:20">
      <c r="B14"/>
      <c r="C14"/>
      <c r="D14"/>
      <c r="E14"/>
      <c r="F14"/>
      <c r="G14"/>
      <c r="H14"/>
      <c r="I14"/>
      <c r="J14"/>
      <c r="K14"/>
      <c r="L14"/>
      <c r="M14"/>
      <c r="N14"/>
      <c r="O14"/>
      <c r="P14"/>
      <c r="Q14"/>
      <c r="R14"/>
      <c r="S14"/>
      <c r="T14"/>
    </row>
    <row r="15" spans="2:20">
      <c r="B15"/>
      <c r="C15"/>
      <c r="D15"/>
      <c r="E15"/>
      <c r="F15"/>
      <c r="G15"/>
      <c r="H15"/>
      <c r="I15"/>
      <c r="J15"/>
      <c r="K15"/>
      <c r="L15"/>
      <c r="M15"/>
      <c r="N15"/>
      <c r="O15"/>
      <c r="P15"/>
      <c r="Q15"/>
      <c r="R15"/>
      <c r="S15"/>
      <c r="T15"/>
    </row>
    <row r="16" spans="2:20">
      <c r="B16"/>
      <c r="D16"/>
      <c r="E16"/>
      <c r="F16"/>
      <c r="G16"/>
      <c r="H16"/>
      <c r="I16"/>
      <c r="J16"/>
      <c r="K16"/>
      <c r="L16"/>
      <c r="M16"/>
      <c r="N16"/>
      <c r="O16"/>
      <c r="P16"/>
      <c r="Q16"/>
      <c r="R16"/>
      <c r="S16"/>
      <c r="T16"/>
    </row>
    <row r="17" spans="2:20">
      <c r="B17"/>
      <c r="C17"/>
      <c r="D17"/>
      <c r="E17"/>
      <c r="F17"/>
      <c r="G17"/>
      <c r="H17"/>
      <c r="I17"/>
      <c r="J17"/>
      <c r="K17"/>
      <c r="L17"/>
      <c r="M17"/>
      <c r="N17"/>
      <c r="O17"/>
      <c r="P17"/>
      <c r="Q17"/>
      <c r="R17"/>
      <c r="S17"/>
      <c r="T17"/>
    </row>
    <row r="18" spans="2:20">
      <c r="B18"/>
      <c r="C18"/>
      <c r="D18"/>
      <c r="E18"/>
      <c r="F18"/>
      <c r="G18"/>
      <c r="H18"/>
      <c r="I18"/>
      <c r="J18"/>
      <c r="K18"/>
      <c r="L18"/>
      <c r="M18"/>
      <c r="N18"/>
      <c r="O18"/>
      <c r="P18"/>
      <c r="Q18"/>
      <c r="R18"/>
      <c r="S18"/>
      <c r="T18"/>
    </row>
    <row r="19" spans="2:20">
      <c r="B19"/>
      <c r="C19"/>
      <c r="D19"/>
      <c r="E19"/>
      <c r="F19"/>
      <c r="G19"/>
      <c r="H19"/>
      <c r="I19"/>
      <c r="J19"/>
      <c r="K19"/>
      <c r="L19"/>
      <c r="M19"/>
      <c r="N19"/>
      <c r="O19"/>
      <c r="P19"/>
      <c r="Q19"/>
      <c r="R19"/>
      <c r="S19"/>
      <c r="T19"/>
    </row>
    <row r="20" spans="2:20">
      <c r="B20"/>
      <c r="C20"/>
      <c r="D20"/>
      <c r="E20"/>
      <c r="F20"/>
      <c r="G20"/>
      <c r="H20"/>
      <c r="I20"/>
      <c r="J20"/>
      <c r="K20"/>
      <c r="L20"/>
      <c r="M20"/>
      <c r="N20"/>
      <c r="O20"/>
      <c r="P20"/>
      <c r="Q20"/>
      <c r="R20"/>
      <c r="S20"/>
      <c r="T20"/>
    </row>
    <row r="21" spans="2:20">
      <c r="B21"/>
      <c r="C21"/>
      <c r="D21"/>
      <c r="E21"/>
      <c r="F21"/>
      <c r="G21"/>
      <c r="H21"/>
      <c r="I21"/>
      <c r="J21"/>
      <c r="K21"/>
      <c r="L21"/>
      <c r="M21"/>
      <c r="N21"/>
      <c r="O21"/>
      <c r="P21"/>
      <c r="Q21"/>
      <c r="R21"/>
      <c r="S21"/>
      <c r="T21"/>
    </row>
    <row r="22" spans="2:20">
      <c r="B22"/>
      <c r="C22"/>
      <c r="D22"/>
      <c r="E22"/>
      <c r="F22"/>
      <c r="G22"/>
      <c r="H22"/>
      <c r="I22"/>
      <c r="J22"/>
      <c r="K22"/>
      <c r="L22"/>
      <c r="M22"/>
      <c r="N22"/>
      <c r="O22"/>
      <c r="P22"/>
      <c r="Q22"/>
      <c r="R22"/>
      <c r="S22"/>
      <c r="T22"/>
    </row>
    <row r="23" spans="2:20">
      <c r="B23"/>
      <c r="C23"/>
      <c r="D23"/>
      <c r="E23"/>
      <c r="F23"/>
      <c r="G23"/>
      <c r="H23"/>
      <c r="I23"/>
      <c r="J23"/>
      <c r="K23"/>
      <c r="L23"/>
      <c r="M23"/>
      <c r="N23"/>
      <c r="O23"/>
      <c r="P23"/>
      <c r="Q23"/>
      <c r="R23"/>
      <c r="S23"/>
      <c r="T23"/>
    </row>
    <row r="24" spans="2:20">
      <c r="B24"/>
      <c r="C24"/>
      <c r="D24"/>
      <c r="E24"/>
      <c r="F24"/>
      <c r="G24"/>
      <c r="H24"/>
      <c r="I24"/>
      <c r="J24"/>
      <c r="K24"/>
      <c r="L24"/>
      <c r="M24"/>
      <c r="N24"/>
      <c r="O24"/>
      <c r="P24"/>
      <c r="Q24"/>
      <c r="R24"/>
      <c r="S24"/>
      <c r="T24"/>
    </row>
    <row r="25" spans="2:20">
      <c r="B25"/>
      <c r="C25"/>
      <c r="D25"/>
      <c r="E25"/>
      <c r="F25"/>
      <c r="G25"/>
      <c r="H25"/>
      <c r="I25"/>
      <c r="J25"/>
      <c r="K25"/>
      <c r="L25"/>
      <c r="M25"/>
      <c r="N25"/>
      <c r="O25"/>
      <c r="P25"/>
      <c r="Q25"/>
      <c r="R25"/>
      <c r="S25"/>
      <c r="T25"/>
    </row>
    <row r="26" spans="2:20">
      <c r="B26"/>
      <c r="C26"/>
      <c r="D26"/>
      <c r="E26"/>
      <c r="F26"/>
      <c r="G26"/>
      <c r="H26"/>
      <c r="I26"/>
      <c r="J26"/>
      <c r="K26"/>
      <c r="L26"/>
      <c r="M26"/>
      <c r="N26"/>
      <c r="O26"/>
      <c r="P26"/>
      <c r="Q26"/>
      <c r="R26"/>
      <c r="S26"/>
      <c r="T26"/>
    </row>
  </sheetData>
  <mergeCells count="1">
    <mergeCell ref="B5:L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sheetPr codeName="Trang_tính2">
    <tabColor rgb="FFFF0000"/>
  </sheetPr>
  <dimension ref="A2:H123"/>
  <sheetViews>
    <sheetView workbookViewId="0"/>
  </sheetViews>
  <sheetFormatPr defaultColWidth="9.140625" defaultRowHeight="15"/>
  <cols>
    <col min="1" max="1" width="4.140625" style="42" customWidth="1"/>
    <col min="2" max="2" width="32.7109375" style="42" customWidth="1"/>
    <col min="3" max="3" width="7.28515625" style="42" customWidth="1"/>
    <col min="4" max="7" width="10.140625" style="42" customWidth="1"/>
    <col min="8" max="8" width="0.28515625" style="42" hidden="1" customWidth="1"/>
    <col min="9" max="16384" width="9.140625" style="42"/>
  </cols>
  <sheetData>
    <row r="2" spans="1:7" ht="18" customHeight="1">
      <c r="A2" s="408" t="s">
        <v>26</v>
      </c>
      <c r="B2" s="409"/>
      <c r="C2" s="409"/>
      <c r="D2" s="409"/>
      <c r="E2" s="409"/>
      <c r="F2" s="409"/>
      <c r="G2" s="409"/>
    </row>
    <row r="4" spans="1:7">
      <c r="A4" s="410" t="s">
        <v>0</v>
      </c>
      <c r="B4" s="412" t="s">
        <v>27</v>
      </c>
      <c r="C4" s="410" t="s">
        <v>28</v>
      </c>
      <c r="D4" s="414" t="s">
        <v>30</v>
      </c>
      <c r="E4" s="415"/>
      <c r="F4" s="414" t="s">
        <v>72</v>
      </c>
      <c r="G4" s="415"/>
    </row>
    <row r="5" spans="1:7">
      <c r="A5" s="411"/>
      <c r="B5" s="413"/>
      <c r="C5" s="411"/>
      <c r="D5" s="318" t="s">
        <v>32</v>
      </c>
      <c r="E5" s="318" t="s">
        <v>31</v>
      </c>
      <c r="F5" s="318" t="s">
        <v>32</v>
      </c>
      <c r="G5" s="318" t="s">
        <v>31</v>
      </c>
    </row>
    <row r="6" spans="1:7">
      <c r="A6" s="31"/>
      <c r="B6" s="198" t="s">
        <v>218</v>
      </c>
      <c r="C6" s="31"/>
      <c r="D6" s="199"/>
      <c r="E6" s="199"/>
      <c r="F6" s="199"/>
      <c r="G6" s="199"/>
    </row>
    <row r="7" spans="1:7" ht="25.5">
      <c r="A7" s="264" t="s">
        <v>1</v>
      </c>
      <c r="B7" s="265" t="s">
        <v>279</v>
      </c>
      <c r="C7" s="266">
        <v>100</v>
      </c>
      <c r="D7" s="267">
        <f>D8+D11+D15+D24+D27</f>
        <v>5844829</v>
      </c>
      <c r="E7" s="267">
        <f>E8+E11+E15+E24+E27</f>
        <v>5844829</v>
      </c>
      <c r="F7" s="267">
        <f t="shared" ref="F7:G7" si="0">F8+F11+F15+F24+F27</f>
        <v>4127123</v>
      </c>
      <c r="G7" s="267">
        <f t="shared" si="0"/>
        <v>4127123</v>
      </c>
    </row>
    <row r="8" spans="1:7" ht="28.5">
      <c r="A8" s="268" t="s">
        <v>4</v>
      </c>
      <c r="B8" s="269" t="s">
        <v>274</v>
      </c>
      <c r="C8" s="268">
        <v>110</v>
      </c>
      <c r="D8" s="270">
        <f>D9+D10</f>
        <v>2004349</v>
      </c>
      <c r="E8" s="270">
        <f t="shared" ref="E8:G8" si="1">E9+E10</f>
        <v>2004349</v>
      </c>
      <c r="F8" s="270">
        <f t="shared" si="1"/>
        <v>396214</v>
      </c>
      <c r="G8" s="270">
        <f t="shared" si="1"/>
        <v>396214</v>
      </c>
    </row>
    <row r="9" spans="1:7">
      <c r="A9" s="46">
        <v>1</v>
      </c>
      <c r="B9" s="204" t="s">
        <v>272</v>
      </c>
      <c r="C9" s="200" t="s">
        <v>219</v>
      </c>
      <c r="D9" s="48">
        <v>1704000</v>
      </c>
      <c r="E9" s="48">
        <v>1704000</v>
      </c>
      <c r="F9" s="48">
        <v>295865</v>
      </c>
      <c r="G9" s="48">
        <v>295865</v>
      </c>
    </row>
    <row r="10" spans="1:7">
      <c r="A10" s="46">
        <v>2</v>
      </c>
      <c r="B10" s="204" t="s">
        <v>273</v>
      </c>
      <c r="C10" s="200">
        <v>112</v>
      </c>
      <c r="D10" s="48">
        <v>300349</v>
      </c>
      <c r="E10" s="48">
        <v>300349</v>
      </c>
      <c r="F10" s="48">
        <v>100349</v>
      </c>
      <c r="G10" s="48">
        <v>100349</v>
      </c>
    </row>
    <row r="11" spans="1:7" ht="28.5">
      <c r="A11" s="268" t="s">
        <v>5</v>
      </c>
      <c r="B11" s="269" t="s">
        <v>278</v>
      </c>
      <c r="C11" s="268">
        <v>120</v>
      </c>
      <c r="D11" s="270">
        <f>D12+D13+D14</f>
        <v>1600</v>
      </c>
      <c r="E11" s="270">
        <f t="shared" ref="E11:G11" si="2">E12+E13+E14</f>
        <v>1600</v>
      </c>
      <c r="F11" s="270">
        <f t="shared" si="2"/>
        <v>0</v>
      </c>
      <c r="G11" s="270">
        <f t="shared" si="2"/>
        <v>0</v>
      </c>
    </row>
    <row r="12" spans="1:7">
      <c r="A12" s="46">
        <v>1</v>
      </c>
      <c r="B12" s="204" t="s">
        <v>275</v>
      </c>
      <c r="C12" s="200">
        <v>121</v>
      </c>
      <c r="D12" s="48">
        <v>1700</v>
      </c>
      <c r="E12" s="48">
        <v>1700</v>
      </c>
      <c r="F12" s="48">
        <v>0</v>
      </c>
      <c r="G12" s="48">
        <v>0</v>
      </c>
    </row>
    <row r="13" spans="1:7" ht="30">
      <c r="A13" s="46">
        <v>2</v>
      </c>
      <c r="B13" s="204" t="s">
        <v>276</v>
      </c>
      <c r="C13" s="200">
        <v>122</v>
      </c>
      <c r="D13" s="48">
        <v>-100</v>
      </c>
      <c r="E13" s="48">
        <v>-100</v>
      </c>
      <c r="F13" s="48">
        <v>0</v>
      </c>
      <c r="G13" s="48">
        <v>0</v>
      </c>
    </row>
    <row r="14" spans="1:7">
      <c r="A14" s="46">
        <v>3</v>
      </c>
      <c r="B14" s="204" t="s">
        <v>277</v>
      </c>
      <c r="C14" s="200">
        <v>123</v>
      </c>
      <c r="D14" s="48">
        <v>0</v>
      </c>
      <c r="E14" s="48">
        <v>0</v>
      </c>
      <c r="F14" s="48">
        <v>0</v>
      </c>
      <c r="G14" s="48">
        <v>0</v>
      </c>
    </row>
    <row r="15" spans="1:7" ht="42.75">
      <c r="A15" s="268" t="s">
        <v>8</v>
      </c>
      <c r="B15" s="269" t="s">
        <v>280</v>
      </c>
      <c r="C15" s="268">
        <v>130</v>
      </c>
      <c r="D15" s="270">
        <f>SUM(D16:D23)</f>
        <v>1412543</v>
      </c>
      <c r="E15" s="270">
        <f>SUM(E16:E23)</f>
        <v>1412543</v>
      </c>
      <c r="F15" s="270">
        <f>SUM(F16:F23)</f>
        <v>938461</v>
      </c>
      <c r="G15" s="270">
        <f>SUM(G16:G23)</f>
        <v>938461</v>
      </c>
    </row>
    <row r="16" spans="1:7">
      <c r="A16" s="46">
        <v>1</v>
      </c>
      <c r="B16" s="204" t="s">
        <v>281</v>
      </c>
      <c r="C16" s="200">
        <v>131</v>
      </c>
      <c r="D16" s="48">
        <v>1052236</v>
      </c>
      <c r="E16" s="48">
        <v>1052236</v>
      </c>
      <c r="F16" s="48">
        <v>509498</v>
      </c>
      <c r="G16" s="48">
        <v>509498</v>
      </c>
    </row>
    <row r="17" spans="1:7">
      <c r="A17" s="46">
        <v>2</v>
      </c>
      <c r="B17" s="204" t="s">
        <v>282</v>
      </c>
      <c r="C17" s="200">
        <v>132</v>
      </c>
      <c r="D17" s="48">
        <v>480329</v>
      </c>
      <c r="E17" s="48">
        <v>480329</v>
      </c>
      <c r="F17" s="48">
        <v>404143</v>
      </c>
      <c r="G17" s="48">
        <v>404143</v>
      </c>
    </row>
    <row r="18" spans="1:7">
      <c r="A18" s="46">
        <v>3</v>
      </c>
      <c r="B18" s="204" t="s">
        <v>283</v>
      </c>
      <c r="C18" s="200">
        <v>133</v>
      </c>
      <c r="D18" s="48">
        <v>0</v>
      </c>
      <c r="E18" s="48">
        <v>0</v>
      </c>
      <c r="F18" s="48">
        <v>0</v>
      </c>
      <c r="G18" s="48">
        <v>0</v>
      </c>
    </row>
    <row r="19" spans="1:7" ht="30">
      <c r="A19" s="46">
        <v>4</v>
      </c>
      <c r="B19" s="204" t="s">
        <v>284</v>
      </c>
      <c r="C19" s="200">
        <v>134</v>
      </c>
      <c r="D19" s="48">
        <v>0</v>
      </c>
      <c r="E19" s="48">
        <v>0</v>
      </c>
      <c r="F19" s="48">
        <v>0</v>
      </c>
      <c r="G19" s="48">
        <v>0</v>
      </c>
    </row>
    <row r="20" spans="1:7">
      <c r="A20" s="46">
        <v>5</v>
      </c>
      <c r="B20" s="204" t="s">
        <v>285</v>
      </c>
      <c r="C20" s="200">
        <v>135</v>
      </c>
      <c r="D20" s="48">
        <v>0</v>
      </c>
      <c r="E20" s="48">
        <v>0</v>
      </c>
      <c r="F20" s="48">
        <v>0</v>
      </c>
      <c r="G20" s="48">
        <v>0</v>
      </c>
    </row>
    <row r="21" spans="1:7">
      <c r="A21" s="46">
        <v>6</v>
      </c>
      <c r="B21" s="204" t="s">
        <v>286</v>
      </c>
      <c r="C21" s="200">
        <v>136</v>
      </c>
      <c r="D21" s="48">
        <v>174616</v>
      </c>
      <c r="E21" s="48">
        <v>174616</v>
      </c>
      <c r="F21" s="48">
        <v>364179</v>
      </c>
      <c r="G21" s="48">
        <v>364179</v>
      </c>
    </row>
    <row r="22" spans="1:7">
      <c r="A22" s="46">
        <v>7</v>
      </c>
      <c r="B22" s="204" t="s">
        <v>287</v>
      </c>
      <c r="C22" s="200">
        <v>137</v>
      </c>
      <c r="D22" s="48">
        <v>60083</v>
      </c>
      <c r="E22" s="48">
        <v>60083</v>
      </c>
      <c r="F22" s="48">
        <v>6428</v>
      </c>
      <c r="G22" s="48">
        <v>6428</v>
      </c>
    </row>
    <row r="23" spans="1:7" ht="30">
      <c r="A23" s="46">
        <v>8</v>
      </c>
      <c r="B23" s="204" t="s">
        <v>288</v>
      </c>
      <c r="C23" s="200">
        <v>139</v>
      </c>
      <c r="D23" s="48">
        <v>-354721</v>
      </c>
      <c r="E23" s="48">
        <v>-354721</v>
      </c>
      <c r="F23" s="48">
        <v>-345787</v>
      </c>
      <c r="G23" s="48">
        <v>-345787</v>
      </c>
    </row>
    <row r="24" spans="1:7">
      <c r="A24" s="268" t="s">
        <v>9</v>
      </c>
      <c r="B24" s="269" t="s">
        <v>289</v>
      </c>
      <c r="C24" s="268">
        <v>140</v>
      </c>
      <c r="D24" s="270">
        <f>D25+D26</f>
        <v>2225065</v>
      </c>
      <c r="E24" s="270">
        <f>E25+E26</f>
        <v>2225065</v>
      </c>
      <c r="F24" s="270">
        <f>F25+F26</f>
        <v>2616859</v>
      </c>
      <c r="G24" s="270">
        <f>G25+G26</f>
        <v>2616859</v>
      </c>
    </row>
    <row r="25" spans="1:7">
      <c r="A25" s="46">
        <v>1</v>
      </c>
      <c r="B25" s="204" t="s">
        <v>35</v>
      </c>
      <c r="C25" s="200">
        <v>141</v>
      </c>
      <c r="D25" s="48">
        <v>2229006</v>
      </c>
      <c r="E25" s="48">
        <v>2229006</v>
      </c>
      <c r="F25" s="48">
        <v>2620718</v>
      </c>
      <c r="G25" s="48">
        <v>2620718</v>
      </c>
    </row>
    <row r="26" spans="1:7">
      <c r="A26" s="46">
        <v>2</v>
      </c>
      <c r="B26" s="204" t="s">
        <v>290</v>
      </c>
      <c r="C26" s="200">
        <v>149</v>
      </c>
      <c r="D26" s="48">
        <v>-3941</v>
      </c>
      <c r="E26" s="48">
        <v>-3941</v>
      </c>
      <c r="F26" s="48">
        <v>-3859</v>
      </c>
      <c r="G26" s="48">
        <v>-3859</v>
      </c>
    </row>
    <row r="27" spans="1:7" ht="28.5">
      <c r="A27" s="268" t="s">
        <v>10</v>
      </c>
      <c r="B27" s="269" t="s">
        <v>291</v>
      </c>
      <c r="C27" s="268">
        <v>150</v>
      </c>
      <c r="D27" s="270">
        <f>SUM(D28:D32)</f>
        <v>201272</v>
      </c>
      <c r="E27" s="270">
        <f>SUM(E28:E32)</f>
        <v>201272</v>
      </c>
      <c r="F27" s="270">
        <f>SUM(F28:F32)</f>
        <v>175589</v>
      </c>
      <c r="G27" s="270">
        <f>SUM(G28:G32)</f>
        <v>175589</v>
      </c>
    </row>
    <row r="28" spans="1:7">
      <c r="A28" s="46">
        <v>1</v>
      </c>
      <c r="B28" s="204" t="s">
        <v>220</v>
      </c>
      <c r="C28" s="200">
        <v>151</v>
      </c>
      <c r="D28" s="48">
        <v>161134</v>
      </c>
      <c r="E28" s="48">
        <v>161134</v>
      </c>
      <c r="F28" s="48">
        <v>120247</v>
      </c>
      <c r="G28" s="48">
        <v>120247</v>
      </c>
    </row>
    <row r="29" spans="1:7">
      <c r="A29" s="46">
        <v>2</v>
      </c>
      <c r="B29" s="204" t="s">
        <v>221</v>
      </c>
      <c r="C29" s="200">
        <v>152</v>
      </c>
      <c r="D29" s="48">
        <v>34995</v>
      </c>
      <c r="E29" s="48">
        <v>34995</v>
      </c>
      <c r="F29" s="48">
        <v>51187</v>
      </c>
      <c r="G29" s="48">
        <v>51187</v>
      </c>
    </row>
    <row r="30" spans="1:7" ht="30">
      <c r="A30" s="46">
        <v>3</v>
      </c>
      <c r="B30" s="204" t="s">
        <v>222</v>
      </c>
      <c r="C30" s="200" t="s">
        <v>223</v>
      </c>
      <c r="D30" s="48">
        <v>5143</v>
      </c>
      <c r="E30" s="48">
        <v>5143</v>
      </c>
      <c r="F30" s="48">
        <v>4155</v>
      </c>
      <c r="G30" s="48">
        <v>4155</v>
      </c>
    </row>
    <row r="31" spans="1:7" ht="30">
      <c r="A31" s="46">
        <v>4</v>
      </c>
      <c r="B31" s="204" t="s">
        <v>224</v>
      </c>
      <c r="C31" s="200" t="s">
        <v>225</v>
      </c>
      <c r="D31" s="48">
        <v>0</v>
      </c>
      <c r="E31" s="48">
        <v>0</v>
      </c>
      <c r="F31" s="48">
        <v>0</v>
      </c>
      <c r="G31" s="48">
        <v>0</v>
      </c>
    </row>
    <row r="32" spans="1:7">
      <c r="A32" s="46">
        <v>5</v>
      </c>
      <c r="B32" s="204" t="s">
        <v>226</v>
      </c>
      <c r="C32" s="200" t="s">
        <v>227</v>
      </c>
      <c r="D32" s="48">
        <v>0</v>
      </c>
      <c r="E32" s="48">
        <v>0</v>
      </c>
      <c r="F32" s="48">
        <v>0</v>
      </c>
      <c r="G32" s="48">
        <v>0</v>
      </c>
    </row>
    <row r="33" spans="1:7" ht="25.5">
      <c r="A33" s="264" t="s">
        <v>2</v>
      </c>
      <c r="B33" s="265" t="s">
        <v>292</v>
      </c>
      <c r="C33" s="266">
        <v>200</v>
      </c>
      <c r="D33" s="267">
        <f>D34+D42+D52+D55+D58+D64</f>
        <v>3919533</v>
      </c>
      <c r="E33" s="267">
        <f t="shared" ref="E33:G33" si="3">E34+E42+E52+E55+E58+E64</f>
        <v>3919533</v>
      </c>
      <c r="F33" s="267">
        <f t="shared" si="3"/>
        <v>3758327</v>
      </c>
      <c r="G33" s="267">
        <f t="shared" si="3"/>
        <v>3758327</v>
      </c>
    </row>
    <row r="34" spans="1:7" ht="25.5">
      <c r="A34" s="271" t="s">
        <v>4</v>
      </c>
      <c r="B34" s="272" t="s">
        <v>293</v>
      </c>
      <c r="C34" s="268">
        <v>210</v>
      </c>
      <c r="D34" s="270">
        <f>SUM(D35:D41)</f>
        <v>591169</v>
      </c>
      <c r="E34" s="270">
        <f>SUM(E35:E41)</f>
        <v>591169</v>
      </c>
      <c r="F34" s="270">
        <f>SUM(F35:F41)</f>
        <v>592134</v>
      </c>
      <c r="G34" s="270">
        <f>SUM(G35:G41)</f>
        <v>592134</v>
      </c>
    </row>
    <row r="35" spans="1:7">
      <c r="A35" s="49">
        <v>1</v>
      </c>
      <c r="B35" s="204" t="s">
        <v>294</v>
      </c>
      <c r="C35" s="200">
        <v>211</v>
      </c>
      <c r="D35" s="48">
        <v>575490</v>
      </c>
      <c r="E35" s="48">
        <v>575490</v>
      </c>
      <c r="F35" s="48">
        <v>583815</v>
      </c>
      <c r="G35" s="48">
        <v>583815</v>
      </c>
    </row>
    <row r="36" spans="1:7">
      <c r="A36" s="49">
        <v>2</v>
      </c>
      <c r="B36" s="204" t="s">
        <v>295</v>
      </c>
      <c r="C36" s="200">
        <v>212</v>
      </c>
      <c r="D36" s="48">
        <v>0</v>
      </c>
      <c r="E36" s="48">
        <v>0</v>
      </c>
      <c r="F36" s="48">
        <v>0</v>
      </c>
      <c r="G36" s="48">
        <v>0</v>
      </c>
    </row>
    <row r="37" spans="1:7">
      <c r="A37" s="49">
        <v>3</v>
      </c>
      <c r="B37" s="204" t="s">
        <v>296</v>
      </c>
      <c r="C37" s="200">
        <v>213</v>
      </c>
      <c r="D37" s="48">
        <v>0</v>
      </c>
      <c r="E37" s="48">
        <v>0</v>
      </c>
      <c r="F37" s="48">
        <v>0</v>
      </c>
      <c r="G37" s="48">
        <v>0</v>
      </c>
    </row>
    <row r="38" spans="1:7">
      <c r="A38" s="49">
        <v>4</v>
      </c>
      <c r="B38" s="204" t="s">
        <v>297</v>
      </c>
      <c r="C38" s="200">
        <v>214</v>
      </c>
      <c r="D38" s="48">
        <v>0</v>
      </c>
      <c r="E38" s="48">
        <v>0</v>
      </c>
      <c r="F38" s="48">
        <v>0</v>
      </c>
      <c r="G38" s="48">
        <v>0</v>
      </c>
    </row>
    <row r="39" spans="1:7">
      <c r="A39" s="49">
        <v>5</v>
      </c>
      <c r="B39" s="204" t="s">
        <v>298</v>
      </c>
      <c r="C39" s="200">
        <v>215</v>
      </c>
      <c r="D39" s="48">
        <v>0</v>
      </c>
      <c r="E39" s="48">
        <v>0</v>
      </c>
      <c r="F39" s="48">
        <v>0</v>
      </c>
      <c r="G39" s="48">
        <v>0</v>
      </c>
    </row>
    <row r="40" spans="1:7">
      <c r="A40" s="49">
        <v>6</v>
      </c>
      <c r="B40" s="204" t="s">
        <v>299</v>
      </c>
      <c r="C40" s="200">
        <v>216</v>
      </c>
      <c r="D40" s="48">
        <v>15679</v>
      </c>
      <c r="E40" s="48">
        <v>15679</v>
      </c>
      <c r="F40" s="48">
        <v>8319</v>
      </c>
      <c r="G40" s="48">
        <v>8319</v>
      </c>
    </row>
    <row r="41" spans="1:7" ht="30">
      <c r="A41" s="49">
        <v>7</v>
      </c>
      <c r="B41" s="204" t="s">
        <v>300</v>
      </c>
      <c r="C41" s="200" t="s">
        <v>228</v>
      </c>
      <c r="D41" s="48">
        <v>0</v>
      </c>
      <c r="E41" s="48">
        <v>0</v>
      </c>
      <c r="F41" s="48">
        <v>0</v>
      </c>
      <c r="G41" s="48">
        <v>0</v>
      </c>
    </row>
    <row r="42" spans="1:7" ht="25.5">
      <c r="A42" s="271" t="s">
        <v>5</v>
      </c>
      <c r="B42" s="272" t="s">
        <v>301</v>
      </c>
      <c r="C42" s="268">
        <v>220</v>
      </c>
      <c r="D42" s="270">
        <f>D43+D46+D49</f>
        <v>2179443</v>
      </c>
      <c r="E42" s="270">
        <f>E43+E46+E49</f>
        <v>2179443</v>
      </c>
      <c r="F42" s="270">
        <f t="shared" ref="F42:G42" si="4">F43+F46+F49</f>
        <v>2130366</v>
      </c>
      <c r="G42" s="270">
        <f t="shared" si="4"/>
        <v>2130366</v>
      </c>
    </row>
    <row r="43" spans="1:7" ht="29.25">
      <c r="A43" s="271">
        <v>1</v>
      </c>
      <c r="B43" s="273" t="s">
        <v>302</v>
      </c>
      <c r="C43" s="274">
        <v>221</v>
      </c>
      <c r="D43" s="270">
        <f>D44+D45</f>
        <v>2018370</v>
      </c>
      <c r="E43" s="270">
        <f>E44+E45</f>
        <v>2018370</v>
      </c>
      <c r="F43" s="270">
        <f>F44+F45</f>
        <v>2022124</v>
      </c>
      <c r="G43" s="270">
        <f>G44+G45</f>
        <v>2022124</v>
      </c>
    </row>
    <row r="44" spans="1:7">
      <c r="A44" s="195" t="s">
        <v>190</v>
      </c>
      <c r="B44" s="204" t="s">
        <v>304</v>
      </c>
      <c r="C44" s="200">
        <v>222</v>
      </c>
      <c r="D44" s="48">
        <v>3298522</v>
      </c>
      <c r="E44" s="48">
        <v>3298522</v>
      </c>
      <c r="F44" s="48">
        <v>3456801</v>
      </c>
      <c r="G44" s="48">
        <v>3456801</v>
      </c>
    </row>
    <row r="45" spans="1:7">
      <c r="A45" s="195" t="s">
        <v>190</v>
      </c>
      <c r="B45" s="204" t="s">
        <v>305</v>
      </c>
      <c r="C45" s="200">
        <v>223</v>
      </c>
      <c r="D45" s="48">
        <v>-1280152</v>
      </c>
      <c r="E45" s="48">
        <v>-1280152</v>
      </c>
      <c r="F45" s="48">
        <v>-1434677</v>
      </c>
      <c r="G45" s="48">
        <v>-1434677</v>
      </c>
    </row>
    <row r="46" spans="1:7" ht="29.25">
      <c r="A46" s="271">
        <v>2</v>
      </c>
      <c r="B46" s="273" t="s">
        <v>303</v>
      </c>
      <c r="C46" s="274">
        <v>224</v>
      </c>
      <c r="D46" s="270">
        <f>D47+D48</f>
        <v>0</v>
      </c>
      <c r="E46" s="270">
        <f t="shared" ref="E46:G46" si="5">E47+E48</f>
        <v>0</v>
      </c>
      <c r="F46" s="270">
        <f t="shared" si="5"/>
        <v>0</v>
      </c>
      <c r="G46" s="270">
        <f t="shared" si="5"/>
        <v>0</v>
      </c>
    </row>
    <row r="47" spans="1:7">
      <c r="A47" s="195" t="s">
        <v>190</v>
      </c>
      <c r="B47" s="204" t="s">
        <v>304</v>
      </c>
      <c r="C47" s="200" t="s">
        <v>229</v>
      </c>
      <c r="D47" s="48">
        <v>0</v>
      </c>
      <c r="E47" s="48">
        <v>0</v>
      </c>
      <c r="F47" s="48">
        <v>0</v>
      </c>
      <c r="G47" s="48">
        <v>0</v>
      </c>
    </row>
    <row r="48" spans="1:7">
      <c r="A48" s="195" t="s">
        <v>190</v>
      </c>
      <c r="B48" s="204" t="s">
        <v>305</v>
      </c>
      <c r="C48" s="200">
        <v>226</v>
      </c>
      <c r="D48" s="48">
        <v>0</v>
      </c>
      <c r="E48" s="48">
        <v>0</v>
      </c>
      <c r="F48" s="48">
        <v>0</v>
      </c>
      <c r="G48" s="48">
        <v>0</v>
      </c>
    </row>
    <row r="49" spans="1:7" ht="29.25">
      <c r="A49" s="271">
        <v>3</v>
      </c>
      <c r="B49" s="273" t="s">
        <v>306</v>
      </c>
      <c r="C49" s="274">
        <v>227</v>
      </c>
      <c r="D49" s="270">
        <f>D50+D51</f>
        <v>161073</v>
      </c>
      <c r="E49" s="270">
        <f>E50+E51</f>
        <v>161073</v>
      </c>
      <c r="F49" s="270">
        <f>F50+F51</f>
        <v>108242</v>
      </c>
      <c r="G49" s="270">
        <f>G50+G51</f>
        <v>108242</v>
      </c>
    </row>
    <row r="50" spans="1:7">
      <c r="A50" s="195" t="s">
        <v>190</v>
      </c>
      <c r="B50" s="204" t="s">
        <v>304</v>
      </c>
      <c r="C50" s="200">
        <v>228</v>
      </c>
      <c r="D50" s="48">
        <v>191163</v>
      </c>
      <c r="E50" s="48">
        <v>191163</v>
      </c>
      <c r="F50" s="48">
        <v>128417</v>
      </c>
      <c r="G50" s="48">
        <v>128417</v>
      </c>
    </row>
    <row r="51" spans="1:7">
      <c r="A51" s="195" t="s">
        <v>190</v>
      </c>
      <c r="B51" s="204" t="s">
        <v>305</v>
      </c>
      <c r="C51" s="200">
        <v>229</v>
      </c>
      <c r="D51" s="48">
        <v>-30090</v>
      </c>
      <c r="E51" s="48">
        <v>-30090</v>
      </c>
      <c r="F51" s="48">
        <v>-20175</v>
      </c>
      <c r="G51" s="48">
        <v>-20175</v>
      </c>
    </row>
    <row r="52" spans="1:7" ht="29.25">
      <c r="A52" s="275" t="s">
        <v>8</v>
      </c>
      <c r="B52" s="273" t="s">
        <v>309</v>
      </c>
      <c r="C52" s="276" t="s">
        <v>230</v>
      </c>
      <c r="D52" s="270">
        <f>D53+D54</f>
        <v>16306</v>
      </c>
      <c r="E52" s="270">
        <f t="shared" ref="E52:G52" si="6">E53+E54</f>
        <v>16306</v>
      </c>
      <c r="F52" s="270">
        <f t="shared" si="6"/>
        <v>16684</v>
      </c>
      <c r="G52" s="270">
        <f t="shared" si="6"/>
        <v>16684</v>
      </c>
    </row>
    <row r="53" spans="1:7">
      <c r="A53" s="195" t="s">
        <v>190</v>
      </c>
      <c r="B53" s="204" t="s">
        <v>304</v>
      </c>
      <c r="C53" s="200" t="s">
        <v>231</v>
      </c>
      <c r="D53" s="48">
        <v>20567</v>
      </c>
      <c r="E53" s="48">
        <v>20567</v>
      </c>
      <c r="F53" s="48">
        <v>21335</v>
      </c>
      <c r="G53" s="48">
        <v>21335</v>
      </c>
    </row>
    <row r="54" spans="1:7">
      <c r="A54" s="195" t="s">
        <v>190</v>
      </c>
      <c r="B54" s="204" t="s">
        <v>305</v>
      </c>
      <c r="C54" s="200" t="s">
        <v>232</v>
      </c>
      <c r="D54" s="48">
        <v>-4261</v>
      </c>
      <c r="E54" s="48">
        <v>-4261</v>
      </c>
      <c r="F54" s="48">
        <v>-4651</v>
      </c>
      <c r="G54" s="48">
        <v>-4651</v>
      </c>
    </row>
    <row r="55" spans="1:7" ht="29.25">
      <c r="A55" s="275" t="s">
        <v>9</v>
      </c>
      <c r="B55" s="273" t="s">
        <v>310</v>
      </c>
      <c r="C55" s="276" t="s">
        <v>233</v>
      </c>
      <c r="D55" s="270">
        <f>D56+D57</f>
        <v>219703</v>
      </c>
      <c r="E55" s="270">
        <f t="shared" ref="E55:G55" si="7">E56+E57</f>
        <v>219703</v>
      </c>
      <c r="F55" s="270">
        <f t="shared" si="7"/>
        <v>118792</v>
      </c>
      <c r="G55" s="270">
        <f t="shared" si="7"/>
        <v>118792</v>
      </c>
    </row>
    <row r="56" spans="1:7" ht="30">
      <c r="A56" s="196">
        <v>1</v>
      </c>
      <c r="B56" s="204" t="s">
        <v>307</v>
      </c>
      <c r="C56" s="200" t="s">
        <v>234</v>
      </c>
      <c r="D56" s="48">
        <v>0</v>
      </c>
      <c r="E56" s="48">
        <v>0</v>
      </c>
      <c r="F56" s="48">
        <v>0</v>
      </c>
      <c r="G56" s="48">
        <v>0</v>
      </c>
    </row>
    <row r="57" spans="1:7">
      <c r="A57" s="196">
        <v>2</v>
      </c>
      <c r="B57" s="204" t="s">
        <v>308</v>
      </c>
      <c r="C57" s="200" t="s">
        <v>235</v>
      </c>
      <c r="D57" s="48">
        <v>219703</v>
      </c>
      <c r="E57" s="48">
        <v>219703</v>
      </c>
      <c r="F57" s="48">
        <v>118792</v>
      </c>
      <c r="G57" s="48">
        <v>118792</v>
      </c>
    </row>
    <row r="58" spans="1:7" ht="25.5">
      <c r="A58" s="271" t="s">
        <v>10</v>
      </c>
      <c r="B58" s="272" t="s">
        <v>315</v>
      </c>
      <c r="C58" s="268">
        <v>250</v>
      </c>
      <c r="D58" s="270">
        <f>SUM(D59:D63)</f>
        <v>827994</v>
      </c>
      <c r="E58" s="270">
        <f>SUM(E59:E63)</f>
        <v>827994</v>
      </c>
      <c r="F58" s="270">
        <f t="shared" ref="F58:G58" si="8">SUM(F59:F63)</f>
        <v>811767</v>
      </c>
      <c r="G58" s="270">
        <f t="shared" si="8"/>
        <v>811767</v>
      </c>
    </row>
    <row r="59" spans="1:7">
      <c r="A59" s="49">
        <v>1</v>
      </c>
      <c r="B59" s="204" t="s">
        <v>311</v>
      </c>
      <c r="C59" s="200">
        <v>251</v>
      </c>
      <c r="D59" s="48">
        <v>904480</v>
      </c>
      <c r="E59" s="48">
        <v>904480</v>
      </c>
      <c r="F59" s="48">
        <v>733120</v>
      </c>
      <c r="G59" s="48">
        <v>733120</v>
      </c>
    </row>
    <row r="60" spans="1:7" ht="30">
      <c r="A60" s="49">
        <v>2</v>
      </c>
      <c r="B60" s="204" t="s">
        <v>312</v>
      </c>
      <c r="C60" s="200">
        <v>252</v>
      </c>
      <c r="D60" s="48">
        <v>297051</v>
      </c>
      <c r="E60" s="48">
        <v>297051</v>
      </c>
      <c r="F60" s="48">
        <v>297051</v>
      </c>
      <c r="G60" s="48">
        <v>297051</v>
      </c>
    </row>
    <row r="61" spans="1:7">
      <c r="A61" s="49">
        <v>3</v>
      </c>
      <c r="B61" s="204" t="s">
        <v>313</v>
      </c>
      <c r="C61" s="200">
        <v>253</v>
      </c>
      <c r="D61" s="48">
        <v>57213</v>
      </c>
      <c r="E61" s="48">
        <v>57213</v>
      </c>
      <c r="F61" s="48">
        <v>57213</v>
      </c>
      <c r="G61" s="48">
        <v>57213</v>
      </c>
    </row>
    <row r="62" spans="1:7" ht="30">
      <c r="A62" s="49">
        <v>4</v>
      </c>
      <c r="B62" s="204" t="s">
        <v>314</v>
      </c>
      <c r="C62" s="200">
        <v>254</v>
      </c>
      <c r="D62" s="48">
        <v>-430750</v>
      </c>
      <c r="E62" s="48">
        <v>-430750</v>
      </c>
      <c r="F62" s="48">
        <v>-275617</v>
      </c>
      <c r="G62" s="48">
        <v>-275617</v>
      </c>
    </row>
    <row r="63" spans="1:7">
      <c r="A63" s="49">
        <v>5</v>
      </c>
      <c r="B63" s="204" t="s">
        <v>277</v>
      </c>
      <c r="C63" s="200">
        <v>255</v>
      </c>
      <c r="D63" s="48">
        <v>0</v>
      </c>
      <c r="E63" s="48">
        <v>0</v>
      </c>
      <c r="F63" s="48">
        <v>0</v>
      </c>
      <c r="G63" s="48">
        <v>0</v>
      </c>
    </row>
    <row r="64" spans="1:7" ht="25.5">
      <c r="A64" s="271" t="s">
        <v>316</v>
      </c>
      <c r="B64" s="272" t="s">
        <v>317</v>
      </c>
      <c r="C64" s="268">
        <v>260</v>
      </c>
      <c r="D64" s="270">
        <f>SUM(D65:D68)</f>
        <v>84918</v>
      </c>
      <c r="E64" s="270">
        <f t="shared" ref="E64:G64" si="9">SUM(E65:E68)</f>
        <v>84918</v>
      </c>
      <c r="F64" s="270">
        <f t="shared" si="9"/>
        <v>88584</v>
      </c>
      <c r="G64" s="270">
        <f t="shared" si="9"/>
        <v>88584</v>
      </c>
    </row>
    <row r="65" spans="1:7">
      <c r="A65" s="49">
        <v>1</v>
      </c>
      <c r="B65" s="204" t="s">
        <v>318</v>
      </c>
      <c r="C65" s="200">
        <v>261</v>
      </c>
      <c r="D65" s="48">
        <v>80032</v>
      </c>
      <c r="E65" s="48">
        <v>80032</v>
      </c>
      <c r="F65" s="48">
        <v>87454</v>
      </c>
      <c r="G65" s="48">
        <v>87454</v>
      </c>
    </row>
    <row r="66" spans="1:7">
      <c r="A66" s="49">
        <v>2</v>
      </c>
      <c r="B66" s="204" t="s">
        <v>319</v>
      </c>
      <c r="C66" s="200">
        <v>262</v>
      </c>
      <c r="D66" s="48">
        <v>4886</v>
      </c>
      <c r="E66" s="48">
        <v>4886</v>
      </c>
      <c r="F66" s="48">
        <v>1130</v>
      </c>
      <c r="G66" s="48">
        <v>1130</v>
      </c>
    </row>
    <row r="67" spans="1:7" ht="30">
      <c r="A67" s="49">
        <v>3</v>
      </c>
      <c r="B67" s="204" t="s">
        <v>320</v>
      </c>
      <c r="C67" s="200">
        <v>263</v>
      </c>
      <c r="D67" s="48">
        <v>0</v>
      </c>
      <c r="E67" s="48">
        <v>0</v>
      </c>
      <c r="F67" s="48">
        <v>0</v>
      </c>
      <c r="G67" s="48">
        <v>0</v>
      </c>
    </row>
    <row r="68" spans="1:7">
      <c r="A68" s="49">
        <v>4</v>
      </c>
      <c r="B68" s="204" t="s">
        <v>193</v>
      </c>
      <c r="C68" s="200">
        <v>268</v>
      </c>
      <c r="D68" s="48">
        <v>0</v>
      </c>
      <c r="E68" s="48">
        <v>0</v>
      </c>
      <c r="F68" s="48">
        <v>0</v>
      </c>
      <c r="G68" s="48">
        <v>0</v>
      </c>
    </row>
    <row r="69" spans="1:7" ht="28.5">
      <c r="A69" s="266"/>
      <c r="B69" s="277" t="s">
        <v>236</v>
      </c>
      <c r="C69" s="266">
        <v>270</v>
      </c>
      <c r="D69" s="267">
        <f>D33+D7</f>
        <v>9764362</v>
      </c>
      <c r="E69" s="267">
        <f t="shared" ref="E69:G69" si="10">E33+E7</f>
        <v>9764362</v>
      </c>
      <c r="F69" s="267">
        <f t="shared" si="10"/>
        <v>7885450</v>
      </c>
      <c r="G69" s="267">
        <f t="shared" si="10"/>
        <v>7885450</v>
      </c>
    </row>
    <row r="70" spans="1:7">
      <c r="A70" s="47"/>
      <c r="B70" s="197" t="s">
        <v>237</v>
      </c>
      <c r="C70" s="47"/>
      <c r="D70" s="29"/>
      <c r="E70" s="29"/>
      <c r="F70" s="29"/>
      <c r="G70" s="29"/>
    </row>
    <row r="71" spans="1:7">
      <c r="A71" s="264" t="s">
        <v>1</v>
      </c>
      <c r="B71" s="265" t="s">
        <v>321</v>
      </c>
      <c r="C71" s="266">
        <v>300</v>
      </c>
      <c r="D71" s="267">
        <f>D72+D87</f>
        <v>5933709</v>
      </c>
      <c r="E71" s="267">
        <f>E72+E87</f>
        <v>5933709</v>
      </c>
      <c r="F71" s="267">
        <f>F72+F87</f>
        <v>3886032</v>
      </c>
      <c r="G71" s="267">
        <f>G72+G87</f>
        <v>3886032</v>
      </c>
    </row>
    <row r="72" spans="1:7" ht="28.5">
      <c r="A72" s="268" t="s">
        <v>4</v>
      </c>
      <c r="B72" s="269" t="s">
        <v>322</v>
      </c>
      <c r="C72" s="268">
        <v>310</v>
      </c>
      <c r="D72" s="270">
        <f>SUM(D73:D86)</f>
        <v>5225256</v>
      </c>
      <c r="E72" s="270">
        <f>SUM(E73:E86)</f>
        <v>5225256</v>
      </c>
      <c r="F72" s="270">
        <f>SUM(F73:F86)</f>
        <v>3211103</v>
      </c>
      <c r="G72" s="270">
        <f>SUM(G73:G86)</f>
        <v>3211103</v>
      </c>
    </row>
    <row r="73" spans="1:7">
      <c r="A73" s="46">
        <v>1</v>
      </c>
      <c r="B73" s="204" t="s">
        <v>323</v>
      </c>
      <c r="C73" s="200" t="s">
        <v>238</v>
      </c>
      <c r="D73" s="48">
        <v>524050</v>
      </c>
      <c r="E73" s="48">
        <v>524050</v>
      </c>
      <c r="F73" s="48">
        <v>86938</v>
      </c>
      <c r="G73" s="48">
        <v>86938</v>
      </c>
    </row>
    <row r="74" spans="1:7">
      <c r="A74" s="46">
        <v>2</v>
      </c>
      <c r="B74" s="204" t="s">
        <v>324</v>
      </c>
      <c r="C74" s="200" t="s">
        <v>239</v>
      </c>
      <c r="D74" s="48">
        <v>50072</v>
      </c>
      <c r="E74" s="48">
        <v>50072</v>
      </c>
      <c r="F74" s="48">
        <v>64786</v>
      </c>
      <c r="G74" s="48">
        <v>64786</v>
      </c>
    </row>
    <row r="75" spans="1:7" ht="30">
      <c r="A75" s="46">
        <v>3</v>
      </c>
      <c r="B75" s="204" t="s">
        <v>325</v>
      </c>
      <c r="C75" s="200" t="s">
        <v>240</v>
      </c>
      <c r="D75" s="48">
        <v>31384</v>
      </c>
      <c r="E75" s="48">
        <v>31384</v>
      </c>
      <c r="F75" s="48">
        <v>5714</v>
      </c>
      <c r="G75" s="48">
        <v>5714</v>
      </c>
    </row>
    <row r="76" spans="1:7">
      <c r="A76" s="46">
        <v>4</v>
      </c>
      <c r="B76" s="204" t="s">
        <v>326</v>
      </c>
      <c r="C76" s="200" t="s">
        <v>241</v>
      </c>
      <c r="D76" s="48">
        <v>38232</v>
      </c>
      <c r="E76" s="48">
        <v>38232</v>
      </c>
      <c r="F76" s="48">
        <v>15848</v>
      </c>
      <c r="G76" s="48">
        <v>15848</v>
      </c>
    </row>
    <row r="77" spans="1:7">
      <c r="A77" s="46">
        <v>5</v>
      </c>
      <c r="B77" s="204" t="s">
        <v>327</v>
      </c>
      <c r="C77" s="200" t="s">
        <v>242</v>
      </c>
      <c r="D77" s="48">
        <v>13169</v>
      </c>
      <c r="E77" s="48">
        <v>13169</v>
      </c>
      <c r="F77" s="48">
        <v>21412</v>
      </c>
      <c r="G77" s="48">
        <v>21412</v>
      </c>
    </row>
    <row r="78" spans="1:7">
      <c r="A78" s="46">
        <v>6</v>
      </c>
      <c r="B78" s="204" t="s">
        <v>328</v>
      </c>
      <c r="C78" s="200" t="s">
        <v>243</v>
      </c>
      <c r="D78" s="48">
        <v>0</v>
      </c>
      <c r="E78" s="48">
        <v>0</v>
      </c>
      <c r="F78" s="48">
        <v>0</v>
      </c>
      <c r="G78" s="48">
        <v>0</v>
      </c>
    </row>
    <row r="79" spans="1:7" ht="30">
      <c r="A79" s="46">
        <v>7</v>
      </c>
      <c r="B79" s="204" t="s">
        <v>329</v>
      </c>
      <c r="C79" s="200" t="s">
        <v>244</v>
      </c>
      <c r="D79" s="48">
        <v>0</v>
      </c>
      <c r="E79" s="48">
        <v>0</v>
      </c>
      <c r="F79" s="48">
        <v>0</v>
      </c>
      <c r="G79" s="48">
        <v>0</v>
      </c>
    </row>
    <row r="80" spans="1:7">
      <c r="A80" s="46">
        <v>8</v>
      </c>
      <c r="B80" s="204" t="s">
        <v>330</v>
      </c>
      <c r="C80" s="200" t="s">
        <v>245</v>
      </c>
      <c r="D80" s="48">
        <v>12091</v>
      </c>
      <c r="E80" s="48">
        <v>12091</v>
      </c>
      <c r="F80" s="48">
        <v>108555</v>
      </c>
      <c r="G80" s="48">
        <v>108555</v>
      </c>
    </row>
    <row r="81" spans="1:7">
      <c r="A81" s="46">
        <v>9</v>
      </c>
      <c r="B81" s="204" t="s">
        <v>331</v>
      </c>
      <c r="C81" s="200" t="s">
        <v>246</v>
      </c>
      <c r="D81" s="48">
        <v>102633</v>
      </c>
      <c r="E81" s="48">
        <v>102633</v>
      </c>
      <c r="F81" s="48">
        <v>35182</v>
      </c>
      <c r="G81" s="48">
        <v>35182</v>
      </c>
    </row>
    <row r="82" spans="1:7">
      <c r="A82" s="46">
        <v>10</v>
      </c>
      <c r="B82" s="204" t="s">
        <v>332</v>
      </c>
      <c r="C82" s="200" t="s">
        <v>247</v>
      </c>
      <c r="D82" s="48">
        <v>4417812</v>
      </c>
      <c r="E82" s="48">
        <v>4417812</v>
      </c>
      <c r="F82" s="48">
        <v>2837818</v>
      </c>
      <c r="G82" s="48">
        <v>2837818</v>
      </c>
    </row>
    <row r="83" spans="1:7">
      <c r="A83" s="46">
        <v>11</v>
      </c>
      <c r="B83" s="204" t="s">
        <v>333</v>
      </c>
      <c r="C83" s="200" t="s">
        <v>248</v>
      </c>
      <c r="D83" s="48">
        <v>23275</v>
      </c>
      <c r="E83" s="48">
        <v>23275</v>
      </c>
      <c r="F83" s="48">
        <v>23275</v>
      </c>
      <c r="G83" s="48">
        <v>23275</v>
      </c>
    </row>
    <row r="84" spans="1:7">
      <c r="A84" s="46">
        <v>12</v>
      </c>
      <c r="B84" s="204" t="s">
        <v>334</v>
      </c>
      <c r="C84" s="200" t="s">
        <v>249</v>
      </c>
      <c r="D84" s="48">
        <v>12538</v>
      </c>
      <c r="E84" s="48">
        <v>12538</v>
      </c>
      <c r="F84" s="48">
        <v>11575</v>
      </c>
      <c r="G84" s="48">
        <v>11575</v>
      </c>
    </row>
    <row r="85" spans="1:7">
      <c r="A85" s="46">
        <v>13</v>
      </c>
      <c r="B85" s="204" t="s">
        <v>335</v>
      </c>
      <c r="C85" s="200" t="s">
        <v>250</v>
      </c>
      <c r="D85" s="48">
        <v>0</v>
      </c>
      <c r="E85" s="48">
        <v>0</v>
      </c>
      <c r="F85" s="48">
        <v>0</v>
      </c>
      <c r="G85" s="48">
        <v>0</v>
      </c>
    </row>
    <row r="86" spans="1:7" ht="30">
      <c r="A86" s="46">
        <v>14</v>
      </c>
      <c r="B86" s="204" t="s">
        <v>336</v>
      </c>
      <c r="C86" s="200" t="s">
        <v>251</v>
      </c>
      <c r="D86" s="48">
        <v>0</v>
      </c>
      <c r="E86" s="48">
        <v>0</v>
      </c>
      <c r="F86" s="48">
        <v>0</v>
      </c>
      <c r="G86" s="48">
        <v>0</v>
      </c>
    </row>
    <row r="87" spans="1:7" ht="28.5">
      <c r="A87" s="268" t="s">
        <v>5</v>
      </c>
      <c r="B87" s="269" t="s">
        <v>337</v>
      </c>
      <c r="C87" s="268">
        <v>330</v>
      </c>
      <c r="D87" s="270">
        <f>SUM(D88:D100)</f>
        <v>708453</v>
      </c>
      <c r="E87" s="270">
        <f t="shared" ref="E87:G87" si="11">SUM(E88:E100)</f>
        <v>708453</v>
      </c>
      <c r="F87" s="270">
        <f t="shared" si="11"/>
        <v>674929</v>
      </c>
      <c r="G87" s="270">
        <f t="shared" si="11"/>
        <v>674929</v>
      </c>
    </row>
    <row r="88" spans="1:7">
      <c r="A88" s="46">
        <v>1</v>
      </c>
      <c r="B88" s="204" t="s">
        <v>338</v>
      </c>
      <c r="C88" s="200" t="s">
        <v>252</v>
      </c>
      <c r="D88" s="48">
        <v>0</v>
      </c>
      <c r="E88" s="48">
        <v>0</v>
      </c>
      <c r="F88" s="48">
        <v>0</v>
      </c>
      <c r="G88" s="48">
        <v>0</v>
      </c>
    </row>
    <row r="89" spans="1:7">
      <c r="A89" s="46">
        <v>2</v>
      </c>
      <c r="B89" s="204" t="s">
        <v>339</v>
      </c>
      <c r="C89" s="200" t="s">
        <v>253</v>
      </c>
      <c r="D89" s="48">
        <v>0</v>
      </c>
      <c r="E89" s="48">
        <v>0</v>
      </c>
      <c r="F89" s="48">
        <v>0</v>
      </c>
      <c r="G89" s="48">
        <v>0</v>
      </c>
    </row>
    <row r="90" spans="1:7">
      <c r="A90" s="46">
        <v>3</v>
      </c>
      <c r="B90" s="204" t="s">
        <v>340</v>
      </c>
      <c r="C90" s="200" t="s">
        <v>254</v>
      </c>
      <c r="D90" s="48">
        <v>0</v>
      </c>
      <c r="E90" s="48">
        <v>0</v>
      </c>
      <c r="F90" s="48">
        <v>0</v>
      </c>
      <c r="G90" s="48">
        <v>0</v>
      </c>
    </row>
    <row r="91" spans="1:7">
      <c r="A91" s="46">
        <v>4</v>
      </c>
      <c r="B91" s="204" t="s">
        <v>341</v>
      </c>
      <c r="C91" s="200" t="s">
        <v>255</v>
      </c>
      <c r="D91" s="48">
        <v>0</v>
      </c>
      <c r="E91" s="48">
        <v>0</v>
      </c>
      <c r="F91" s="48">
        <v>0</v>
      </c>
      <c r="G91" s="48">
        <v>0</v>
      </c>
    </row>
    <row r="92" spans="1:7">
      <c r="A92" s="46">
        <v>5</v>
      </c>
      <c r="B92" s="204" t="s">
        <v>342</v>
      </c>
      <c r="C92" s="200" t="s">
        <v>256</v>
      </c>
      <c r="D92" s="48">
        <v>0</v>
      </c>
      <c r="E92" s="48">
        <v>0</v>
      </c>
      <c r="F92" s="48">
        <v>0</v>
      </c>
      <c r="G92" s="48">
        <v>0</v>
      </c>
    </row>
    <row r="93" spans="1:7">
      <c r="A93" s="46">
        <v>6</v>
      </c>
      <c r="B93" s="204" t="s">
        <v>343</v>
      </c>
      <c r="C93" s="200" t="s">
        <v>257</v>
      </c>
      <c r="D93" s="48">
        <v>0</v>
      </c>
      <c r="E93" s="48">
        <v>0</v>
      </c>
      <c r="F93" s="48">
        <v>0</v>
      </c>
      <c r="G93" s="48">
        <v>0</v>
      </c>
    </row>
    <row r="94" spans="1:7">
      <c r="A94" s="46">
        <v>7</v>
      </c>
      <c r="B94" s="204" t="s">
        <v>344</v>
      </c>
      <c r="C94" s="200" t="s">
        <v>258</v>
      </c>
      <c r="D94" s="48">
        <v>576148</v>
      </c>
      <c r="E94" s="48">
        <v>576148</v>
      </c>
      <c r="F94" s="48">
        <v>584735</v>
      </c>
      <c r="G94" s="48">
        <v>584735</v>
      </c>
    </row>
    <row r="95" spans="1:7">
      <c r="A95" s="46">
        <v>8</v>
      </c>
      <c r="B95" s="204" t="s">
        <v>345</v>
      </c>
      <c r="C95" s="200" t="s">
        <v>259</v>
      </c>
      <c r="D95" s="48">
        <v>132305</v>
      </c>
      <c r="E95" s="48">
        <v>132305</v>
      </c>
      <c r="F95" s="48">
        <v>90194</v>
      </c>
      <c r="G95" s="48">
        <v>90194</v>
      </c>
    </row>
    <row r="96" spans="1:7">
      <c r="A96" s="46">
        <v>9</v>
      </c>
      <c r="B96" s="204" t="s">
        <v>346</v>
      </c>
      <c r="C96" s="200" t="s">
        <v>260</v>
      </c>
      <c r="D96" s="48">
        <v>0</v>
      </c>
      <c r="E96" s="48">
        <v>0</v>
      </c>
      <c r="F96" s="48">
        <v>0</v>
      </c>
      <c r="G96" s="48">
        <v>0</v>
      </c>
    </row>
    <row r="97" spans="1:7">
      <c r="A97" s="46">
        <v>10</v>
      </c>
      <c r="B97" s="204" t="s">
        <v>347</v>
      </c>
      <c r="C97" s="200" t="s">
        <v>261</v>
      </c>
      <c r="D97" s="48">
        <v>0</v>
      </c>
      <c r="E97" s="48">
        <v>0</v>
      </c>
      <c r="F97" s="48">
        <v>0</v>
      </c>
      <c r="G97" s="48">
        <v>0</v>
      </c>
    </row>
    <row r="98" spans="1:7">
      <c r="A98" s="46">
        <v>11</v>
      </c>
      <c r="B98" s="204" t="s">
        <v>348</v>
      </c>
      <c r="C98" s="200" t="s">
        <v>262</v>
      </c>
      <c r="D98" s="48">
        <v>0</v>
      </c>
      <c r="E98" s="48">
        <v>0</v>
      </c>
      <c r="F98" s="48">
        <v>0</v>
      </c>
      <c r="G98" s="48">
        <v>0</v>
      </c>
    </row>
    <row r="99" spans="1:7">
      <c r="A99" s="46">
        <v>12</v>
      </c>
      <c r="B99" s="204" t="s">
        <v>349</v>
      </c>
      <c r="C99" s="200" t="s">
        <v>263</v>
      </c>
      <c r="D99" s="48">
        <v>0</v>
      </c>
      <c r="E99" s="48">
        <v>0</v>
      </c>
      <c r="F99" s="48">
        <v>0</v>
      </c>
      <c r="G99" s="48">
        <v>0</v>
      </c>
    </row>
    <row r="100" spans="1:7" ht="30">
      <c r="A100" s="46">
        <v>13</v>
      </c>
      <c r="B100" s="204" t="s">
        <v>350</v>
      </c>
      <c r="C100" s="200" t="s">
        <v>264</v>
      </c>
      <c r="D100" s="48">
        <v>0</v>
      </c>
      <c r="E100" s="48">
        <v>0</v>
      </c>
      <c r="F100" s="48">
        <v>0</v>
      </c>
      <c r="G100" s="48">
        <v>0</v>
      </c>
    </row>
    <row r="101" spans="1:7">
      <c r="A101" s="264" t="s">
        <v>2</v>
      </c>
      <c r="B101" s="265" t="s">
        <v>351</v>
      </c>
      <c r="C101" s="266">
        <v>400</v>
      </c>
      <c r="D101" s="267">
        <f>D102+D117</f>
        <v>3830652</v>
      </c>
      <c r="E101" s="267">
        <f t="shared" ref="E101:G101" si="12">E102+E117</f>
        <v>3830652</v>
      </c>
      <c r="F101" s="267">
        <f t="shared" si="12"/>
        <v>3999415</v>
      </c>
      <c r="G101" s="267">
        <f t="shared" si="12"/>
        <v>3999415</v>
      </c>
    </row>
    <row r="102" spans="1:7">
      <c r="A102" s="271" t="s">
        <v>4</v>
      </c>
      <c r="B102" s="273" t="s">
        <v>352</v>
      </c>
      <c r="C102" s="276">
        <v>410</v>
      </c>
      <c r="D102" s="270">
        <f>SUM(D103:D113)+D116</f>
        <v>3830652</v>
      </c>
      <c r="E102" s="270">
        <f>SUM(E103:E113)+E116</f>
        <v>3830652</v>
      </c>
      <c r="F102" s="270">
        <f t="shared" ref="F102:G102" si="13">SUM(F103:F113)+F116</f>
        <v>3999415</v>
      </c>
      <c r="G102" s="270">
        <f t="shared" si="13"/>
        <v>3999415</v>
      </c>
    </row>
    <row r="103" spans="1:7">
      <c r="A103" s="49">
        <v>1</v>
      </c>
      <c r="B103" s="204" t="s">
        <v>353</v>
      </c>
      <c r="C103" s="200">
        <v>411</v>
      </c>
      <c r="D103" s="48">
        <v>2397676</v>
      </c>
      <c r="E103" s="48">
        <v>2397676</v>
      </c>
      <c r="F103" s="48">
        <v>2831177</v>
      </c>
      <c r="G103" s="48">
        <v>2831177</v>
      </c>
    </row>
    <row r="104" spans="1:7">
      <c r="A104" s="49">
        <v>2</v>
      </c>
      <c r="B104" s="204" t="s">
        <v>354</v>
      </c>
      <c r="C104" s="200">
        <v>412</v>
      </c>
      <c r="D104" s="48">
        <v>0</v>
      </c>
      <c r="E104" s="48">
        <v>0</v>
      </c>
      <c r="F104" s="48">
        <v>0</v>
      </c>
      <c r="G104" s="48">
        <v>0</v>
      </c>
    </row>
    <row r="105" spans="1:7">
      <c r="A105" s="49">
        <v>3</v>
      </c>
      <c r="B105" s="204" t="s">
        <v>355</v>
      </c>
      <c r="C105" s="200">
        <v>413</v>
      </c>
      <c r="D105" s="48">
        <v>0</v>
      </c>
      <c r="E105" s="48">
        <v>0</v>
      </c>
      <c r="F105" s="48">
        <v>0</v>
      </c>
      <c r="G105" s="48">
        <v>0</v>
      </c>
    </row>
    <row r="106" spans="1:7">
      <c r="A106" s="49">
        <v>4</v>
      </c>
      <c r="B106" s="204" t="s">
        <v>356</v>
      </c>
      <c r="C106" s="200">
        <v>414</v>
      </c>
      <c r="D106" s="48">
        <v>757912</v>
      </c>
      <c r="E106" s="48">
        <v>757912</v>
      </c>
      <c r="F106" s="48">
        <v>756203</v>
      </c>
      <c r="G106" s="48">
        <v>756203</v>
      </c>
    </row>
    <row r="107" spans="1:7">
      <c r="A107" s="49">
        <v>5</v>
      </c>
      <c r="B107" s="204" t="s">
        <v>357</v>
      </c>
      <c r="C107" s="200">
        <v>415</v>
      </c>
      <c r="D107" s="48">
        <v>0</v>
      </c>
      <c r="E107" s="48">
        <v>0</v>
      </c>
      <c r="F107" s="48">
        <v>0</v>
      </c>
      <c r="G107" s="48">
        <v>0</v>
      </c>
    </row>
    <row r="108" spans="1:7">
      <c r="A108" s="49">
        <v>6</v>
      </c>
      <c r="B108" s="204" t="s">
        <v>358</v>
      </c>
      <c r="C108" s="200">
        <v>416</v>
      </c>
      <c r="D108" s="48">
        <v>1765</v>
      </c>
      <c r="E108" s="48">
        <v>1765</v>
      </c>
      <c r="F108" s="48">
        <v>1765</v>
      </c>
      <c r="G108" s="48">
        <v>1765</v>
      </c>
    </row>
    <row r="109" spans="1:7">
      <c r="A109" s="49">
        <v>7</v>
      </c>
      <c r="B109" s="204" t="s">
        <v>359</v>
      </c>
      <c r="C109" s="200">
        <v>417</v>
      </c>
      <c r="D109" s="48">
        <v>0</v>
      </c>
      <c r="E109" s="48">
        <v>0</v>
      </c>
      <c r="F109" s="48"/>
      <c r="G109" s="48"/>
    </row>
    <row r="110" spans="1:7">
      <c r="A110" s="49">
        <v>8</v>
      </c>
      <c r="B110" s="204" t="s">
        <v>360</v>
      </c>
      <c r="C110" s="200" t="s">
        <v>265</v>
      </c>
      <c r="D110" s="48">
        <v>1028956</v>
      </c>
      <c r="E110" s="48">
        <v>1028956</v>
      </c>
      <c r="F110" s="48">
        <v>772069</v>
      </c>
      <c r="G110" s="48">
        <v>772069</v>
      </c>
    </row>
    <row r="111" spans="1:7">
      <c r="A111" s="49">
        <v>9</v>
      </c>
      <c r="B111" s="204" t="s">
        <v>361</v>
      </c>
      <c r="C111" s="200">
        <v>419</v>
      </c>
      <c r="D111" s="48">
        <v>208167</v>
      </c>
      <c r="E111" s="48">
        <v>208167</v>
      </c>
      <c r="F111" s="48">
        <v>208792</v>
      </c>
      <c r="G111" s="48">
        <v>208792</v>
      </c>
    </row>
    <row r="112" spans="1:7">
      <c r="A112" s="49">
        <v>10</v>
      </c>
      <c r="B112" s="204" t="s">
        <v>362</v>
      </c>
      <c r="C112" s="200">
        <v>420</v>
      </c>
      <c r="D112" s="48">
        <v>0</v>
      </c>
      <c r="E112" s="48">
        <v>0</v>
      </c>
      <c r="F112" s="48">
        <v>0</v>
      </c>
      <c r="G112" s="48">
        <v>0</v>
      </c>
    </row>
    <row r="113" spans="1:7">
      <c r="A113" s="278">
        <v>11</v>
      </c>
      <c r="B113" s="279" t="s">
        <v>363</v>
      </c>
      <c r="C113" s="280">
        <v>421</v>
      </c>
      <c r="D113" s="281">
        <f>D114+D115</f>
        <v>-959327</v>
      </c>
      <c r="E113" s="281">
        <f t="shared" ref="E113:G113" si="14">E114+E115</f>
        <v>-959327</v>
      </c>
      <c r="F113" s="281">
        <f t="shared" si="14"/>
        <v>-798479</v>
      </c>
      <c r="G113" s="281">
        <f t="shared" si="14"/>
        <v>-798479</v>
      </c>
    </row>
    <row r="114" spans="1:7" ht="30">
      <c r="A114" s="195" t="s">
        <v>190</v>
      </c>
      <c r="B114" s="206" t="s">
        <v>364</v>
      </c>
      <c r="C114" s="200" t="s">
        <v>266</v>
      </c>
      <c r="D114" s="48">
        <v>-859327</v>
      </c>
      <c r="E114" s="48">
        <v>-859327</v>
      </c>
      <c r="F114" s="48">
        <v>-698479</v>
      </c>
      <c r="G114" s="48">
        <v>-698479</v>
      </c>
    </row>
    <row r="115" spans="1:7">
      <c r="A115" s="195" t="s">
        <v>190</v>
      </c>
      <c r="B115" s="206" t="s">
        <v>365</v>
      </c>
      <c r="C115" s="200" t="s">
        <v>267</v>
      </c>
      <c r="D115" s="48">
        <v>-100000</v>
      </c>
      <c r="E115" s="48">
        <v>-100000</v>
      </c>
      <c r="F115" s="48">
        <v>-100000</v>
      </c>
      <c r="G115" s="48">
        <v>-100000</v>
      </c>
    </row>
    <row r="116" spans="1:7">
      <c r="A116" s="49">
        <v>12</v>
      </c>
      <c r="B116" s="204" t="s">
        <v>366</v>
      </c>
      <c r="C116" s="200">
        <v>422</v>
      </c>
      <c r="D116" s="48">
        <v>395503</v>
      </c>
      <c r="E116" s="48">
        <v>395503</v>
      </c>
      <c r="F116" s="48">
        <v>227888</v>
      </c>
      <c r="G116" s="48">
        <v>227888</v>
      </c>
    </row>
    <row r="117" spans="1:7">
      <c r="A117" s="271" t="s">
        <v>5</v>
      </c>
      <c r="B117" s="273" t="s">
        <v>268</v>
      </c>
      <c r="C117" s="276">
        <v>430</v>
      </c>
      <c r="D117" s="270">
        <f>D118+D119</f>
        <v>0</v>
      </c>
      <c r="E117" s="270">
        <f>E118+E119</f>
        <v>0</v>
      </c>
      <c r="F117" s="270">
        <f t="shared" ref="F117:G117" si="15">F118+F119</f>
        <v>0</v>
      </c>
      <c r="G117" s="270">
        <f t="shared" si="15"/>
        <v>0</v>
      </c>
    </row>
    <row r="118" spans="1:7">
      <c r="A118" s="49">
        <v>1</v>
      </c>
      <c r="B118" s="204" t="s">
        <v>367</v>
      </c>
      <c r="C118" s="200" t="s">
        <v>269</v>
      </c>
      <c r="D118" s="48">
        <v>0</v>
      </c>
      <c r="E118" s="48">
        <v>0</v>
      </c>
      <c r="F118" s="48">
        <v>0</v>
      </c>
      <c r="G118" s="48">
        <v>0</v>
      </c>
    </row>
    <row r="119" spans="1:7">
      <c r="A119" s="49">
        <v>2</v>
      </c>
      <c r="B119" s="204" t="s">
        <v>368</v>
      </c>
      <c r="C119" s="200" t="s">
        <v>270</v>
      </c>
      <c r="D119" s="48">
        <v>0</v>
      </c>
      <c r="E119" s="48">
        <v>0</v>
      </c>
      <c r="F119" s="48">
        <v>0</v>
      </c>
      <c r="G119" s="48">
        <v>0</v>
      </c>
    </row>
    <row r="120" spans="1:7" ht="28.5">
      <c r="A120" s="282"/>
      <c r="B120" s="283" t="s">
        <v>271</v>
      </c>
      <c r="C120" s="282">
        <v>440</v>
      </c>
      <c r="D120" s="284">
        <f>D71+D101</f>
        <v>9764361</v>
      </c>
      <c r="E120" s="284">
        <f>E71+E101</f>
        <v>9764361</v>
      </c>
      <c r="F120" s="284">
        <f>F71+F101</f>
        <v>7885447</v>
      </c>
      <c r="G120" s="284">
        <f>G71+G101</f>
        <v>7885447</v>
      </c>
    </row>
    <row r="122" spans="1:7">
      <c r="D122" s="77"/>
      <c r="F122" s="77"/>
    </row>
    <row r="123" spans="1:7">
      <c r="F123" s="77"/>
    </row>
  </sheetData>
  <mergeCells count="6">
    <mergeCell ref="A2:G2"/>
    <mergeCell ref="A4:A5"/>
    <mergeCell ref="B4:B5"/>
    <mergeCell ref="C4:C5"/>
    <mergeCell ref="D4:E4"/>
    <mergeCell ref="F4:G4"/>
  </mergeCells>
  <pageMargins left="0.7" right="0.7" top="0.75" bottom="0.75" header="0.3" footer="0.3"/>
  <pageSetup orientation="portrait" r:id="rId1"/>
  <ignoredErrors>
    <ignoredError sqref="C52:C57 C47 C41 C30:C32 C9 C73:C86 C88:C100 C110 C118:C119" numberStoredAsText="1"/>
    <ignoredError sqref="D15:G15 D34:E34 F34:G34 D58:G58 D72:G72 D87:G87" formulaRange="1"/>
  </ignoredErrors>
  <drawing r:id="rId2"/>
</worksheet>
</file>

<file path=xl/worksheets/sheet3.xml><?xml version="1.0" encoding="utf-8"?>
<worksheet xmlns="http://schemas.openxmlformats.org/spreadsheetml/2006/main" xmlns:r="http://schemas.openxmlformats.org/officeDocument/2006/relationships">
  <sheetPr>
    <tabColor rgb="FF00B050"/>
  </sheetPr>
  <dimension ref="A2:J123"/>
  <sheetViews>
    <sheetView workbookViewId="0">
      <selection activeCell="C11" sqref="C11"/>
    </sheetView>
  </sheetViews>
  <sheetFormatPr defaultColWidth="9.140625" defaultRowHeight="15"/>
  <cols>
    <col min="1" max="1" width="4.140625" style="42" customWidth="1"/>
    <col min="2" max="2" width="32.7109375" style="42" customWidth="1"/>
    <col min="3" max="3" width="7.28515625" style="42" customWidth="1"/>
    <col min="4" max="4" width="10.140625" style="42" hidden="1" customWidth="1"/>
    <col min="5" max="5" width="10.140625" style="42" customWidth="1"/>
    <col min="6" max="6" width="10.140625" style="42" hidden="1" customWidth="1"/>
    <col min="7" max="7" width="10.140625" style="42" customWidth="1"/>
    <col min="8" max="8" width="0.28515625" style="42" hidden="1" customWidth="1"/>
    <col min="9" max="9" width="9.7109375" style="42" bestFit="1" customWidth="1"/>
    <col min="10" max="10" width="9.85546875" style="42" customWidth="1"/>
    <col min="11" max="16384" width="9.140625" style="42"/>
  </cols>
  <sheetData>
    <row r="2" spans="1:10" ht="18" customHeight="1">
      <c r="B2" s="408" t="s">
        <v>26</v>
      </c>
      <c r="C2" s="408"/>
      <c r="D2" s="408"/>
      <c r="E2" s="408"/>
      <c r="F2" s="408"/>
      <c r="G2" s="408"/>
      <c r="H2" s="408"/>
      <c r="I2" s="408"/>
    </row>
    <row r="4" spans="1:10">
      <c r="A4" s="410" t="s">
        <v>0</v>
      </c>
      <c r="B4" s="412" t="s">
        <v>27</v>
      </c>
      <c r="C4" s="410" t="s">
        <v>28</v>
      </c>
      <c r="D4" s="418" t="s">
        <v>30</v>
      </c>
      <c r="E4" s="419"/>
      <c r="F4" s="418" t="s">
        <v>72</v>
      </c>
      <c r="G4" s="419"/>
      <c r="H4" s="370"/>
      <c r="I4" s="416" t="s">
        <v>123</v>
      </c>
      <c r="J4" s="417"/>
    </row>
    <row r="5" spans="1:10">
      <c r="A5" s="411"/>
      <c r="B5" s="413"/>
      <c r="C5" s="411"/>
      <c r="D5" s="420"/>
      <c r="E5" s="421"/>
      <c r="F5" s="420"/>
      <c r="G5" s="421"/>
      <c r="H5" s="370"/>
      <c r="I5" s="319" t="s">
        <v>124</v>
      </c>
      <c r="J5" s="318" t="s">
        <v>3</v>
      </c>
    </row>
    <row r="6" spans="1:10">
      <c r="A6" s="31"/>
      <c r="B6" s="198" t="s">
        <v>218</v>
      </c>
      <c r="C6" s="31"/>
      <c r="D6" s="199"/>
      <c r="E6" s="199"/>
      <c r="F6" s="199"/>
      <c r="G6" s="199"/>
      <c r="I6" s="218"/>
      <c r="J6" s="218"/>
    </row>
    <row r="7" spans="1:10" ht="25.5">
      <c r="A7" s="264" t="s">
        <v>1</v>
      </c>
      <c r="B7" s="265" t="s">
        <v>279</v>
      </c>
      <c r="C7" s="266">
        <v>100</v>
      </c>
      <c r="D7" s="267">
        <f>D8+D11+D15+D24+D27</f>
        <v>5844829</v>
      </c>
      <c r="E7" s="267">
        <f>E8+E11+E15+E24+E27</f>
        <v>5844829</v>
      </c>
      <c r="F7" s="267">
        <f t="shared" ref="F7:G7" si="0">F8+F11+F15+F24+F27</f>
        <v>4127123</v>
      </c>
      <c r="G7" s="267">
        <f t="shared" si="0"/>
        <v>4127123</v>
      </c>
      <c r="H7" s="285"/>
      <c r="I7" s="267">
        <f>G7-E7</f>
        <v>-1717706</v>
      </c>
      <c r="J7" s="286">
        <f>I7/E7</f>
        <v>-0.29388473127271986</v>
      </c>
    </row>
    <row r="8" spans="1:10" ht="28.5">
      <c r="A8" s="268" t="s">
        <v>4</v>
      </c>
      <c r="B8" s="269" t="s">
        <v>274</v>
      </c>
      <c r="C8" s="268">
        <v>110</v>
      </c>
      <c r="D8" s="270">
        <f>D9+D10</f>
        <v>2004349</v>
      </c>
      <c r="E8" s="270">
        <f t="shared" ref="E8:G8" si="1">E9+E10</f>
        <v>2004349</v>
      </c>
      <c r="F8" s="270">
        <f t="shared" si="1"/>
        <v>396214</v>
      </c>
      <c r="G8" s="270">
        <f t="shared" si="1"/>
        <v>396214</v>
      </c>
      <c r="H8" s="285"/>
      <c r="I8" s="270">
        <f>G8-E8</f>
        <v>-1608135</v>
      </c>
      <c r="J8" s="287">
        <f t="shared" ref="J8:J16" si="2">I8/E8</f>
        <v>-0.80232284896492578</v>
      </c>
    </row>
    <row r="9" spans="1:10">
      <c r="A9" s="46">
        <v>1</v>
      </c>
      <c r="B9" s="204" t="s">
        <v>272</v>
      </c>
      <c r="C9" s="200" t="s">
        <v>219</v>
      </c>
      <c r="D9" s="48">
        <v>1704000</v>
      </c>
      <c r="E9" s="48">
        <f>CĐKT!E9</f>
        <v>1704000</v>
      </c>
      <c r="F9" s="48">
        <v>295865</v>
      </c>
      <c r="G9" s="48">
        <f>CĐKT!G9</f>
        <v>295865</v>
      </c>
      <c r="I9" s="48">
        <f>G9-E9</f>
        <v>-1408135</v>
      </c>
      <c r="J9" s="212">
        <f t="shared" si="2"/>
        <v>-0.8263703051643192</v>
      </c>
    </row>
    <row r="10" spans="1:10">
      <c r="A10" s="46">
        <v>2</v>
      </c>
      <c r="B10" s="204" t="s">
        <v>273</v>
      </c>
      <c r="C10" s="200">
        <v>112</v>
      </c>
      <c r="D10" s="48">
        <v>300349</v>
      </c>
      <c r="E10" s="48">
        <f>CĐKT!E10</f>
        <v>300349</v>
      </c>
      <c r="F10" s="48">
        <v>100349</v>
      </c>
      <c r="G10" s="48">
        <f>CĐKT!G10</f>
        <v>100349</v>
      </c>
      <c r="I10" s="48">
        <f>G10-E10</f>
        <v>-200000</v>
      </c>
      <c r="J10" s="212">
        <f t="shared" si="2"/>
        <v>-0.6658920122923665</v>
      </c>
    </row>
    <row r="11" spans="1:10" ht="28.5">
      <c r="A11" s="268" t="s">
        <v>5</v>
      </c>
      <c r="B11" s="269" t="s">
        <v>278</v>
      </c>
      <c r="C11" s="268">
        <v>120</v>
      </c>
      <c r="D11" s="270">
        <f>D12+D13+D14</f>
        <v>1600</v>
      </c>
      <c r="E11" s="270">
        <f t="shared" ref="E11:G11" si="3">E12+E13+E14</f>
        <v>1600</v>
      </c>
      <c r="F11" s="270">
        <f t="shared" si="3"/>
        <v>0</v>
      </c>
      <c r="G11" s="270">
        <f t="shared" si="3"/>
        <v>0</v>
      </c>
      <c r="H11" s="285"/>
      <c r="I11" s="270">
        <f>G11-E11</f>
        <v>-1600</v>
      </c>
      <c r="J11" s="287">
        <f t="shared" si="2"/>
        <v>-1</v>
      </c>
    </row>
    <row r="12" spans="1:10">
      <c r="A12" s="46">
        <v>1</v>
      </c>
      <c r="B12" s="204" t="s">
        <v>275</v>
      </c>
      <c r="C12" s="200">
        <v>121</v>
      </c>
      <c r="D12" s="48">
        <v>1700</v>
      </c>
      <c r="E12" s="48">
        <f>CĐKT!E12</f>
        <v>1700</v>
      </c>
      <c r="F12" s="48">
        <v>0</v>
      </c>
      <c r="G12" s="48">
        <f>CĐKT!G12</f>
        <v>0</v>
      </c>
      <c r="I12" s="48">
        <f t="shared" ref="I12:I16" si="4">G12-E12</f>
        <v>-1700</v>
      </c>
      <c r="J12" s="212">
        <f t="shared" si="2"/>
        <v>-1</v>
      </c>
    </row>
    <row r="13" spans="1:10" ht="30">
      <c r="A13" s="46">
        <v>2</v>
      </c>
      <c r="B13" s="204" t="s">
        <v>276</v>
      </c>
      <c r="C13" s="200">
        <v>122</v>
      </c>
      <c r="D13" s="48">
        <v>-100</v>
      </c>
      <c r="E13" s="48">
        <f>CĐKT!E13</f>
        <v>-100</v>
      </c>
      <c r="F13" s="48">
        <v>0</v>
      </c>
      <c r="G13" s="48">
        <f>CĐKT!G13</f>
        <v>0</v>
      </c>
      <c r="I13" s="48">
        <f t="shared" si="4"/>
        <v>100</v>
      </c>
      <c r="J13" s="212">
        <f t="shared" si="2"/>
        <v>-1</v>
      </c>
    </row>
    <row r="14" spans="1:10">
      <c r="A14" s="46">
        <v>3</v>
      </c>
      <c r="B14" s="204" t="s">
        <v>277</v>
      </c>
      <c r="C14" s="200">
        <v>123</v>
      </c>
      <c r="D14" s="48">
        <v>0</v>
      </c>
      <c r="E14" s="48">
        <f>CĐKT!E14</f>
        <v>0</v>
      </c>
      <c r="F14" s="48">
        <v>0</v>
      </c>
      <c r="G14" s="48">
        <f>CĐKT!G14</f>
        <v>0</v>
      </c>
      <c r="I14" s="48">
        <f t="shared" si="4"/>
        <v>0</v>
      </c>
      <c r="J14" s="221" t="s">
        <v>370</v>
      </c>
    </row>
    <row r="15" spans="1:10" ht="42.75">
      <c r="A15" s="268" t="s">
        <v>8</v>
      </c>
      <c r="B15" s="269" t="s">
        <v>280</v>
      </c>
      <c r="C15" s="268">
        <v>130</v>
      </c>
      <c r="D15" s="270">
        <f>SUM(D16:D23)</f>
        <v>1412543</v>
      </c>
      <c r="E15" s="270">
        <f>SUM(E16:E23)</f>
        <v>1412543</v>
      </c>
      <c r="F15" s="270">
        <f>SUM(F16:F23)</f>
        <v>938461</v>
      </c>
      <c r="G15" s="270">
        <f>SUM(G16:G23)</f>
        <v>938461</v>
      </c>
      <c r="H15" s="285"/>
      <c r="I15" s="270">
        <f t="shared" si="4"/>
        <v>-474082</v>
      </c>
      <c r="J15" s="287">
        <f t="shared" si="2"/>
        <v>-0.33562305713879154</v>
      </c>
    </row>
    <row r="16" spans="1:10">
      <c r="A16" s="46">
        <v>1</v>
      </c>
      <c r="B16" s="204" t="s">
        <v>281</v>
      </c>
      <c r="C16" s="200">
        <v>131</v>
      </c>
      <c r="D16" s="48">
        <v>1052236</v>
      </c>
      <c r="E16" s="48">
        <f>CĐKT!E16</f>
        <v>1052236</v>
      </c>
      <c r="F16" s="48">
        <v>509498</v>
      </c>
      <c r="G16" s="48">
        <f>CĐKT!G16</f>
        <v>509498</v>
      </c>
      <c r="I16" s="48">
        <f t="shared" si="4"/>
        <v>-542738</v>
      </c>
      <c r="J16" s="212">
        <f t="shared" si="2"/>
        <v>-0.51579493573684987</v>
      </c>
    </row>
    <row r="17" spans="1:10">
      <c r="A17" s="46">
        <v>2</v>
      </c>
      <c r="B17" s="204" t="s">
        <v>282</v>
      </c>
      <c r="C17" s="200">
        <v>132</v>
      </c>
      <c r="D17" s="48">
        <v>480329</v>
      </c>
      <c r="E17" s="48">
        <f>CĐKT!E17</f>
        <v>480329</v>
      </c>
      <c r="F17" s="48">
        <v>404143</v>
      </c>
      <c r="G17" s="48">
        <f>CĐKT!G17</f>
        <v>404143</v>
      </c>
      <c r="I17" s="48">
        <f t="shared" ref="I17:I24" si="5">G17-E17</f>
        <v>-76186</v>
      </c>
      <c r="J17" s="212">
        <f t="shared" ref="J17:J24" si="6">I17/E17</f>
        <v>-0.15861211794415911</v>
      </c>
    </row>
    <row r="18" spans="1:10">
      <c r="A18" s="46">
        <v>3</v>
      </c>
      <c r="B18" s="204" t="s">
        <v>283</v>
      </c>
      <c r="C18" s="200">
        <v>133</v>
      </c>
      <c r="D18" s="48">
        <v>0</v>
      </c>
      <c r="E18" s="48">
        <f>CĐKT!E18</f>
        <v>0</v>
      </c>
      <c r="F18" s="48">
        <v>0</v>
      </c>
      <c r="G18" s="48">
        <f>CĐKT!G18</f>
        <v>0</v>
      </c>
      <c r="I18" s="48">
        <f t="shared" si="5"/>
        <v>0</v>
      </c>
      <c r="J18" s="221" t="s">
        <v>370</v>
      </c>
    </row>
    <row r="19" spans="1:10" ht="30">
      <c r="A19" s="46">
        <v>4</v>
      </c>
      <c r="B19" s="204" t="s">
        <v>284</v>
      </c>
      <c r="C19" s="200">
        <v>134</v>
      </c>
      <c r="D19" s="48">
        <v>0</v>
      </c>
      <c r="E19" s="48">
        <f>CĐKT!E19</f>
        <v>0</v>
      </c>
      <c r="F19" s="48">
        <v>0</v>
      </c>
      <c r="G19" s="48">
        <f>CĐKT!G19</f>
        <v>0</v>
      </c>
      <c r="I19" s="48">
        <f t="shared" si="5"/>
        <v>0</v>
      </c>
      <c r="J19" s="221" t="s">
        <v>370</v>
      </c>
    </row>
    <row r="20" spans="1:10">
      <c r="A20" s="46">
        <v>5</v>
      </c>
      <c r="B20" s="204" t="s">
        <v>285</v>
      </c>
      <c r="C20" s="200">
        <v>135</v>
      </c>
      <c r="D20" s="48">
        <v>0</v>
      </c>
      <c r="E20" s="48">
        <f>CĐKT!E20</f>
        <v>0</v>
      </c>
      <c r="F20" s="48">
        <v>0</v>
      </c>
      <c r="G20" s="48">
        <f>CĐKT!G20</f>
        <v>0</v>
      </c>
      <c r="I20" s="48">
        <f t="shared" si="5"/>
        <v>0</v>
      </c>
      <c r="J20" s="221" t="s">
        <v>370</v>
      </c>
    </row>
    <row r="21" spans="1:10">
      <c r="A21" s="46">
        <v>6</v>
      </c>
      <c r="B21" s="204" t="s">
        <v>286</v>
      </c>
      <c r="C21" s="200">
        <v>136</v>
      </c>
      <c r="D21" s="48">
        <v>174616</v>
      </c>
      <c r="E21" s="48">
        <f>CĐKT!E21</f>
        <v>174616</v>
      </c>
      <c r="F21" s="48">
        <v>364179</v>
      </c>
      <c r="G21" s="48">
        <f>CĐKT!G21</f>
        <v>364179</v>
      </c>
      <c r="I21" s="48">
        <f t="shared" si="5"/>
        <v>189563</v>
      </c>
      <c r="J21" s="212">
        <f t="shared" si="6"/>
        <v>1.0855992577999725</v>
      </c>
    </row>
    <row r="22" spans="1:10">
      <c r="A22" s="46">
        <v>7</v>
      </c>
      <c r="B22" s="204" t="s">
        <v>287</v>
      </c>
      <c r="C22" s="200">
        <v>137</v>
      </c>
      <c r="D22" s="48">
        <v>60083</v>
      </c>
      <c r="E22" s="48">
        <f>CĐKT!E22</f>
        <v>60083</v>
      </c>
      <c r="F22" s="48">
        <v>6428</v>
      </c>
      <c r="G22" s="48">
        <f>CĐKT!G22</f>
        <v>6428</v>
      </c>
      <c r="I22" s="48">
        <f t="shared" si="5"/>
        <v>-53655</v>
      </c>
      <c r="J22" s="212">
        <f t="shared" si="6"/>
        <v>-0.89301466304944821</v>
      </c>
    </row>
    <row r="23" spans="1:10" ht="30">
      <c r="A23" s="46">
        <v>8</v>
      </c>
      <c r="B23" s="204" t="s">
        <v>288</v>
      </c>
      <c r="C23" s="200">
        <v>139</v>
      </c>
      <c r="D23" s="48">
        <v>-354721</v>
      </c>
      <c r="E23" s="48">
        <f>CĐKT!E23</f>
        <v>-354721</v>
      </c>
      <c r="F23" s="48">
        <v>-345787</v>
      </c>
      <c r="G23" s="48">
        <f>CĐKT!G23</f>
        <v>-345787</v>
      </c>
      <c r="I23" s="48">
        <f t="shared" si="5"/>
        <v>8934</v>
      </c>
      <c r="J23" s="212">
        <f t="shared" si="6"/>
        <v>-2.5185991243822609E-2</v>
      </c>
    </row>
    <row r="24" spans="1:10">
      <c r="A24" s="268" t="s">
        <v>9</v>
      </c>
      <c r="B24" s="269" t="s">
        <v>289</v>
      </c>
      <c r="C24" s="268">
        <v>140</v>
      </c>
      <c r="D24" s="270">
        <f>D25+D26</f>
        <v>2225065</v>
      </c>
      <c r="E24" s="270">
        <f>E25+E26</f>
        <v>2225065</v>
      </c>
      <c r="F24" s="270">
        <f>F25+F26</f>
        <v>2616859</v>
      </c>
      <c r="G24" s="270">
        <f>G25+G26</f>
        <v>2616859</v>
      </c>
      <c r="H24" s="285"/>
      <c r="I24" s="270">
        <f t="shared" si="5"/>
        <v>391794</v>
      </c>
      <c r="J24" s="288">
        <f t="shared" si="6"/>
        <v>0.17608204704132238</v>
      </c>
    </row>
    <row r="25" spans="1:10">
      <c r="A25" s="46">
        <v>1</v>
      </c>
      <c r="B25" s="204" t="s">
        <v>35</v>
      </c>
      <c r="C25" s="200">
        <v>141</v>
      </c>
      <c r="D25" s="48">
        <v>2229006</v>
      </c>
      <c r="E25" s="48">
        <f>CĐKT!E25</f>
        <v>2229006</v>
      </c>
      <c r="F25" s="48">
        <v>2620718</v>
      </c>
      <c r="G25" s="48">
        <f>CĐKT!G25</f>
        <v>2620718</v>
      </c>
      <c r="I25" s="48">
        <f t="shared" ref="I25" si="7">G25-E25</f>
        <v>391712</v>
      </c>
      <c r="J25" s="219">
        <f t="shared" ref="J25" si="8">I25/E25</f>
        <v>0.17573393701048809</v>
      </c>
    </row>
    <row r="26" spans="1:10">
      <c r="A26" s="46">
        <v>2</v>
      </c>
      <c r="B26" s="204" t="s">
        <v>290</v>
      </c>
      <c r="C26" s="200">
        <v>149</v>
      </c>
      <c r="D26" s="48">
        <v>-3941</v>
      </c>
      <c r="E26" s="48">
        <f>CĐKT!E26</f>
        <v>-3941</v>
      </c>
      <c r="F26" s="48">
        <v>-3859</v>
      </c>
      <c r="G26" s="48">
        <f>CĐKT!G26</f>
        <v>-3859</v>
      </c>
      <c r="I26" s="48">
        <f t="shared" ref="I26:I33" si="9">G26-E26</f>
        <v>82</v>
      </c>
      <c r="J26" s="219">
        <f t="shared" ref="J26:J30" si="10">I26/E26</f>
        <v>-2.0806901801573206E-2</v>
      </c>
    </row>
    <row r="27" spans="1:10" ht="28.5">
      <c r="A27" s="268" t="s">
        <v>10</v>
      </c>
      <c r="B27" s="269" t="s">
        <v>291</v>
      </c>
      <c r="C27" s="268">
        <v>150</v>
      </c>
      <c r="D27" s="270">
        <f>SUM(D28:D32)</f>
        <v>201272</v>
      </c>
      <c r="E27" s="270">
        <f>SUM(E28:E32)</f>
        <v>201272</v>
      </c>
      <c r="F27" s="270">
        <f>SUM(F28:F32)</f>
        <v>175589</v>
      </c>
      <c r="G27" s="270">
        <f>SUM(G28:G32)</f>
        <v>175589</v>
      </c>
      <c r="H27" s="285"/>
      <c r="I27" s="289">
        <f t="shared" si="9"/>
        <v>-25683</v>
      </c>
      <c r="J27" s="290">
        <f t="shared" si="10"/>
        <v>-0.12760344210819191</v>
      </c>
    </row>
    <row r="28" spans="1:10">
      <c r="A28" s="46">
        <v>1</v>
      </c>
      <c r="B28" s="204" t="s">
        <v>371</v>
      </c>
      <c r="C28" s="200">
        <v>151</v>
      </c>
      <c r="D28" s="48">
        <v>161134</v>
      </c>
      <c r="E28" s="48">
        <f>CĐKT!E28</f>
        <v>161134</v>
      </c>
      <c r="F28" s="48">
        <v>120247</v>
      </c>
      <c r="G28" s="48">
        <f>CĐKT!G28</f>
        <v>120247</v>
      </c>
      <c r="I28" s="48">
        <f t="shared" si="9"/>
        <v>-40887</v>
      </c>
      <c r="J28" s="219">
        <f t="shared" si="10"/>
        <v>-0.25374532997381061</v>
      </c>
    </row>
    <row r="29" spans="1:10">
      <c r="A29" s="46">
        <v>2</v>
      </c>
      <c r="B29" s="204" t="s">
        <v>372</v>
      </c>
      <c r="C29" s="200">
        <v>152</v>
      </c>
      <c r="D29" s="48">
        <v>34995</v>
      </c>
      <c r="E29" s="48">
        <f>CĐKT!E29</f>
        <v>34995</v>
      </c>
      <c r="F29" s="48">
        <v>51187</v>
      </c>
      <c r="G29" s="48">
        <f>CĐKT!G29</f>
        <v>51187</v>
      </c>
      <c r="I29" s="48">
        <f t="shared" si="9"/>
        <v>16192</v>
      </c>
      <c r="J29" s="219">
        <f t="shared" si="10"/>
        <v>0.46269467066723818</v>
      </c>
    </row>
    <row r="30" spans="1:10" ht="30">
      <c r="A30" s="46">
        <v>3</v>
      </c>
      <c r="B30" s="204" t="s">
        <v>373</v>
      </c>
      <c r="C30" s="200" t="s">
        <v>223</v>
      </c>
      <c r="D30" s="48">
        <v>5143</v>
      </c>
      <c r="E30" s="48">
        <f>CĐKT!E30</f>
        <v>5143</v>
      </c>
      <c r="F30" s="48">
        <v>4155</v>
      </c>
      <c r="G30" s="48">
        <f>CĐKT!G30</f>
        <v>4155</v>
      </c>
      <c r="I30" s="48">
        <f t="shared" si="9"/>
        <v>-988</v>
      </c>
      <c r="J30" s="219">
        <f t="shared" si="10"/>
        <v>-0.1921057748395878</v>
      </c>
    </row>
    <row r="31" spans="1:10" ht="30">
      <c r="A31" s="46">
        <v>4</v>
      </c>
      <c r="B31" s="204" t="s">
        <v>374</v>
      </c>
      <c r="C31" s="200" t="s">
        <v>225</v>
      </c>
      <c r="D31" s="48">
        <v>0</v>
      </c>
      <c r="E31" s="48">
        <f>CĐKT!E31</f>
        <v>0</v>
      </c>
      <c r="F31" s="48">
        <v>0</v>
      </c>
      <c r="G31" s="48">
        <f>CĐKT!G31</f>
        <v>0</v>
      </c>
      <c r="I31" s="48">
        <f t="shared" si="9"/>
        <v>0</v>
      </c>
      <c r="J31" s="221" t="s">
        <v>370</v>
      </c>
    </row>
    <row r="32" spans="1:10">
      <c r="A32" s="46">
        <v>5</v>
      </c>
      <c r="B32" s="204" t="s">
        <v>36</v>
      </c>
      <c r="C32" s="200" t="s">
        <v>227</v>
      </c>
      <c r="D32" s="48">
        <v>0</v>
      </c>
      <c r="E32" s="48">
        <f>CĐKT!E32</f>
        <v>0</v>
      </c>
      <c r="F32" s="48">
        <v>0</v>
      </c>
      <c r="G32" s="48">
        <f>CĐKT!G32</f>
        <v>0</v>
      </c>
      <c r="I32" s="48">
        <f t="shared" si="9"/>
        <v>0</v>
      </c>
      <c r="J32" s="221" t="s">
        <v>370</v>
      </c>
    </row>
    <row r="33" spans="1:10" ht="25.5">
      <c r="A33" s="264" t="s">
        <v>2</v>
      </c>
      <c r="B33" s="265" t="s">
        <v>292</v>
      </c>
      <c r="C33" s="266">
        <v>200</v>
      </c>
      <c r="D33" s="267">
        <f>D34+D42+D52+D55+D58+D64</f>
        <v>3919533</v>
      </c>
      <c r="E33" s="267">
        <f t="shared" ref="E33:G33" si="11">E34+E42+E52+E55+E58+E64</f>
        <v>3919533</v>
      </c>
      <c r="F33" s="267">
        <f t="shared" si="11"/>
        <v>3758327</v>
      </c>
      <c r="G33" s="267">
        <f t="shared" si="11"/>
        <v>3758327</v>
      </c>
      <c r="H33" s="285"/>
      <c r="I33" s="267">
        <f t="shared" si="9"/>
        <v>-161206</v>
      </c>
      <c r="J33" s="286">
        <f t="shared" ref="J33" si="12">I33/E33</f>
        <v>-4.1128879384355228E-2</v>
      </c>
    </row>
    <row r="34" spans="1:10" ht="25.5">
      <c r="A34" s="271" t="s">
        <v>4</v>
      </c>
      <c r="B34" s="272" t="s">
        <v>293</v>
      </c>
      <c r="C34" s="268">
        <v>210</v>
      </c>
      <c r="D34" s="270">
        <f>SUM(D35:D41)</f>
        <v>591169</v>
      </c>
      <c r="E34" s="270">
        <f>SUM(E35:E41)</f>
        <v>591169</v>
      </c>
      <c r="F34" s="270">
        <f>SUM(F35:F41)</f>
        <v>592134</v>
      </c>
      <c r="G34" s="270">
        <f>SUM(G35:G41)</f>
        <v>592134</v>
      </c>
      <c r="H34" s="285"/>
      <c r="I34" s="270">
        <f t="shared" ref="I34:I97" si="13">G34-E34</f>
        <v>965</v>
      </c>
      <c r="J34" s="287">
        <f t="shared" ref="J34:J95" si="14">I34/E34</f>
        <v>1.6323589362771051E-3</v>
      </c>
    </row>
    <row r="35" spans="1:10">
      <c r="A35" s="49">
        <v>1</v>
      </c>
      <c r="B35" s="204" t="s">
        <v>294</v>
      </c>
      <c r="C35" s="200">
        <v>211</v>
      </c>
      <c r="D35" s="48">
        <v>575490</v>
      </c>
      <c r="E35" s="48">
        <f>CĐKT!E35</f>
        <v>575490</v>
      </c>
      <c r="F35" s="48">
        <v>583815</v>
      </c>
      <c r="G35" s="48">
        <f>CĐKT!G35</f>
        <v>583815</v>
      </c>
      <c r="I35" s="48">
        <f t="shared" si="13"/>
        <v>8325</v>
      </c>
      <c r="J35" s="212">
        <f t="shared" si="14"/>
        <v>1.4465933378512224E-2</v>
      </c>
    </row>
    <row r="36" spans="1:10">
      <c r="A36" s="49">
        <v>2</v>
      </c>
      <c r="B36" s="204" t="s">
        <v>295</v>
      </c>
      <c r="C36" s="200">
        <v>212</v>
      </c>
      <c r="D36" s="48">
        <v>0</v>
      </c>
      <c r="E36" s="48">
        <f>CĐKT!E36</f>
        <v>0</v>
      </c>
      <c r="F36" s="48">
        <v>0</v>
      </c>
      <c r="G36" s="48">
        <f>CĐKT!G36</f>
        <v>0</v>
      </c>
      <c r="I36" s="48">
        <f t="shared" si="13"/>
        <v>0</v>
      </c>
      <c r="J36" s="221" t="s">
        <v>370</v>
      </c>
    </row>
    <row r="37" spans="1:10">
      <c r="A37" s="49">
        <v>3</v>
      </c>
      <c r="B37" s="204" t="s">
        <v>296</v>
      </c>
      <c r="C37" s="200">
        <v>213</v>
      </c>
      <c r="D37" s="48">
        <v>0</v>
      </c>
      <c r="E37" s="48">
        <f>CĐKT!E37</f>
        <v>0</v>
      </c>
      <c r="F37" s="48">
        <v>0</v>
      </c>
      <c r="G37" s="48">
        <f>CĐKT!G37</f>
        <v>0</v>
      </c>
      <c r="I37" s="48">
        <f t="shared" si="13"/>
        <v>0</v>
      </c>
      <c r="J37" s="221" t="s">
        <v>370</v>
      </c>
    </row>
    <row r="38" spans="1:10">
      <c r="A38" s="49">
        <v>4</v>
      </c>
      <c r="B38" s="204" t="s">
        <v>297</v>
      </c>
      <c r="C38" s="200">
        <v>214</v>
      </c>
      <c r="D38" s="48">
        <v>0</v>
      </c>
      <c r="E38" s="48">
        <f>CĐKT!E38</f>
        <v>0</v>
      </c>
      <c r="F38" s="48">
        <v>0</v>
      </c>
      <c r="G38" s="48">
        <f>CĐKT!G38</f>
        <v>0</v>
      </c>
      <c r="I38" s="48">
        <f t="shared" si="13"/>
        <v>0</v>
      </c>
      <c r="J38" s="221" t="s">
        <v>370</v>
      </c>
    </row>
    <row r="39" spans="1:10">
      <c r="A39" s="49">
        <v>5</v>
      </c>
      <c r="B39" s="204" t="s">
        <v>298</v>
      </c>
      <c r="C39" s="200">
        <v>215</v>
      </c>
      <c r="D39" s="48">
        <v>0</v>
      </c>
      <c r="E39" s="48">
        <f>CĐKT!E39</f>
        <v>0</v>
      </c>
      <c r="F39" s="48">
        <v>0</v>
      </c>
      <c r="G39" s="48">
        <f>CĐKT!G39</f>
        <v>0</v>
      </c>
      <c r="I39" s="48">
        <f t="shared" si="13"/>
        <v>0</v>
      </c>
      <c r="J39" s="221" t="s">
        <v>370</v>
      </c>
    </row>
    <row r="40" spans="1:10">
      <c r="A40" s="49">
        <v>6</v>
      </c>
      <c r="B40" s="204" t="s">
        <v>299</v>
      </c>
      <c r="C40" s="200">
        <v>216</v>
      </c>
      <c r="D40" s="48">
        <v>15679</v>
      </c>
      <c r="E40" s="48">
        <f>CĐKT!E40</f>
        <v>15679</v>
      </c>
      <c r="F40" s="48">
        <v>8319</v>
      </c>
      <c r="G40" s="48">
        <f>CĐKT!G40</f>
        <v>8319</v>
      </c>
      <c r="I40" s="48">
        <f t="shared" si="13"/>
        <v>-7360</v>
      </c>
      <c r="J40" s="212">
        <f t="shared" si="14"/>
        <v>-0.46941769245487597</v>
      </c>
    </row>
    <row r="41" spans="1:10" ht="30">
      <c r="A41" s="49">
        <v>7</v>
      </c>
      <c r="B41" s="204" t="s">
        <v>300</v>
      </c>
      <c r="C41" s="200" t="s">
        <v>228</v>
      </c>
      <c r="D41" s="48">
        <v>0</v>
      </c>
      <c r="E41" s="48">
        <f>CĐKT!E41</f>
        <v>0</v>
      </c>
      <c r="F41" s="48">
        <v>0</v>
      </c>
      <c r="G41" s="48">
        <f>CĐKT!G41</f>
        <v>0</v>
      </c>
      <c r="I41" s="48">
        <f t="shared" si="13"/>
        <v>0</v>
      </c>
      <c r="J41" s="221" t="s">
        <v>370</v>
      </c>
    </row>
    <row r="42" spans="1:10" ht="25.5">
      <c r="A42" s="271" t="s">
        <v>5</v>
      </c>
      <c r="B42" s="272" t="s">
        <v>301</v>
      </c>
      <c r="C42" s="268">
        <v>220</v>
      </c>
      <c r="D42" s="270">
        <f>D43+D46+D49</f>
        <v>2179443</v>
      </c>
      <c r="E42" s="270">
        <f>E43+E46+E49</f>
        <v>2179443</v>
      </c>
      <c r="F42" s="270">
        <f t="shared" ref="F42:G42" si="15">F43+F46+F49</f>
        <v>2130366</v>
      </c>
      <c r="G42" s="270">
        <f t="shared" si="15"/>
        <v>2130366</v>
      </c>
      <c r="H42" s="285"/>
      <c r="I42" s="270">
        <f t="shared" si="13"/>
        <v>-49077</v>
      </c>
      <c r="J42" s="287">
        <f t="shared" si="14"/>
        <v>-2.2518138808860794E-2</v>
      </c>
    </row>
    <row r="43" spans="1:10" ht="29.25">
      <c r="A43" s="271">
        <v>1</v>
      </c>
      <c r="B43" s="273" t="s">
        <v>302</v>
      </c>
      <c r="C43" s="274">
        <v>221</v>
      </c>
      <c r="D43" s="270">
        <f>D44+D45</f>
        <v>2018370</v>
      </c>
      <c r="E43" s="270">
        <f>E44+E45</f>
        <v>2018370</v>
      </c>
      <c r="F43" s="270">
        <f>F44+F45</f>
        <v>2022124</v>
      </c>
      <c r="G43" s="270">
        <f>G44+G45</f>
        <v>2022124</v>
      </c>
      <c r="H43" s="285"/>
      <c r="I43" s="270">
        <f t="shared" si="13"/>
        <v>3754</v>
      </c>
      <c r="J43" s="287">
        <f t="shared" si="14"/>
        <v>1.8599166654280435E-3</v>
      </c>
    </row>
    <row r="44" spans="1:10">
      <c r="A44" s="195" t="s">
        <v>190</v>
      </c>
      <c r="B44" s="204" t="s">
        <v>304</v>
      </c>
      <c r="C44" s="200">
        <v>222</v>
      </c>
      <c r="D44" s="48">
        <v>3298522</v>
      </c>
      <c r="E44" s="48">
        <f>CĐKT!E44</f>
        <v>3298522</v>
      </c>
      <c r="F44" s="48">
        <v>3456801</v>
      </c>
      <c r="G44" s="48">
        <f>CĐKT!G44</f>
        <v>3456801</v>
      </c>
      <c r="I44" s="48">
        <f t="shared" si="13"/>
        <v>158279</v>
      </c>
      <c r="J44" s="212">
        <f t="shared" si="14"/>
        <v>4.7984824718464818E-2</v>
      </c>
    </row>
    <row r="45" spans="1:10">
      <c r="A45" s="195" t="s">
        <v>190</v>
      </c>
      <c r="B45" s="204" t="s">
        <v>305</v>
      </c>
      <c r="C45" s="200">
        <v>223</v>
      </c>
      <c r="D45" s="48">
        <v>-1280152</v>
      </c>
      <c r="E45" s="48">
        <f>CĐKT!E45</f>
        <v>-1280152</v>
      </c>
      <c r="F45" s="48">
        <v>-1434677</v>
      </c>
      <c r="G45" s="48">
        <f>CĐKT!G45</f>
        <v>-1434677</v>
      </c>
      <c r="I45" s="48">
        <f t="shared" si="13"/>
        <v>-154525</v>
      </c>
      <c r="J45" s="212">
        <f t="shared" si="14"/>
        <v>0.12070832213674626</v>
      </c>
    </row>
    <row r="46" spans="1:10" ht="29.25">
      <c r="A46" s="271">
        <v>2</v>
      </c>
      <c r="B46" s="273" t="s">
        <v>303</v>
      </c>
      <c r="C46" s="274">
        <v>224</v>
      </c>
      <c r="D46" s="270">
        <f>D47+D48</f>
        <v>0</v>
      </c>
      <c r="E46" s="270">
        <f t="shared" ref="E46:G46" si="16">E47+E48</f>
        <v>0</v>
      </c>
      <c r="F46" s="270">
        <f t="shared" si="16"/>
        <v>0</v>
      </c>
      <c r="G46" s="270">
        <f t="shared" si="16"/>
        <v>0</v>
      </c>
      <c r="H46" s="285"/>
      <c r="I46" s="270">
        <f t="shared" si="13"/>
        <v>0</v>
      </c>
      <c r="J46" s="291" t="s">
        <v>370</v>
      </c>
    </row>
    <row r="47" spans="1:10">
      <c r="A47" s="195" t="s">
        <v>190</v>
      </c>
      <c r="B47" s="204" t="s">
        <v>304</v>
      </c>
      <c r="C47" s="200" t="s">
        <v>229</v>
      </c>
      <c r="D47" s="48">
        <v>0</v>
      </c>
      <c r="E47" s="48">
        <f>CĐKT!E47</f>
        <v>0</v>
      </c>
      <c r="F47" s="48">
        <v>0</v>
      </c>
      <c r="G47" s="48">
        <f>CĐKT!G47</f>
        <v>0</v>
      </c>
      <c r="I47" s="48">
        <f t="shared" si="13"/>
        <v>0</v>
      </c>
      <c r="J47" s="221" t="s">
        <v>370</v>
      </c>
    </row>
    <row r="48" spans="1:10">
      <c r="A48" s="195" t="s">
        <v>190</v>
      </c>
      <c r="B48" s="204" t="s">
        <v>305</v>
      </c>
      <c r="C48" s="200">
        <v>226</v>
      </c>
      <c r="D48" s="48">
        <v>0</v>
      </c>
      <c r="E48" s="48">
        <f>CĐKT!E48</f>
        <v>0</v>
      </c>
      <c r="F48" s="48">
        <v>0</v>
      </c>
      <c r="G48" s="48">
        <f>CĐKT!G48</f>
        <v>0</v>
      </c>
      <c r="I48" s="48">
        <f t="shared" si="13"/>
        <v>0</v>
      </c>
      <c r="J48" s="221" t="s">
        <v>370</v>
      </c>
    </row>
    <row r="49" spans="1:10" ht="29.25">
      <c r="A49" s="271">
        <v>3</v>
      </c>
      <c r="B49" s="273" t="s">
        <v>306</v>
      </c>
      <c r="C49" s="274">
        <v>227</v>
      </c>
      <c r="D49" s="270">
        <f>D50+D51</f>
        <v>161073</v>
      </c>
      <c r="E49" s="270">
        <f>E50+E51</f>
        <v>161073</v>
      </c>
      <c r="F49" s="270">
        <f>F50+F51</f>
        <v>108242</v>
      </c>
      <c r="G49" s="270">
        <f>G50+G51</f>
        <v>108242</v>
      </c>
      <c r="H49" s="285"/>
      <c r="I49" s="270">
        <f t="shared" si="13"/>
        <v>-52831</v>
      </c>
      <c r="J49" s="287">
        <f t="shared" si="14"/>
        <v>-0.32799413930329724</v>
      </c>
    </row>
    <row r="50" spans="1:10">
      <c r="A50" s="195" t="s">
        <v>190</v>
      </c>
      <c r="B50" s="204" t="s">
        <v>304</v>
      </c>
      <c r="C50" s="200">
        <v>228</v>
      </c>
      <c r="D50" s="48">
        <v>191163</v>
      </c>
      <c r="E50" s="48">
        <f>CĐKT!E50</f>
        <v>191163</v>
      </c>
      <c r="F50" s="48">
        <v>128417</v>
      </c>
      <c r="G50" s="48">
        <f>CĐKT!G50</f>
        <v>128417</v>
      </c>
      <c r="I50" s="48">
        <f t="shared" si="13"/>
        <v>-62746</v>
      </c>
      <c r="J50" s="212">
        <f t="shared" si="14"/>
        <v>-0.32823297395416479</v>
      </c>
    </row>
    <row r="51" spans="1:10">
      <c r="A51" s="195" t="s">
        <v>190</v>
      </c>
      <c r="B51" s="204" t="s">
        <v>305</v>
      </c>
      <c r="C51" s="200">
        <v>229</v>
      </c>
      <c r="D51" s="48">
        <v>-30090</v>
      </c>
      <c r="E51" s="48">
        <f>CĐKT!E51</f>
        <v>-30090</v>
      </c>
      <c r="F51" s="48">
        <v>-20175</v>
      </c>
      <c r="G51" s="48">
        <f>CĐKT!G51</f>
        <v>-20175</v>
      </c>
      <c r="I51" s="48">
        <f t="shared" si="13"/>
        <v>9915</v>
      </c>
      <c r="J51" s="212">
        <f t="shared" si="14"/>
        <v>-0.32951146560319045</v>
      </c>
    </row>
    <row r="52" spans="1:10" ht="29.25">
      <c r="A52" s="275" t="s">
        <v>8</v>
      </c>
      <c r="B52" s="273" t="s">
        <v>309</v>
      </c>
      <c r="C52" s="276" t="s">
        <v>230</v>
      </c>
      <c r="D52" s="270">
        <f>D53+D54</f>
        <v>16306</v>
      </c>
      <c r="E52" s="270">
        <f t="shared" ref="E52:G52" si="17">E53+E54</f>
        <v>16306</v>
      </c>
      <c r="F52" s="270">
        <f t="shared" si="17"/>
        <v>16684</v>
      </c>
      <c r="G52" s="270">
        <f t="shared" si="17"/>
        <v>16684</v>
      </c>
      <c r="H52" s="285"/>
      <c r="I52" s="270">
        <f t="shared" si="13"/>
        <v>378</v>
      </c>
      <c r="J52" s="287">
        <f t="shared" si="14"/>
        <v>2.3181650926039493E-2</v>
      </c>
    </row>
    <row r="53" spans="1:10">
      <c r="A53" s="195" t="s">
        <v>190</v>
      </c>
      <c r="B53" s="204" t="s">
        <v>304</v>
      </c>
      <c r="C53" s="200" t="s">
        <v>231</v>
      </c>
      <c r="D53" s="48">
        <v>20567</v>
      </c>
      <c r="E53" s="48">
        <f>CĐKT!E53</f>
        <v>20567</v>
      </c>
      <c r="F53" s="48">
        <v>21335</v>
      </c>
      <c r="G53" s="48">
        <f>CĐKT!G53</f>
        <v>21335</v>
      </c>
      <c r="I53" s="29">
        <f t="shared" si="13"/>
        <v>768</v>
      </c>
      <c r="J53" s="211">
        <f t="shared" si="14"/>
        <v>3.7341372100938394E-2</v>
      </c>
    </row>
    <row r="54" spans="1:10">
      <c r="A54" s="195" t="s">
        <v>190</v>
      </c>
      <c r="B54" s="204" t="s">
        <v>305</v>
      </c>
      <c r="C54" s="200" t="s">
        <v>232</v>
      </c>
      <c r="D54" s="48">
        <v>-4261</v>
      </c>
      <c r="E54" s="48">
        <f>CĐKT!E54</f>
        <v>-4261</v>
      </c>
      <c r="F54" s="48">
        <v>-4651</v>
      </c>
      <c r="G54" s="48">
        <f>CĐKT!G54</f>
        <v>-4651</v>
      </c>
      <c r="I54" s="29">
        <f t="shared" si="13"/>
        <v>-390</v>
      </c>
      <c r="J54" s="211">
        <f t="shared" si="14"/>
        <v>9.1527810373151844E-2</v>
      </c>
    </row>
    <row r="55" spans="1:10" ht="29.25">
      <c r="A55" s="275" t="s">
        <v>9</v>
      </c>
      <c r="B55" s="273" t="s">
        <v>310</v>
      </c>
      <c r="C55" s="276" t="s">
        <v>233</v>
      </c>
      <c r="D55" s="270">
        <f>D56+D57</f>
        <v>219703</v>
      </c>
      <c r="E55" s="270">
        <f t="shared" ref="E55:G55" si="18">E56+E57</f>
        <v>219703</v>
      </c>
      <c r="F55" s="270">
        <f t="shared" si="18"/>
        <v>118792</v>
      </c>
      <c r="G55" s="270">
        <f t="shared" si="18"/>
        <v>118792</v>
      </c>
      <c r="H55" s="285"/>
      <c r="I55" s="270">
        <f t="shared" si="13"/>
        <v>-100911</v>
      </c>
      <c r="J55" s="287">
        <f t="shared" si="14"/>
        <v>-0.45930642731323651</v>
      </c>
    </row>
    <row r="56" spans="1:10" ht="30">
      <c r="A56" s="196">
        <v>1</v>
      </c>
      <c r="B56" s="204" t="s">
        <v>307</v>
      </c>
      <c r="C56" s="200" t="s">
        <v>234</v>
      </c>
      <c r="D56" s="48">
        <v>0</v>
      </c>
      <c r="E56" s="48">
        <f>CĐKT!E56</f>
        <v>0</v>
      </c>
      <c r="F56" s="48">
        <v>0</v>
      </c>
      <c r="G56" s="48">
        <f>CĐKT!G56</f>
        <v>0</v>
      </c>
      <c r="I56" s="48">
        <f t="shared" si="13"/>
        <v>0</v>
      </c>
      <c r="J56" s="221" t="s">
        <v>370</v>
      </c>
    </row>
    <row r="57" spans="1:10">
      <c r="A57" s="196">
        <v>2</v>
      </c>
      <c r="B57" s="204" t="s">
        <v>308</v>
      </c>
      <c r="C57" s="200" t="s">
        <v>235</v>
      </c>
      <c r="D57" s="48">
        <v>219703</v>
      </c>
      <c r="E57" s="48">
        <f>CĐKT!E57</f>
        <v>219703</v>
      </c>
      <c r="F57" s="48">
        <v>118792</v>
      </c>
      <c r="G57" s="48">
        <f>CĐKT!G57</f>
        <v>118792</v>
      </c>
      <c r="I57" s="48">
        <f t="shared" si="13"/>
        <v>-100911</v>
      </c>
      <c r="J57" s="212">
        <f t="shared" si="14"/>
        <v>-0.45930642731323651</v>
      </c>
    </row>
    <row r="58" spans="1:10" ht="25.5">
      <c r="A58" s="271" t="s">
        <v>10</v>
      </c>
      <c r="B58" s="272" t="s">
        <v>315</v>
      </c>
      <c r="C58" s="268">
        <v>250</v>
      </c>
      <c r="D58" s="270">
        <f>SUM(D59:D63)</f>
        <v>827994</v>
      </c>
      <c r="E58" s="270">
        <f>SUM(E59:E63)</f>
        <v>827994</v>
      </c>
      <c r="F58" s="270">
        <f t="shared" ref="F58:G58" si="19">SUM(F59:F63)</f>
        <v>811767</v>
      </c>
      <c r="G58" s="270">
        <f t="shared" si="19"/>
        <v>811767</v>
      </c>
      <c r="H58" s="285"/>
      <c r="I58" s="270">
        <f t="shared" si="13"/>
        <v>-16227</v>
      </c>
      <c r="J58" s="287">
        <f t="shared" si="14"/>
        <v>-1.9597968101218124E-2</v>
      </c>
    </row>
    <row r="59" spans="1:10">
      <c r="A59" s="49">
        <v>1</v>
      </c>
      <c r="B59" s="204" t="s">
        <v>311</v>
      </c>
      <c r="C59" s="200">
        <v>251</v>
      </c>
      <c r="D59" s="48">
        <v>904480</v>
      </c>
      <c r="E59" s="48">
        <f>CĐKT!E59</f>
        <v>904480</v>
      </c>
      <c r="F59" s="48">
        <v>733120</v>
      </c>
      <c r="G59" s="48">
        <f>CĐKT!G59</f>
        <v>733120</v>
      </c>
      <c r="I59" s="48">
        <f t="shared" si="13"/>
        <v>-171360</v>
      </c>
      <c r="J59" s="212">
        <f t="shared" si="14"/>
        <v>-0.18945692552626925</v>
      </c>
    </row>
    <row r="60" spans="1:10" ht="30">
      <c r="A60" s="49">
        <v>2</v>
      </c>
      <c r="B60" s="204" t="s">
        <v>312</v>
      </c>
      <c r="C60" s="200">
        <v>252</v>
      </c>
      <c r="D60" s="48">
        <v>297051</v>
      </c>
      <c r="E60" s="48">
        <f>CĐKT!E60</f>
        <v>297051</v>
      </c>
      <c r="F60" s="48">
        <v>297051</v>
      </c>
      <c r="G60" s="48">
        <f>CĐKT!G60</f>
        <v>297051</v>
      </c>
      <c r="I60" s="48">
        <f t="shared" si="13"/>
        <v>0</v>
      </c>
      <c r="J60" s="212">
        <f t="shared" si="14"/>
        <v>0</v>
      </c>
    </row>
    <row r="61" spans="1:10">
      <c r="A61" s="49">
        <v>3</v>
      </c>
      <c r="B61" s="204" t="s">
        <v>313</v>
      </c>
      <c r="C61" s="200">
        <v>253</v>
      </c>
      <c r="D61" s="48">
        <v>57213</v>
      </c>
      <c r="E61" s="48">
        <f>CĐKT!E61</f>
        <v>57213</v>
      </c>
      <c r="F61" s="48">
        <v>57213</v>
      </c>
      <c r="G61" s="48">
        <f>CĐKT!G61</f>
        <v>57213</v>
      </c>
      <c r="I61" s="48">
        <f t="shared" si="13"/>
        <v>0</v>
      </c>
      <c r="J61" s="212">
        <f t="shared" si="14"/>
        <v>0</v>
      </c>
    </row>
    <row r="62" spans="1:10" ht="30">
      <c r="A62" s="49">
        <v>4</v>
      </c>
      <c r="B62" s="204" t="s">
        <v>314</v>
      </c>
      <c r="C62" s="200">
        <v>254</v>
      </c>
      <c r="D62" s="48">
        <v>-430750</v>
      </c>
      <c r="E62" s="48">
        <f>CĐKT!E62</f>
        <v>-430750</v>
      </c>
      <c r="F62" s="48">
        <v>-275617</v>
      </c>
      <c r="G62" s="48">
        <f>CĐKT!G62</f>
        <v>-275617</v>
      </c>
      <c r="I62" s="48">
        <f t="shared" si="13"/>
        <v>155133</v>
      </c>
      <c r="J62" s="212">
        <f t="shared" si="14"/>
        <v>-0.36014625652930932</v>
      </c>
    </row>
    <row r="63" spans="1:10">
      <c r="A63" s="49">
        <v>5</v>
      </c>
      <c r="B63" s="204" t="s">
        <v>277</v>
      </c>
      <c r="C63" s="200">
        <v>255</v>
      </c>
      <c r="D63" s="48">
        <v>0</v>
      </c>
      <c r="E63" s="48">
        <f>CĐKT!E63</f>
        <v>0</v>
      </c>
      <c r="F63" s="48">
        <v>0</v>
      </c>
      <c r="G63" s="48">
        <f>CĐKT!G63</f>
        <v>0</v>
      </c>
      <c r="I63" s="48">
        <f t="shared" si="13"/>
        <v>0</v>
      </c>
      <c r="J63" s="221" t="s">
        <v>370</v>
      </c>
    </row>
    <row r="64" spans="1:10" ht="25.5">
      <c r="A64" s="271" t="s">
        <v>316</v>
      </c>
      <c r="B64" s="272" t="s">
        <v>317</v>
      </c>
      <c r="C64" s="268">
        <v>260</v>
      </c>
      <c r="D64" s="270">
        <f>SUM(D65:D68)</f>
        <v>84918</v>
      </c>
      <c r="E64" s="270">
        <f t="shared" ref="E64:G64" si="20">SUM(E65:E68)</f>
        <v>84918</v>
      </c>
      <c r="F64" s="270">
        <f t="shared" si="20"/>
        <v>88584</v>
      </c>
      <c r="G64" s="270">
        <f t="shared" si="20"/>
        <v>88584</v>
      </c>
      <c r="H64" s="285"/>
      <c r="I64" s="270">
        <f t="shared" si="13"/>
        <v>3666</v>
      </c>
      <c r="J64" s="287">
        <f t="shared" si="14"/>
        <v>4.3171059139405075E-2</v>
      </c>
    </row>
    <row r="65" spans="1:10">
      <c r="A65" s="49">
        <v>1</v>
      </c>
      <c r="B65" s="204" t="s">
        <v>318</v>
      </c>
      <c r="C65" s="200">
        <v>261</v>
      </c>
      <c r="D65" s="48">
        <v>80032</v>
      </c>
      <c r="E65" s="48">
        <f>CĐKT!E65</f>
        <v>80032</v>
      </c>
      <c r="F65" s="48">
        <v>87454</v>
      </c>
      <c r="G65" s="48">
        <f>CĐKT!G65</f>
        <v>87454</v>
      </c>
      <c r="I65" s="48">
        <f t="shared" si="13"/>
        <v>7422</v>
      </c>
      <c r="J65" s="212">
        <f t="shared" si="14"/>
        <v>9.273790483806478E-2</v>
      </c>
    </row>
    <row r="66" spans="1:10">
      <c r="A66" s="49">
        <v>2</v>
      </c>
      <c r="B66" s="204" t="s">
        <v>319</v>
      </c>
      <c r="C66" s="200">
        <v>262</v>
      </c>
      <c r="D66" s="48">
        <v>4886</v>
      </c>
      <c r="E66" s="48">
        <f>CĐKT!E66</f>
        <v>4886</v>
      </c>
      <c r="F66" s="48">
        <v>1130</v>
      </c>
      <c r="G66" s="48">
        <f>CĐKT!G66</f>
        <v>1130</v>
      </c>
      <c r="I66" s="48">
        <f t="shared" si="13"/>
        <v>-3756</v>
      </c>
      <c r="J66" s="212">
        <f t="shared" si="14"/>
        <v>-0.76872697503069998</v>
      </c>
    </row>
    <row r="67" spans="1:10" ht="30">
      <c r="A67" s="49">
        <v>3</v>
      </c>
      <c r="B67" s="204" t="s">
        <v>320</v>
      </c>
      <c r="C67" s="200">
        <v>263</v>
      </c>
      <c r="D67" s="48">
        <v>0</v>
      </c>
      <c r="E67" s="48">
        <f>CĐKT!E67</f>
        <v>0</v>
      </c>
      <c r="F67" s="48">
        <v>0</v>
      </c>
      <c r="G67" s="48">
        <f>CĐKT!G67</f>
        <v>0</v>
      </c>
      <c r="I67" s="48">
        <f t="shared" si="13"/>
        <v>0</v>
      </c>
      <c r="J67" s="221" t="s">
        <v>370</v>
      </c>
    </row>
    <row r="68" spans="1:10">
      <c r="A68" s="49">
        <v>4</v>
      </c>
      <c r="B68" s="204" t="s">
        <v>193</v>
      </c>
      <c r="C68" s="200">
        <v>268</v>
      </c>
      <c r="D68" s="48">
        <v>0</v>
      </c>
      <c r="E68" s="48">
        <f>CĐKT!E68</f>
        <v>0</v>
      </c>
      <c r="F68" s="48">
        <v>0</v>
      </c>
      <c r="G68" s="48">
        <f>CĐKT!G68</f>
        <v>0</v>
      </c>
      <c r="I68" s="48">
        <f t="shared" si="13"/>
        <v>0</v>
      </c>
      <c r="J68" s="221" t="s">
        <v>370</v>
      </c>
    </row>
    <row r="69" spans="1:10" ht="28.5">
      <c r="A69" s="266"/>
      <c r="B69" s="277" t="s">
        <v>236</v>
      </c>
      <c r="C69" s="266">
        <v>270</v>
      </c>
      <c r="D69" s="267">
        <f>D33+D7</f>
        <v>9764362</v>
      </c>
      <c r="E69" s="267">
        <f t="shared" ref="E69:G69" si="21">E33+E7</f>
        <v>9764362</v>
      </c>
      <c r="F69" s="267">
        <f t="shared" si="21"/>
        <v>7885450</v>
      </c>
      <c r="G69" s="267">
        <f t="shared" si="21"/>
        <v>7885450</v>
      </c>
      <c r="H69" s="285"/>
      <c r="I69" s="267">
        <f t="shared" si="13"/>
        <v>-1878912</v>
      </c>
      <c r="J69" s="286">
        <f t="shared" si="14"/>
        <v>-0.19242547541764635</v>
      </c>
    </row>
    <row r="70" spans="1:10">
      <c r="A70" s="47"/>
      <c r="B70" s="197" t="s">
        <v>237</v>
      </c>
      <c r="C70" s="47"/>
      <c r="D70" s="29"/>
      <c r="E70" s="29"/>
      <c r="F70" s="29"/>
      <c r="G70" s="29"/>
      <c r="I70" s="207"/>
      <c r="J70" s="220"/>
    </row>
    <row r="71" spans="1:10">
      <c r="A71" s="264" t="s">
        <v>1</v>
      </c>
      <c r="B71" s="265" t="s">
        <v>321</v>
      </c>
      <c r="C71" s="266">
        <v>300</v>
      </c>
      <c r="D71" s="267">
        <f>D72+D87</f>
        <v>5933709</v>
      </c>
      <c r="E71" s="267">
        <f>E72+E87</f>
        <v>5933709</v>
      </c>
      <c r="F71" s="267">
        <f>F72+F87</f>
        <v>3886032</v>
      </c>
      <c r="G71" s="267">
        <f>G72+G87</f>
        <v>3886032</v>
      </c>
      <c r="H71" s="285"/>
      <c r="I71" s="267">
        <f t="shared" si="13"/>
        <v>-2047677</v>
      </c>
      <c r="J71" s="286">
        <f t="shared" si="14"/>
        <v>-0.34509225174338681</v>
      </c>
    </row>
    <row r="72" spans="1:10" ht="28.5">
      <c r="A72" s="268" t="s">
        <v>4</v>
      </c>
      <c r="B72" s="269" t="s">
        <v>322</v>
      </c>
      <c r="C72" s="268">
        <v>310</v>
      </c>
      <c r="D72" s="270">
        <f>SUM(D73:D86)</f>
        <v>5225256</v>
      </c>
      <c r="E72" s="270">
        <f>SUM(E73:E86)</f>
        <v>5225256</v>
      </c>
      <c r="F72" s="270">
        <f>SUM(F73:F86)</f>
        <v>3211103</v>
      </c>
      <c r="G72" s="270">
        <f>SUM(G73:G86)</f>
        <v>3211103</v>
      </c>
      <c r="H72" s="285"/>
      <c r="I72" s="270">
        <f t="shared" si="13"/>
        <v>-2014153</v>
      </c>
      <c r="J72" s="287">
        <f t="shared" si="14"/>
        <v>-0.3854649418133772</v>
      </c>
    </row>
    <row r="73" spans="1:10">
      <c r="A73" s="46">
        <v>1</v>
      </c>
      <c r="B73" s="204" t="s">
        <v>323</v>
      </c>
      <c r="C73" s="200" t="s">
        <v>238</v>
      </c>
      <c r="D73" s="48">
        <v>524050</v>
      </c>
      <c r="E73" s="48">
        <f>CĐKT!E73</f>
        <v>524050</v>
      </c>
      <c r="F73" s="48">
        <v>86938</v>
      </c>
      <c r="G73" s="48">
        <f>CĐKT!G73</f>
        <v>86938</v>
      </c>
      <c r="I73" s="48">
        <f t="shared" si="13"/>
        <v>-437112</v>
      </c>
      <c r="J73" s="212">
        <f t="shared" si="14"/>
        <v>-0.83410361606716921</v>
      </c>
    </row>
    <row r="74" spans="1:10">
      <c r="A74" s="46">
        <v>2</v>
      </c>
      <c r="B74" s="204" t="s">
        <v>324</v>
      </c>
      <c r="C74" s="200" t="s">
        <v>239</v>
      </c>
      <c r="D74" s="48">
        <v>50072</v>
      </c>
      <c r="E74" s="48">
        <f>CĐKT!E74</f>
        <v>50072</v>
      </c>
      <c r="F74" s="48">
        <v>64786</v>
      </c>
      <c r="G74" s="48">
        <f>CĐKT!G74</f>
        <v>64786</v>
      </c>
      <c r="I74" s="48">
        <f t="shared" si="13"/>
        <v>14714</v>
      </c>
      <c r="J74" s="212">
        <f t="shared" si="14"/>
        <v>0.29385684614155616</v>
      </c>
    </row>
    <row r="75" spans="1:10" ht="30">
      <c r="A75" s="46">
        <v>3</v>
      </c>
      <c r="B75" s="204" t="s">
        <v>325</v>
      </c>
      <c r="C75" s="200" t="s">
        <v>240</v>
      </c>
      <c r="D75" s="48">
        <v>31384</v>
      </c>
      <c r="E75" s="48">
        <f>CĐKT!E75</f>
        <v>31384</v>
      </c>
      <c r="F75" s="48">
        <v>5714</v>
      </c>
      <c r="G75" s="48">
        <f>CĐKT!G75</f>
        <v>5714</v>
      </c>
      <c r="I75" s="48">
        <f t="shared" si="13"/>
        <v>-25670</v>
      </c>
      <c r="J75" s="212">
        <f t="shared" si="14"/>
        <v>-0.81793270456283451</v>
      </c>
    </row>
    <row r="76" spans="1:10">
      <c r="A76" s="46">
        <v>4</v>
      </c>
      <c r="B76" s="204" t="s">
        <v>326</v>
      </c>
      <c r="C76" s="200" t="s">
        <v>241</v>
      </c>
      <c r="D76" s="48">
        <v>38232</v>
      </c>
      <c r="E76" s="48">
        <f>CĐKT!E76</f>
        <v>38232</v>
      </c>
      <c r="F76" s="48">
        <v>15848</v>
      </c>
      <c r="G76" s="48">
        <f>CĐKT!G76</f>
        <v>15848</v>
      </c>
      <c r="I76" s="48">
        <f t="shared" si="13"/>
        <v>-22384</v>
      </c>
      <c r="J76" s="212">
        <f t="shared" si="14"/>
        <v>-0.58547813350073241</v>
      </c>
    </row>
    <row r="77" spans="1:10">
      <c r="A77" s="46">
        <v>5</v>
      </c>
      <c r="B77" s="204" t="s">
        <v>327</v>
      </c>
      <c r="C77" s="200" t="s">
        <v>242</v>
      </c>
      <c r="D77" s="48">
        <v>13169</v>
      </c>
      <c r="E77" s="48">
        <f>CĐKT!E77</f>
        <v>13169</v>
      </c>
      <c r="F77" s="48">
        <v>21412</v>
      </c>
      <c r="G77" s="48">
        <f>CĐKT!G77</f>
        <v>21412</v>
      </c>
      <c r="I77" s="48">
        <f t="shared" si="13"/>
        <v>8243</v>
      </c>
      <c r="J77" s="212">
        <f t="shared" si="14"/>
        <v>0.62593970688738709</v>
      </c>
    </row>
    <row r="78" spans="1:10">
      <c r="A78" s="46">
        <v>6</v>
      </c>
      <c r="B78" s="204" t="s">
        <v>328</v>
      </c>
      <c r="C78" s="200" t="s">
        <v>243</v>
      </c>
      <c r="D78" s="48">
        <v>0</v>
      </c>
      <c r="E78" s="48">
        <f>CĐKT!E78</f>
        <v>0</v>
      </c>
      <c r="F78" s="48">
        <v>0</v>
      </c>
      <c r="G78" s="48">
        <f>CĐKT!G78</f>
        <v>0</v>
      </c>
      <c r="I78" s="48">
        <f t="shared" si="13"/>
        <v>0</v>
      </c>
      <c r="J78" s="221" t="s">
        <v>370</v>
      </c>
    </row>
    <row r="79" spans="1:10" ht="30">
      <c r="A79" s="46">
        <v>7</v>
      </c>
      <c r="B79" s="204" t="s">
        <v>329</v>
      </c>
      <c r="C79" s="200" t="s">
        <v>244</v>
      </c>
      <c r="D79" s="48">
        <v>0</v>
      </c>
      <c r="E79" s="48">
        <f>CĐKT!E79</f>
        <v>0</v>
      </c>
      <c r="F79" s="48">
        <v>0</v>
      </c>
      <c r="G79" s="48">
        <f>CĐKT!G79</f>
        <v>0</v>
      </c>
      <c r="I79" s="48">
        <f t="shared" si="13"/>
        <v>0</v>
      </c>
      <c r="J79" s="221" t="s">
        <v>370</v>
      </c>
    </row>
    <row r="80" spans="1:10">
      <c r="A80" s="46">
        <v>8</v>
      </c>
      <c r="B80" s="204" t="s">
        <v>330</v>
      </c>
      <c r="C80" s="200" t="s">
        <v>245</v>
      </c>
      <c r="D80" s="48">
        <v>12091</v>
      </c>
      <c r="E80" s="48">
        <f>CĐKT!E80</f>
        <v>12091</v>
      </c>
      <c r="F80" s="48">
        <v>108555</v>
      </c>
      <c r="G80" s="48">
        <f>CĐKT!G80</f>
        <v>108555</v>
      </c>
      <c r="I80" s="48">
        <f t="shared" si="13"/>
        <v>96464</v>
      </c>
      <c r="J80" s="212">
        <f t="shared" si="14"/>
        <v>7.9781655777024234</v>
      </c>
    </row>
    <row r="81" spans="1:10">
      <c r="A81" s="46">
        <v>9</v>
      </c>
      <c r="B81" s="204" t="s">
        <v>331</v>
      </c>
      <c r="C81" s="200" t="s">
        <v>246</v>
      </c>
      <c r="D81" s="48">
        <v>102633</v>
      </c>
      <c r="E81" s="48">
        <f>CĐKT!E81</f>
        <v>102633</v>
      </c>
      <c r="F81" s="48">
        <v>35182</v>
      </c>
      <c r="G81" s="48">
        <f>CĐKT!G81</f>
        <v>35182</v>
      </c>
      <c r="I81" s="48">
        <f t="shared" si="13"/>
        <v>-67451</v>
      </c>
      <c r="J81" s="212">
        <f t="shared" si="14"/>
        <v>-0.65720577202264374</v>
      </c>
    </row>
    <row r="82" spans="1:10">
      <c r="A82" s="46">
        <v>10</v>
      </c>
      <c r="B82" s="204" t="s">
        <v>332</v>
      </c>
      <c r="C82" s="200" t="s">
        <v>247</v>
      </c>
      <c r="D82" s="48">
        <v>4417812</v>
      </c>
      <c r="E82" s="48">
        <f>CĐKT!E82</f>
        <v>4417812</v>
      </c>
      <c r="F82" s="48">
        <v>2837818</v>
      </c>
      <c r="G82" s="48">
        <f>CĐKT!G82</f>
        <v>2837818</v>
      </c>
      <c r="I82" s="48">
        <f t="shared" si="13"/>
        <v>-1579994</v>
      </c>
      <c r="J82" s="212">
        <f t="shared" si="14"/>
        <v>-0.35764174663838116</v>
      </c>
    </row>
    <row r="83" spans="1:10">
      <c r="A83" s="46">
        <v>11</v>
      </c>
      <c r="B83" s="204" t="s">
        <v>333</v>
      </c>
      <c r="C83" s="200" t="s">
        <v>248</v>
      </c>
      <c r="D83" s="48">
        <v>23275</v>
      </c>
      <c r="E83" s="48">
        <f>CĐKT!E83</f>
        <v>23275</v>
      </c>
      <c r="F83" s="48">
        <v>23275</v>
      </c>
      <c r="G83" s="48">
        <f>CĐKT!G83</f>
        <v>23275</v>
      </c>
      <c r="I83" s="48">
        <f t="shared" si="13"/>
        <v>0</v>
      </c>
      <c r="J83" s="212">
        <f t="shared" si="14"/>
        <v>0</v>
      </c>
    </row>
    <row r="84" spans="1:10">
      <c r="A84" s="46">
        <v>12</v>
      </c>
      <c r="B84" s="204" t="s">
        <v>334</v>
      </c>
      <c r="C84" s="200" t="s">
        <v>249</v>
      </c>
      <c r="D84" s="48">
        <v>12538</v>
      </c>
      <c r="E84" s="48">
        <f>CĐKT!E84</f>
        <v>12538</v>
      </c>
      <c r="F84" s="48">
        <v>11575</v>
      </c>
      <c r="G84" s="48">
        <f>CĐKT!G84</f>
        <v>11575</v>
      </c>
      <c r="I84" s="48">
        <f t="shared" si="13"/>
        <v>-963</v>
      </c>
      <c r="J84" s="212">
        <f t="shared" si="14"/>
        <v>-7.6806508215026326E-2</v>
      </c>
    </row>
    <row r="85" spans="1:10">
      <c r="A85" s="46">
        <v>13</v>
      </c>
      <c r="B85" s="204" t="s">
        <v>335</v>
      </c>
      <c r="C85" s="200" t="s">
        <v>250</v>
      </c>
      <c r="D85" s="48">
        <v>0</v>
      </c>
      <c r="E85" s="48">
        <f>CĐKT!E85</f>
        <v>0</v>
      </c>
      <c r="F85" s="48">
        <v>0</v>
      </c>
      <c r="G85" s="48">
        <f>CĐKT!G85</f>
        <v>0</v>
      </c>
      <c r="I85" s="48">
        <f t="shared" si="13"/>
        <v>0</v>
      </c>
      <c r="J85" s="221" t="s">
        <v>370</v>
      </c>
    </row>
    <row r="86" spans="1:10" ht="30">
      <c r="A86" s="46">
        <v>14</v>
      </c>
      <c r="B86" s="204" t="s">
        <v>336</v>
      </c>
      <c r="C86" s="200" t="s">
        <v>251</v>
      </c>
      <c r="D86" s="48">
        <v>0</v>
      </c>
      <c r="E86" s="48">
        <f>CĐKT!E86</f>
        <v>0</v>
      </c>
      <c r="F86" s="48">
        <v>0</v>
      </c>
      <c r="G86" s="48">
        <f>CĐKT!G86</f>
        <v>0</v>
      </c>
      <c r="I86" s="48">
        <f t="shared" si="13"/>
        <v>0</v>
      </c>
      <c r="J86" s="221" t="s">
        <v>370</v>
      </c>
    </row>
    <row r="87" spans="1:10" ht="28.5">
      <c r="A87" s="268" t="s">
        <v>5</v>
      </c>
      <c r="B87" s="269" t="s">
        <v>337</v>
      </c>
      <c r="C87" s="268">
        <v>330</v>
      </c>
      <c r="D87" s="270">
        <f>SUM(D88:D100)</f>
        <v>708453</v>
      </c>
      <c r="E87" s="270">
        <f t="shared" ref="E87:G87" si="22">SUM(E88:E100)</f>
        <v>708453</v>
      </c>
      <c r="F87" s="270">
        <f t="shared" si="22"/>
        <v>674929</v>
      </c>
      <c r="G87" s="270">
        <f t="shared" si="22"/>
        <v>674929</v>
      </c>
      <c r="H87" s="285"/>
      <c r="I87" s="270">
        <f t="shared" si="13"/>
        <v>-33524</v>
      </c>
      <c r="J87" s="287">
        <f t="shared" si="14"/>
        <v>-4.7320005702566011E-2</v>
      </c>
    </row>
    <row r="88" spans="1:10">
      <c r="A88" s="46">
        <v>1</v>
      </c>
      <c r="B88" s="204" t="s">
        <v>338</v>
      </c>
      <c r="C88" s="200" t="s">
        <v>252</v>
      </c>
      <c r="D88" s="48">
        <v>0</v>
      </c>
      <c r="E88" s="48">
        <f>CĐKT!E88</f>
        <v>0</v>
      </c>
      <c r="F88" s="48">
        <v>0</v>
      </c>
      <c r="G88" s="48">
        <f>CĐKT!G88</f>
        <v>0</v>
      </c>
      <c r="I88" s="48">
        <f t="shared" si="13"/>
        <v>0</v>
      </c>
      <c r="J88" s="221" t="s">
        <v>370</v>
      </c>
    </row>
    <row r="89" spans="1:10">
      <c r="A89" s="46">
        <v>2</v>
      </c>
      <c r="B89" s="204" t="s">
        <v>339</v>
      </c>
      <c r="C89" s="200" t="s">
        <v>253</v>
      </c>
      <c r="D89" s="48">
        <v>0</v>
      </c>
      <c r="E89" s="48">
        <f>CĐKT!E89</f>
        <v>0</v>
      </c>
      <c r="F89" s="48">
        <v>0</v>
      </c>
      <c r="G89" s="48">
        <f>CĐKT!G89</f>
        <v>0</v>
      </c>
      <c r="I89" s="48">
        <f t="shared" si="13"/>
        <v>0</v>
      </c>
      <c r="J89" s="221" t="s">
        <v>370</v>
      </c>
    </row>
    <row r="90" spans="1:10">
      <c r="A90" s="46">
        <v>3</v>
      </c>
      <c r="B90" s="204" t="s">
        <v>340</v>
      </c>
      <c r="C90" s="200" t="s">
        <v>254</v>
      </c>
      <c r="D90" s="48">
        <v>0</v>
      </c>
      <c r="E90" s="48">
        <f>CĐKT!E90</f>
        <v>0</v>
      </c>
      <c r="F90" s="48">
        <v>0</v>
      </c>
      <c r="G90" s="48">
        <f>CĐKT!G90</f>
        <v>0</v>
      </c>
      <c r="I90" s="48">
        <f t="shared" si="13"/>
        <v>0</v>
      </c>
      <c r="J90" s="221" t="s">
        <v>370</v>
      </c>
    </row>
    <row r="91" spans="1:10">
      <c r="A91" s="46">
        <v>4</v>
      </c>
      <c r="B91" s="204" t="s">
        <v>341</v>
      </c>
      <c r="C91" s="200" t="s">
        <v>255</v>
      </c>
      <c r="D91" s="48">
        <v>0</v>
      </c>
      <c r="E91" s="48">
        <f>CĐKT!E91</f>
        <v>0</v>
      </c>
      <c r="F91" s="48">
        <v>0</v>
      </c>
      <c r="G91" s="48">
        <f>CĐKT!G91</f>
        <v>0</v>
      </c>
      <c r="I91" s="48">
        <f t="shared" si="13"/>
        <v>0</v>
      </c>
      <c r="J91" s="221" t="s">
        <v>370</v>
      </c>
    </row>
    <row r="92" spans="1:10">
      <c r="A92" s="46">
        <v>5</v>
      </c>
      <c r="B92" s="204" t="s">
        <v>342</v>
      </c>
      <c r="C92" s="200" t="s">
        <v>256</v>
      </c>
      <c r="D92" s="48">
        <v>0</v>
      </c>
      <c r="E92" s="48">
        <f>CĐKT!E92</f>
        <v>0</v>
      </c>
      <c r="F92" s="48">
        <v>0</v>
      </c>
      <c r="G92" s="48">
        <f>CĐKT!G92</f>
        <v>0</v>
      </c>
      <c r="I92" s="48">
        <f t="shared" si="13"/>
        <v>0</v>
      </c>
      <c r="J92" s="221" t="s">
        <v>370</v>
      </c>
    </row>
    <row r="93" spans="1:10">
      <c r="A93" s="46">
        <v>6</v>
      </c>
      <c r="B93" s="204" t="s">
        <v>343</v>
      </c>
      <c r="C93" s="200" t="s">
        <v>257</v>
      </c>
      <c r="D93" s="48">
        <v>0</v>
      </c>
      <c r="E93" s="48">
        <f>CĐKT!E93</f>
        <v>0</v>
      </c>
      <c r="F93" s="48">
        <v>0</v>
      </c>
      <c r="G93" s="48">
        <f>CĐKT!G93</f>
        <v>0</v>
      </c>
      <c r="I93" s="48">
        <f t="shared" si="13"/>
        <v>0</v>
      </c>
      <c r="J93" s="221" t="s">
        <v>370</v>
      </c>
    </row>
    <row r="94" spans="1:10">
      <c r="A94" s="46">
        <v>7</v>
      </c>
      <c r="B94" s="204" t="s">
        <v>344</v>
      </c>
      <c r="C94" s="200" t="s">
        <v>258</v>
      </c>
      <c r="D94" s="48">
        <v>576148</v>
      </c>
      <c r="E94" s="48">
        <f>CĐKT!E94</f>
        <v>576148</v>
      </c>
      <c r="F94" s="48">
        <v>584735</v>
      </c>
      <c r="G94" s="48">
        <f>CĐKT!G94</f>
        <v>584735</v>
      </c>
      <c r="I94" s="48">
        <f t="shared" si="13"/>
        <v>8587</v>
      </c>
      <c r="J94" s="212">
        <f t="shared" si="14"/>
        <v>1.4904156570881092E-2</v>
      </c>
    </row>
    <row r="95" spans="1:10">
      <c r="A95" s="46">
        <v>8</v>
      </c>
      <c r="B95" s="204" t="s">
        <v>345</v>
      </c>
      <c r="C95" s="200" t="s">
        <v>259</v>
      </c>
      <c r="D95" s="48">
        <v>132305</v>
      </c>
      <c r="E95" s="48">
        <f>CĐKT!E95</f>
        <v>132305</v>
      </c>
      <c r="F95" s="48">
        <v>90194</v>
      </c>
      <c r="G95" s="48">
        <f>CĐKT!G95</f>
        <v>90194</v>
      </c>
      <c r="I95" s="48">
        <f t="shared" si="13"/>
        <v>-42111</v>
      </c>
      <c r="J95" s="212">
        <f t="shared" si="14"/>
        <v>-0.3182872907297532</v>
      </c>
    </row>
    <row r="96" spans="1:10">
      <c r="A96" s="46">
        <v>9</v>
      </c>
      <c r="B96" s="204" t="s">
        <v>346</v>
      </c>
      <c r="C96" s="200" t="s">
        <v>260</v>
      </c>
      <c r="D96" s="48">
        <v>0</v>
      </c>
      <c r="E96" s="48">
        <f>CĐKT!E96</f>
        <v>0</v>
      </c>
      <c r="F96" s="48">
        <v>0</v>
      </c>
      <c r="G96" s="48">
        <f>CĐKT!G96</f>
        <v>0</v>
      </c>
      <c r="I96" s="48">
        <f t="shared" si="13"/>
        <v>0</v>
      </c>
      <c r="J96" s="221" t="s">
        <v>370</v>
      </c>
    </row>
    <row r="97" spans="1:10">
      <c r="A97" s="46">
        <v>10</v>
      </c>
      <c r="B97" s="204" t="s">
        <v>347</v>
      </c>
      <c r="C97" s="200" t="s">
        <v>261</v>
      </c>
      <c r="D97" s="48">
        <v>0</v>
      </c>
      <c r="E97" s="48">
        <f>CĐKT!E97</f>
        <v>0</v>
      </c>
      <c r="F97" s="48">
        <v>0</v>
      </c>
      <c r="G97" s="48">
        <f>CĐKT!G97</f>
        <v>0</v>
      </c>
      <c r="I97" s="48">
        <f t="shared" si="13"/>
        <v>0</v>
      </c>
      <c r="J97" s="221" t="s">
        <v>370</v>
      </c>
    </row>
    <row r="98" spans="1:10">
      <c r="A98" s="46">
        <v>11</v>
      </c>
      <c r="B98" s="204" t="s">
        <v>348</v>
      </c>
      <c r="C98" s="200" t="s">
        <v>262</v>
      </c>
      <c r="D98" s="48">
        <v>0</v>
      </c>
      <c r="E98" s="48">
        <f>CĐKT!E98</f>
        <v>0</v>
      </c>
      <c r="F98" s="48">
        <v>0</v>
      </c>
      <c r="G98" s="48">
        <f>CĐKT!G98</f>
        <v>0</v>
      </c>
      <c r="I98" s="48">
        <f t="shared" ref="I98:I120" si="23">G98-E98</f>
        <v>0</v>
      </c>
      <c r="J98" s="221" t="s">
        <v>370</v>
      </c>
    </row>
    <row r="99" spans="1:10">
      <c r="A99" s="46">
        <v>12</v>
      </c>
      <c r="B99" s="204" t="s">
        <v>349</v>
      </c>
      <c r="C99" s="200" t="s">
        <v>263</v>
      </c>
      <c r="D99" s="48">
        <v>0</v>
      </c>
      <c r="E99" s="48">
        <f>CĐKT!E99</f>
        <v>0</v>
      </c>
      <c r="F99" s="48">
        <v>0</v>
      </c>
      <c r="G99" s="48">
        <f>CĐKT!G99</f>
        <v>0</v>
      </c>
      <c r="I99" s="48">
        <f t="shared" si="23"/>
        <v>0</v>
      </c>
      <c r="J99" s="221" t="s">
        <v>370</v>
      </c>
    </row>
    <row r="100" spans="1:10" ht="30">
      <c r="A100" s="46">
        <v>13</v>
      </c>
      <c r="B100" s="204" t="s">
        <v>350</v>
      </c>
      <c r="C100" s="200" t="s">
        <v>264</v>
      </c>
      <c r="D100" s="48">
        <v>0</v>
      </c>
      <c r="E100" s="48">
        <f>CĐKT!E100</f>
        <v>0</v>
      </c>
      <c r="F100" s="48">
        <v>0</v>
      </c>
      <c r="G100" s="48">
        <f>CĐKT!G100</f>
        <v>0</v>
      </c>
      <c r="I100" s="48">
        <f t="shared" si="23"/>
        <v>0</v>
      </c>
      <c r="J100" s="221" t="s">
        <v>370</v>
      </c>
    </row>
    <row r="101" spans="1:10">
      <c r="A101" s="264" t="s">
        <v>2</v>
      </c>
      <c r="B101" s="265" t="s">
        <v>351</v>
      </c>
      <c r="C101" s="266">
        <v>400</v>
      </c>
      <c r="D101" s="267">
        <f>D102+D117</f>
        <v>3830652</v>
      </c>
      <c r="E101" s="267">
        <f t="shared" ref="E101:G101" si="24">E102+E117</f>
        <v>3830652</v>
      </c>
      <c r="F101" s="267">
        <f t="shared" si="24"/>
        <v>3999415</v>
      </c>
      <c r="G101" s="267">
        <f t="shared" si="24"/>
        <v>3999415</v>
      </c>
      <c r="H101" s="285"/>
      <c r="I101" s="267">
        <f t="shared" si="23"/>
        <v>168763</v>
      </c>
      <c r="J101" s="286">
        <f t="shared" ref="J101:J120" si="25">I101/E101</f>
        <v>4.4055946611699523E-2</v>
      </c>
    </row>
    <row r="102" spans="1:10">
      <c r="A102" s="271" t="s">
        <v>4</v>
      </c>
      <c r="B102" s="273" t="s">
        <v>352</v>
      </c>
      <c r="C102" s="276">
        <v>410</v>
      </c>
      <c r="D102" s="270">
        <f>SUM(D103:D113)+D116</f>
        <v>3830652</v>
      </c>
      <c r="E102" s="270">
        <f>SUM(E103:E113)+E116</f>
        <v>3830652</v>
      </c>
      <c r="F102" s="270">
        <f t="shared" ref="F102:G102" si="26">SUM(F103:F113)+F116</f>
        <v>3999415</v>
      </c>
      <c r="G102" s="270">
        <f t="shared" si="26"/>
        <v>3999415</v>
      </c>
      <c r="H102" s="285"/>
      <c r="I102" s="270">
        <f t="shared" si="23"/>
        <v>168763</v>
      </c>
      <c r="J102" s="287">
        <f t="shared" si="25"/>
        <v>4.4055946611699523E-2</v>
      </c>
    </row>
    <row r="103" spans="1:10">
      <c r="A103" s="49">
        <v>1</v>
      </c>
      <c r="B103" s="204" t="s">
        <v>353</v>
      </c>
      <c r="C103" s="200">
        <v>411</v>
      </c>
      <c r="D103" s="48">
        <v>2397676</v>
      </c>
      <c r="E103" s="48">
        <f>CĐKT!E103</f>
        <v>2397676</v>
      </c>
      <c r="F103" s="48">
        <v>2831177</v>
      </c>
      <c r="G103" s="48">
        <f>CĐKT!G103</f>
        <v>2831177</v>
      </c>
      <c r="I103" s="48">
        <f t="shared" si="23"/>
        <v>433501</v>
      </c>
      <c r="J103" s="212">
        <f t="shared" si="25"/>
        <v>0.18080049180956892</v>
      </c>
    </row>
    <row r="104" spans="1:10">
      <c r="A104" s="49">
        <v>2</v>
      </c>
      <c r="B104" s="204" t="s">
        <v>354</v>
      </c>
      <c r="C104" s="200">
        <v>412</v>
      </c>
      <c r="D104" s="48">
        <v>0</v>
      </c>
      <c r="E104" s="48">
        <f>CĐKT!E104</f>
        <v>0</v>
      </c>
      <c r="F104" s="48">
        <v>0</v>
      </c>
      <c r="G104" s="48">
        <f>CĐKT!G104</f>
        <v>0</v>
      </c>
      <c r="I104" s="48">
        <f t="shared" si="23"/>
        <v>0</v>
      </c>
      <c r="J104" s="221" t="s">
        <v>370</v>
      </c>
    </row>
    <row r="105" spans="1:10">
      <c r="A105" s="49">
        <v>3</v>
      </c>
      <c r="B105" s="204" t="s">
        <v>355</v>
      </c>
      <c r="C105" s="200">
        <v>413</v>
      </c>
      <c r="D105" s="48">
        <v>0</v>
      </c>
      <c r="E105" s="48">
        <f>CĐKT!E105</f>
        <v>0</v>
      </c>
      <c r="F105" s="48">
        <v>0</v>
      </c>
      <c r="G105" s="48">
        <f>CĐKT!G105</f>
        <v>0</v>
      </c>
      <c r="I105" s="48">
        <f t="shared" si="23"/>
        <v>0</v>
      </c>
      <c r="J105" s="221" t="s">
        <v>370</v>
      </c>
    </row>
    <row r="106" spans="1:10">
      <c r="A106" s="49">
        <v>4</v>
      </c>
      <c r="B106" s="204" t="s">
        <v>356</v>
      </c>
      <c r="C106" s="200">
        <v>414</v>
      </c>
      <c r="D106" s="48">
        <v>757912</v>
      </c>
      <c r="E106" s="48">
        <f>CĐKT!E106</f>
        <v>757912</v>
      </c>
      <c r="F106" s="48">
        <v>756203</v>
      </c>
      <c r="G106" s="48">
        <f>CĐKT!G106</f>
        <v>756203</v>
      </c>
      <c r="I106" s="48">
        <f t="shared" si="23"/>
        <v>-1709</v>
      </c>
      <c r="J106" s="212">
        <f t="shared" si="25"/>
        <v>-2.2548791944183495E-3</v>
      </c>
    </row>
    <row r="107" spans="1:10">
      <c r="A107" s="49">
        <v>5</v>
      </c>
      <c r="B107" s="204" t="s">
        <v>357</v>
      </c>
      <c r="C107" s="200">
        <v>415</v>
      </c>
      <c r="D107" s="48">
        <v>0</v>
      </c>
      <c r="E107" s="48">
        <f>CĐKT!E107</f>
        <v>0</v>
      </c>
      <c r="F107" s="48">
        <v>0</v>
      </c>
      <c r="G107" s="48">
        <f>CĐKT!G107</f>
        <v>0</v>
      </c>
      <c r="I107" s="48">
        <f t="shared" si="23"/>
        <v>0</v>
      </c>
      <c r="J107" s="221" t="s">
        <v>370</v>
      </c>
    </row>
    <row r="108" spans="1:10">
      <c r="A108" s="49">
        <v>6</v>
      </c>
      <c r="B108" s="204" t="s">
        <v>358</v>
      </c>
      <c r="C108" s="200">
        <v>416</v>
      </c>
      <c r="D108" s="48">
        <v>1765</v>
      </c>
      <c r="E108" s="48">
        <f>CĐKT!E108</f>
        <v>1765</v>
      </c>
      <c r="F108" s="48">
        <v>1765</v>
      </c>
      <c r="G108" s="48">
        <f>CĐKT!G108</f>
        <v>1765</v>
      </c>
      <c r="I108" s="48">
        <f t="shared" si="23"/>
        <v>0</v>
      </c>
      <c r="J108" s="212">
        <f t="shared" si="25"/>
        <v>0</v>
      </c>
    </row>
    <row r="109" spans="1:10">
      <c r="A109" s="49">
        <v>7</v>
      </c>
      <c r="B109" s="204" t="s">
        <v>359</v>
      </c>
      <c r="C109" s="200">
        <v>417</v>
      </c>
      <c r="D109" s="48">
        <v>0</v>
      </c>
      <c r="E109" s="48">
        <f>CĐKT!E109</f>
        <v>0</v>
      </c>
      <c r="F109" s="48"/>
      <c r="G109" s="48">
        <f>CĐKT!G109</f>
        <v>0</v>
      </c>
      <c r="I109" s="48">
        <f t="shared" si="23"/>
        <v>0</v>
      </c>
      <c r="J109" s="221" t="s">
        <v>370</v>
      </c>
    </row>
    <row r="110" spans="1:10">
      <c r="A110" s="49">
        <v>8</v>
      </c>
      <c r="B110" s="204" t="s">
        <v>360</v>
      </c>
      <c r="C110" s="200" t="s">
        <v>265</v>
      </c>
      <c r="D110" s="48">
        <v>1028956</v>
      </c>
      <c r="E110" s="48">
        <f>CĐKT!E110</f>
        <v>1028956</v>
      </c>
      <c r="F110" s="48">
        <v>772069</v>
      </c>
      <c r="G110" s="48">
        <f>CĐKT!G110</f>
        <v>772069</v>
      </c>
      <c r="I110" s="48">
        <f t="shared" si="23"/>
        <v>-256887</v>
      </c>
      <c r="J110" s="212">
        <f t="shared" si="25"/>
        <v>-0.24965790568304183</v>
      </c>
    </row>
    <row r="111" spans="1:10">
      <c r="A111" s="49">
        <v>9</v>
      </c>
      <c r="B111" s="204" t="s">
        <v>361</v>
      </c>
      <c r="C111" s="200">
        <v>419</v>
      </c>
      <c r="D111" s="48">
        <v>208167</v>
      </c>
      <c r="E111" s="48">
        <f>CĐKT!E111</f>
        <v>208167</v>
      </c>
      <c r="F111" s="48">
        <v>208792</v>
      </c>
      <c r="G111" s="48">
        <f>CĐKT!G111</f>
        <v>208792</v>
      </c>
      <c r="I111" s="48">
        <f t="shared" si="23"/>
        <v>625</v>
      </c>
      <c r="J111" s="212">
        <f t="shared" si="25"/>
        <v>3.0023971138557026E-3</v>
      </c>
    </row>
    <row r="112" spans="1:10">
      <c r="A112" s="49">
        <v>10</v>
      </c>
      <c r="B112" s="204" t="s">
        <v>362</v>
      </c>
      <c r="C112" s="200">
        <v>420</v>
      </c>
      <c r="D112" s="48">
        <v>0</v>
      </c>
      <c r="E112" s="48">
        <f>CĐKT!E112</f>
        <v>0</v>
      </c>
      <c r="F112" s="48">
        <v>0</v>
      </c>
      <c r="G112" s="48">
        <f>CĐKT!G112</f>
        <v>0</v>
      </c>
      <c r="I112" s="48">
        <f t="shared" si="23"/>
        <v>0</v>
      </c>
      <c r="J112" s="221" t="s">
        <v>370</v>
      </c>
    </row>
    <row r="113" spans="1:10">
      <c r="A113" s="49">
        <v>11</v>
      </c>
      <c r="B113" s="205" t="s">
        <v>363</v>
      </c>
      <c r="C113" s="200">
        <v>421</v>
      </c>
      <c r="D113" s="48">
        <v>-959327</v>
      </c>
      <c r="E113" s="48">
        <f>CĐKT!E113</f>
        <v>-959327</v>
      </c>
      <c r="F113" s="48">
        <v>-798479</v>
      </c>
      <c r="G113" s="48">
        <f>CĐKT!G113</f>
        <v>-798479</v>
      </c>
      <c r="I113" s="48">
        <f t="shared" si="23"/>
        <v>160848</v>
      </c>
      <c r="J113" s="212">
        <f t="shared" si="25"/>
        <v>-0.16766754193304265</v>
      </c>
    </row>
    <row r="114" spans="1:10" ht="30">
      <c r="A114" s="195" t="s">
        <v>190</v>
      </c>
      <c r="B114" s="206" t="s">
        <v>364</v>
      </c>
      <c r="C114" s="200" t="s">
        <v>266</v>
      </c>
      <c r="D114" s="48"/>
      <c r="E114" s="48">
        <f>CĐKT!E114</f>
        <v>-859327</v>
      </c>
      <c r="F114" s="48">
        <v>-859327</v>
      </c>
      <c r="G114" s="48">
        <f>CĐKT!G114</f>
        <v>-698479</v>
      </c>
      <c r="I114" s="48">
        <f t="shared" si="23"/>
        <v>160848</v>
      </c>
      <c r="J114" s="212">
        <f t="shared" si="25"/>
        <v>-0.18717903661819074</v>
      </c>
    </row>
    <row r="115" spans="1:10">
      <c r="A115" s="195" t="s">
        <v>190</v>
      </c>
      <c r="B115" s="206" t="s">
        <v>365</v>
      </c>
      <c r="C115" s="200" t="s">
        <v>267</v>
      </c>
      <c r="D115" s="48"/>
      <c r="E115" s="48">
        <f>CĐKT!E115</f>
        <v>-100000</v>
      </c>
      <c r="F115" s="48">
        <v>-100000</v>
      </c>
      <c r="G115" s="48">
        <f>CĐKT!G115</f>
        <v>-100000</v>
      </c>
      <c r="I115" s="48">
        <f t="shared" si="23"/>
        <v>0</v>
      </c>
      <c r="J115" s="212">
        <f t="shared" si="25"/>
        <v>0</v>
      </c>
    </row>
    <row r="116" spans="1:10">
      <c r="A116" s="49">
        <v>12</v>
      </c>
      <c r="B116" s="204" t="s">
        <v>366</v>
      </c>
      <c r="C116" s="200">
        <v>422</v>
      </c>
      <c r="D116" s="48">
        <v>395503</v>
      </c>
      <c r="E116" s="48">
        <f>CĐKT!E116</f>
        <v>395503</v>
      </c>
      <c r="F116" s="48">
        <v>227888</v>
      </c>
      <c r="G116" s="48">
        <f>CĐKT!G116</f>
        <v>227888</v>
      </c>
      <c r="I116" s="48">
        <f t="shared" si="23"/>
        <v>-167615</v>
      </c>
      <c r="J116" s="212">
        <f t="shared" si="25"/>
        <v>-0.42380209505364053</v>
      </c>
    </row>
    <row r="117" spans="1:10">
      <c r="A117" s="271" t="s">
        <v>5</v>
      </c>
      <c r="B117" s="273" t="s">
        <v>268</v>
      </c>
      <c r="C117" s="276">
        <v>430</v>
      </c>
      <c r="D117" s="270">
        <f>D118+D119</f>
        <v>0</v>
      </c>
      <c r="E117" s="270">
        <f>E118+E119</f>
        <v>0</v>
      </c>
      <c r="F117" s="270">
        <f t="shared" ref="F117:G117" si="27">F118+F119</f>
        <v>0</v>
      </c>
      <c r="G117" s="270">
        <f t="shared" si="27"/>
        <v>0</v>
      </c>
      <c r="H117" s="285"/>
      <c r="I117" s="270">
        <f t="shared" si="23"/>
        <v>0</v>
      </c>
      <c r="J117" s="292" t="s">
        <v>370</v>
      </c>
    </row>
    <row r="118" spans="1:10">
      <c r="A118" s="49">
        <v>1</v>
      </c>
      <c r="B118" s="204" t="s">
        <v>367</v>
      </c>
      <c r="C118" s="200" t="s">
        <v>269</v>
      </c>
      <c r="D118" s="48">
        <v>0</v>
      </c>
      <c r="E118" s="48">
        <f>CĐKT!E118</f>
        <v>0</v>
      </c>
      <c r="F118" s="48">
        <v>0</v>
      </c>
      <c r="G118" s="48">
        <f>CĐKT!G118</f>
        <v>0</v>
      </c>
      <c r="I118" s="48">
        <f t="shared" si="23"/>
        <v>0</v>
      </c>
      <c r="J118" s="221" t="s">
        <v>370</v>
      </c>
    </row>
    <row r="119" spans="1:10">
      <c r="A119" s="49">
        <v>2</v>
      </c>
      <c r="B119" s="204" t="s">
        <v>368</v>
      </c>
      <c r="C119" s="200" t="s">
        <v>270</v>
      </c>
      <c r="D119" s="48">
        <v>0</v>
      </c>
      <c r="E119" s="48">
        <f>CĐKT!E119</f>
        <v>0</v>
      </c>
      <c r="F119" s="48">
        <v>0</v>
      </c>
      <c r="G119" s="48">
        <f>CĐKT!G119</f>
        <v>0</v>
      </c>
      <c r="I119" s="48">
        <f t="shared" si="23"/>
        <v>0</v>
      </c>
      <c r="J119" s="221" t="s">
        <v>370</v>
      </c>
    </row>
    <row r="120" spans="1:10" ht="28.5">
      <c r="A120" s="282"/>
      <c r="B120" s="283" t="s">
        <v>271</v>
      </c>
      <c r="C120" s="282">
        <v>440</v>
      </c>
      <c r="D120" s="284">
        <f>D71+D101</f>
        <v>9764361</v>
      </c>
      <c r="E120" s="284">
        <f>E71+E101</f>
        <v>9764361</v>
      </c>
      <c r="F120" s="284">
        <f>F71+F101</f>
        <v>7885447</v>
      </c>
      <c r="G120" s="284">
        <f>G71+G101</f>
        <v>7885447</v>
      </c>
      <c r="H120" s="285"/>
      <c r="I120" s="284">
        <f t="shared" si="23"/>
        <v>-1878914</v>
      </c>
      <c r="J120" s="293">
        <f t="shared" si="25"/>
        <v>-0.19242569995107719</v>
      </c>
    </row>
    <row r="122" spans="1:10">
      <c r="D122" s="77"/>
      <c r="F122" s="77"/>
    </row>
    <row r="123" spans="1:10">
      <c r="F123" s="77"/>
    </row>
  </sheetData>
  <mergeCells count="7">
    <mergeCell ref="B2:I2"/>
    <mergeCell ref="I4:J4"/>
    <mergeCell ref="A4:A5"/>
    <mergeCell ref="B4:B5"/>
    <mergeCell ref="C4:C5"/>
    <mergeCell ref="D4:E5"/>
    <mergeCell ref="F4:G5"/>
  </mergeCells>
  <pageMargins left="1.17" right="0.7" top="0.75" bottom="0.75" header="0.3" footer="0.3"/>
  <pageSetup orientation="portrait" r:id="rId1"/>
  <ignoredErrors>
    <ignoredError sqref="C9 C30:C32 C41:C57 C73:C89 C90:C100 C110:C120" numberStoredAsText="1"/>
  </ignoredErrors>
  <drawing r:id="rId2"/>
</worksheet>
</file>

<file path=xl/worksheets/sheet4.xml><?xml version="1.0" encoding="utf-8"?>
<worksheet xmlns="http://schemas.openxmlformats.org/spreadsheetml/2006/main" xmlns:r="http://schemas.openxmlformats.org/officeDocument/2006/relationships">
  <sheetPr>
    <tabColor rgb="FFFF0000"/>
  </sheetPr>
  <dimension ref="A1:I22"/>
  <sheetViews>
    <sheetView workbookViewId="0">
      <selection sqref="A1:G2"/>
    </sheetView>
  </sheetViews>
  <sheetFormatPr defaultColWidth="9.140625" defaultRowHeight="15"/>
  <cols>
    <col min="1" max="1" width="4.28515625" style="42" customWidth="1"/>
    <col min="2" max="2" width="33.140625" style="42" customWidth="1"/>
    <col min="3" max="3" width="7.7109375" style="42" customWidth="1"/>
    <col min="4" max="9" width="10" style="42" customWidth="1"/>
    <col min="10" max="16384" width="9.140625" style="42"/>
  </cols>
  <sheetData>
    <row r="1" spans="1:9">
      <c r="A1" s="408" t="s">
        <v>66</v>
      </c>
      <c r="B1" s="409"/>
      <c r="C1" s="409"/>
      <c r="D1" s="409"/>
      <c r="E1" s="409"/>
      <c r="F1" s="409"/>
      <c r="G1" s="409"/>
    </row>
    <row r="2" spans="1:9">
      <c r="A2" s="409"/>
      <c r="B2" s="409"/>
      <c r="C2" s="409"/>
      <c r="D2" s="409"/>
      <c r="E2" s="409"/>
      <c r="F2" s="409"/>
      <c r="G2" s="409"/>
    </row>
    <row r="4" spans="1:9">
      <c r="A4" s="410" t="s">
        <v>0</v>
      </c>
      <c r="B4" s="412" t="s">
        <v>27</v>
      </c>
      <c r="C4" s="410" t="s">
        <v>28</v>
      </c>
      <c r="D4" s="414" t="s">
        <v>30</v>
      </c>
      <c r="E4" s="415"/>
      <c r="F4" s="414" t="s">
        <v>72</v>
      </c>
      <c r="G4" s="415"/>
      <c r="H4" s="414" t="s">
        <v>123</v>
      </c>
      <c r="I4" s="415"/>
    </row>
    <row r="5" spans="1:9">
      <c r="A5" s="411"/>
      <c r="B5" s="413"/>
      <c r="C5" s="411"/>
      <c r="D5" s="318" t="s">
        <v>32</v>
      </c>
      <c r="E5" s="318" t="s">
        <v>31</v>
      </c>
      <c r="F5" s="318" t="s">
        <v>32</v>
      </c>
      <c r="G5" s="318" t="s">
        <v>31</v>
      </c>
      <c r="H5" s="319" t="s">
        <v>124</v>
      </c>
      <c r="I5" s="318" t="s">
        <v>3</v>
      </c>
    </row>
    <row r="6" spans="1:9" ht="30">
      <c r="A6" s="96">
        <v>1</v>
      </c>
      <c r="B6" s="93" t="s">
        <v>79</v>
      </c>
      <c r="C6" s="95" t="s">
        <v>81</v>
      </c>
      <c r="D6" s="113">
        <v>15667470</v>
      </c>
      <c r="E6" s="113">
        <v>15667470</v>
      </c>
      <c r="F6" s="113">
        <v>9969052</v>
      </c>
      <c r="G6" s="113">
        <v>9969052</v>
      </c>
      <c r="H6" s="113">
        <f>G6-E6</f>
        <v>-5698418</v>
      </c>
      <c r="I6" s="114">
        <f>H6/E6</f>
        <v>-0.36371015869186279</v>
      </c>
    </row>
    <row r="7" spans="1:9">
      <c r="A7" s="46">
        <v>2</v>
      </c>
      <c r="B7" s="94" t="s">
        <v>80</v>
      </c>
      <c r="C7" s="95" t="s">
        <v>82</v>
      </c>
      <c r="D7" s="99">
        <v>15657</v>
      </c>
      <c r="E7" s="99">
        <v>15657</v>
      </c>
      <c r="F7" s="99">
        <v>17642</v>
      </c>
      <c r="G7" s="99">
        <v>17642</v>
      </c>
      <c r="H7" s="113">
        <f t="shared" ref="H7:H22" si="0">G7-E7</f>
        <v>1985</v>
      </c>
      <c r="I7" s="114">
        <f t="shared" ref="I7:I22" si="1">H7/E7</f>
        <v>0.12678035383534522</v>
      </c>
    </row>
    <row r="8" spans="1:9" ht="26.45" customHeight="1">
      <c r="A8" s="295">
        <v>3</v>
      </c>
      <c r="B8" s="296" t="s">
        <v>117</v>
      </c>
      <c r="C8" s="297">
        <v>10</v>
      </c>
      <c r="D8" s="298">
        <f>D6-D7</f>
        <v>15651813</v>
      </c>
      <c r="E8" s="298">
        <f>E6-E7</f>
        <v>15651813</v>
      </c>
      <c r="F8" s="298">
        <f>F6-F7</f>
        <v>9951410</v>
      </c>
      <c r="G8" s="298">
        <f>G6-G7</f>
        <v>9951410</v>
      </c>
      <c r="H8" s="298">
        <f t="shared" si="0"/>
        <v>-5700403</v>
      </c>
      <c r="I8" s="299">
        <f t="shared" si="1"/>
        <v>-0.36420081175260655</v>
      </c>
    </row>
    <row r="9" spans="1:9">
      <c r="A9" s="46">
        <v>4</v>
      </c>
      <c r="B9" s="51" t="s">
        <v>38</v>
      </c>
      <c r="C9" s="50">
        <v>11</v>
      </c>
      <c r="D9" s="52">
        <v>13069598</v>
      </c>
      <c r="E9" s="52">
        <v>13069598</v>
      </c>
      <c r="F9" s="52">
        <v>8390076</v>
      </c>
      <c r="G9" s="52">
        <v>8390076</v>
      </c>
      <c r="H9" s="113">
        <f t="shared" si="0"/>
        <v>-4679522</v>
      </c>
      <c r="I9" s="114">
        <f t="shared" si="1"/>
        <v>-0.35804636072203599</v>
      </c>
    </row>
    <row r="10" spans="1:9" ht="28.5">
      <c r="A10" s="295">
        <v>5</v>
      </c>
      <c r="B10" s="300" t="s">
        <v>118</v>
      </c>
      <c r="C10" s="301">
        <v>20</v>
      </c>
      <c r="D10" s="302">
        <f>D8-D9</f>
        <v>2582215</v>
      </c>
      <c r="E10" s="302">
        <f>E8-E9</f>
        <v>2582215</v>
      </c>
      <c r="F10" s="302">
        <f>F8-F9</f>
        <v>1561334</v>
      </c>
      <c r="G10" s="302">
        <f>G8-G9</f>
        <v>1561334</v>
      </c>
      <c r="H10" s="298">
        <f t="shared" si="0"/>
        <v>-1020881</v>
      </c>
      <c r="I10" s="299">
        <f t="shared" si="1"/>
        <v>-0.39535089061135498</v>
      </c>
    </row>
    <row r="11" spans="1:9">
      <c r="A11" s="46">
        <v>6</v>
      </c>
      <c r="B11" s="51" t="s">
        <v>83</v>
      </c>
      <c r="C11" s="50">
        <v>21</v>
      </c>
      <c r="D11" s="52">
        <v>214325</v>
      </c>
      <c r="E11" s="52">
        <v>214325</v>
      </c>
      <c r="F11" s="52">
        <v>92863</v>
      </c>
      <c r="G11" s="52">
        <v>92863</v>
      </c>
      <c r="H11" s="113">
        <f t="shared" si="0"/>
        <v>-121462</v>
      </c>
      <c r="I11" s="114">
        <f t="shared" si="1"/>
        <v>-0.56671876822582523</v>
      </c>
    </row>
    <row r="12" spans="1:9">
      <c r="A12" s="96">
        <v>7</v>
      </c>
      <c r="B12" s="51" t="s">
        <v>84</v>
      </c>
      <c r="C12" s="50">
        <v>22</v>
      </c>
      <c r="D12" s="52">
        <v>523950</v>
      </c>
      <c r="E12" s="52">
        <v>523950</v>
      </c>
      <c r="F12" s="52">
        <v>53797</v>
      </c>
      <c r="G12" s="52">
        <v>53797</v>
      </c>
      <c r="H12" s="113">
        <f t="shared" si="0"/>
        <v>-470153</v>
      </c>
      <c r="I12" s="114">
        <f t="shared" si="1"/>
        <v>-0.89732417215383142</v>
      </c>
    </row>
    <row r="13" spans="1:9">
      <c r="A13" s="96"/>
      <c r="B13" s="51" t="s">
        <v>85</v>
      </c>
      <c r="C13" s="50">
        <v>23</v>
      </c>
      <c r="D13" s="52">
        <v>233101</v>
      </c>
      <c r="E13" s="52">
        <v>233101</v>
      </c>
      <c r="F13" s="52">
        <v>137046</v>
      </c>
      <c r="G13" s="52">
        <v>137046</v>
      </c>
      <c r="H13" s="113">
        <f t="shared" si="0"/>
        <v>-96055</v>
      </c>
      <c r="I13" s="114">
        <f t="shared" si="1"/>
        <v>-0.41207459427458482</v>
      </c>
    </row>
    <row r="14" spans="1:9">
      <c r="A14" s="96">
        <v>8</v>
      </c>
      <c r="B14" s="51" t="s">
        <v>115</v>
      </c>
      <c r="C14" s="50">
        <v>24</v>
      </c>
      <c r="D14" s="52">
        <v>2031348</v>
      </c>
      <c r="E14" s="52">
        <v>2031348</v>
      </c>
      <c r="F14" s="52">
        <v>1248769</v>
      </c>
      <c r="G14" s="52">
        <v>1248769</v>
      </c>
      <c r="H14" s="113">
        <f t="shared" si="0"/>
        <v>-782579</v>
      </c>
      <c r="I14" s="114">
        <f t="shared" si="1"/>
        <v>-0.38525107465584429</v>
      </c>
    </row>
    <row r="15" spans="1:9">
      <c r="A15" s="96">
        <v>9</v>
      </c>
      <c r="B15" s="51" t="s">
        <v>116</v>
      </c>
      <c r="C15" s="50">
        <v>25</v>
      </c>
      <c r="D15" s="52">
        <v>277125</v>
      </c>
      <c r="E15" s="52">
        <v>277125</v>
      </c>
      <c r="F15" s="52">
        <v>209680</v>
      </c>
      <c r="G15" s="52">
        <v>209680</v>
      </c>
      <c r="H15" s="113">
        <f t="shared" si="0"/>
        <v>-67445</v>
      </c>
      <c r="I15" s="114">
        <f t="shared" si="1"/>
        <v>-0.24337392873252142</v>
      </c>
    </row>
    <row r="16" spans="1:9" ht="26.45" customHeight="1">
      <c r="A16" s="295">
        <v>10</v>
      </c>
      <c r="B16" s="300" t="s">
        <v>119</v>
      </c>
      <c r="C16" s="301">
        <v>30</v>
      </c>
      <c r="D16" s="302">
        <f>D10+D11-D12-D14-D15</f>
        <v>-35883</v>
      </c>
      <c r="E16" s="302">
        <f>E10+E11-E12-E14-E15</f>
        <v>-35883</v>
      </c>
      <c r="F16" s="302">
        <f>F10+F11-F12-F14-F15</f>
        <v>141951</v>
      </c>
      <c r="G16" s="302">
        <f>G10+G11-G12-G14-G15</f>
        <v>141951</v>
      </c>
      <c r="H16" s="298">
        <f t="shared" si="0"/>
        <v>177834</v>
      </c>
      <c r="I16" s="299">
        <f t="shared" si="1"/>
        <v>-4.9559401387843822</v>
      </c>
    </row>
    <row r="17" spans="1:9" ht="14.45" customHeight="1">
      <c r="A17" s="96">
        <v>11</v>
      </c>
      <c r="B17" s="51" t="s">
        <v>39</v>
      </c>
      <c r="C17" s="50">
        <v>31</v>
      </c>
      <c r="D17" s="52">
        <v>287151</v>
      </c>
      <c r="E17" s="52">
        <v>287151</v>
      </c>
      <c r="F17" s="52">
        <v>65403</v>
      </c>
      <c r="G17" s="52">
        <v>65403</v>
      </c>
      <c r="H17" s="113">
        <f t="shared" si="0"/>
        <v>-221748</v>
      </c>
      <c r="I17" s="114">
        <f t="shared" si="1"/>
        <v>-0.77223481722160114</v>
      </c>
    </row>
    <row r="18" spans="1:9" ht="14.45" customHeight="1">
      <c r="A18" s="96">
        <v>12</v>
      </c>
      <c r="B18" s="51" t="s">
        <v>86</v>
      </c>
      <c r="C18" s="50">
        <v>32</v>
      </c>
      <c r="D18" s="52">
        <v>95472</v>
      </c>
      <c r="E18" s="52">
        <v>95472</v>
      </c>
      <c r="F18" s="52">
        <v>45975</v>
      </c>
      <c r="G18" s="52">
        <v>45975</v>
      </c>
      <c r="H18" s="113">
        <f t="shared" si="0"/>
        <v>-49497</v>
      </c>
      <c r="I18" s="114">
        <f t="shared" si="1"/>
        <v>-0.51844519859225746</v>
      </c>
    </row>
    <row r="19" spans="1:9" ht="14.45" customHeight="1">
      <c r="A19" s="295">
        <v>13</v>
      </c>
      <c r="B19" s="300" t="s">
        <v>120</v>
      </c>
      <c r="C19" s="301">
        <v>40</v>
      </c>
      <c r="D19" s="302">
        <f>D17-D18</f>
        <v>191679</v>
      </c>
      <c r="E19" s="302">
        <f>E17-E18</f>
        <v>191679</v>
      </c>
      <c r="F19" s="302">
        <f>F17-F18</f>
        <v>19428</v>
      </c>
      <c r="G19" s="302">
        <f>G17-G18</f>
        <v>19428</v>
      </c>
      <c r="H19" s="298">
        <f t="shared" si="0"/>
        <v>-172251</v>
      </c>
      <c r="I19" s="299">
        <f t="shared" si="1"/>
        <v>-0.89864304383891824</v>
      </c>
    </row>
    <row r="20" spans="1:9" ht="14.45" customHeight="1">
      <c r="A20" s="295">
        <v>14</v>
      </c>
      <c r="B20" s="300" t="s">
        <v>121</v>
      </c>
      <c r="C20" s="301">
        <v>50</v>
      </c>
      <c r="D20" s="302">
        <f>D16+D19</f>
        <v>155796</v>
      </c>
      <c r="E20" s="302">
        <f>E16+E19</f>
        <v>155796</v>
      </c>
      <c r="F20" s="302">
        <f>F16+F19</f>
        <v>161379</v>
      </c>
      <c r="G20" s="302">
        <f>G16+G19</f>
        <v>161379</v>
      </c>
      <c r="H20" s="298">
        <f t="shared" si="0"/>
        <v>5583</v>
      </c>
      <c r="I20" s="299">
        <f t="shared" si="1"/>
        <v>3.5835323114842485E-2</v>
      </c>
    </row>
    <row r="21" spans="1:9" ht="14.45" customHeight="1">
      <c r="A21" s="96">
        <v>15</v>
      </c>
      <c r="B21" s="97" t="s">
        <v>87</v>
      </c>
      <c r="C21" s="98">
        <v>51</v>
      </c>
      <c r="D21" s="100">
        <v>19764</v>
      </c>
      <c r="E21" s="100">
        <v>19764</v>
      </c>
      <c r="F21" s="100">
        <v>4856</v>
      </c>
      <c r="G21" s="100">
        <v>4856</v>
      </c>
      <c r="H21" s="113">
        <f t="shared" si="0"/>
        <v>-14908</v>
      </c>
      <c r="I21" s="114">
        <f t="shared" si="1"/>
        <v>-0.75430074883626796</v>
      </c>
    </row>
    <row r="22" spans="1:9" ht="26.45" customHeight="1">
      <c r="A22" s="303">
        <v>16</v>
      </c>
      <c r="B22" s="304" t="s">
        <v>122</v>
      </c>
      <c r="C22" s="305">
        <v>60</v>
      </c>
      <c r="D22" s="306">
        <f>D20-D21</f>
        <v>136032</v>
      </c>
      <c r="E22" s="306">
        <f>E20-E21</f>
        <v>136032</v>
      </c>
      <c r="F22" s="306">
        <f>F20-F21</f>
        <v>156523</v>
      </c>
      <c r="G22" s="306">
        <f>G20-G21</f>
        <v>156523</v>
      </c>
      <c r="H22" s="306">
        <f t="shared" si="0"/>
        <v>20491</v>
      </c>
      <c r="I22" s="307">
        <f t="shared" si="1"/>
        <v>0.15063367442954598</v>
      </c>
    </row>
  </sheetData>
  <mergeCells count="7">
    <mergeCell ref="H4:I4"/>
    <mergeCell ref="A1:G2"/>
    <mergeCell ref="A4:A5"/>
    <mergeCell ref="B4:B5"/>
    <mergeCell ref="C4:C5"/>
    <mergeCell ref="D4:E4"/>
    <mergeCell ref="F4:G4"/>
  </mergeCells>
  <dataValidations count="6">
    <dataValidation allowBlank="1" showInputMessage="1" showErrorMessage="1" promptTitle="Cách tính" prompt="(60) = 50 - 51" sqref="B22"/>
    <dataValidation allowBlank="1" showInputMessage="1" showErrorMessage="1" promptTitle="Cách tính" prompt="(50 = 30 + 40)" sqref="B20"/>
    <dataValidation allowBlank="1" showInputMessage="1" showErrorMessage="1" promptTitle="Cách tính" prompt="(40) = 31 - 32" sqref="B19"/>
    <dataValidation allowBlank="1" showInputMessage="1" showErrorMessage="1" promptTitle="Cách tính" prompt="(30) = 20 + 21 - 22 - 24 - 25" sqref="B16"/>
    <dataValidation allowBlank="1" showInputMessage="1" showErrorMessage="1" prompt="(20) = 10 - 11" sqref="B10"/>
    <dataValidation allowBlank="1" showInputMessage="1" showErrorMessage="1" promptTitle="Cách tính" prompt="(10) = 01 - 02" sqref="B8"/>
  </dataValidations>
  <pageMargins left="0.7" right="0.7" top="0.75" bottom="0.75" header="0.3" footer="0.3"/>
  <pageSetup orientation="portrait" r:id="rId1"/>
  <ignoredErrors>
    <ignoredError sqref="C6:C7" numberStoredAsText="1"/>
  </ignoredErrors>
  <drawing r:id="rId2"/>
</worksheet>
</file>

<file path=xl/worksheets/sheet5.xml><?xml version="1.0" encoding="utf-8"?>
<worksheet xmlns="http://schemas.openxmlformats.org/spreadsheetml/2006/main" xmlns:r="http://schemas.openxmlformats.org/officeDocument/2006/relationships">
  <sheetPr codeName="Trang_tính3">
    <tabColor rgb="FF00B050"/>
  </sheetPr>
  <dimension ref="A1:I22"/>
  <sheetViews>
    <sheetView workbookViewId="0">
      <selection activeCell="N16" sqref="N16"/>
    </sheetView>
  </sheetViews>
  <sheetFormatPr defaultColWidth="9.140625" defaultRowHeight="15"/>
  <cols>
    <col min="1" max="1" width="4.28515625" style="42" customWidth="1"/>
    <col min="2" max="2" width="34.7109375" style="42" customWidth="1"/>
    <col min="3" max="3" width="7.7109375" style="42" customWidth="1"/>
    <col min="4" max="4" width="10" style="42" hidden="1" customWidth="1"/>
    <col min="5" max="5" width="10" style="42" customWidth="1"/>
    <col min="6" max="6" width="10" style="42" hidden="1" customWidth="1"/>
    <col min="7" max="8" width="10" style="42" customWidth="1"/>
    <col min="9" max="9" width="10.85546875" style="42" customWidth="1"/>
    <col min="10" max="16384" width="9.140625" style="42"/>
  </cols>
  <sheetData>
    <row r="1" spans="1:9" ht="13.9" customHeight="1">
      <c r="A1" s="408" t="s">
        <v>66</v>
      </c>
      <c r="B1" s="408"/>
      <c r="C1" s="408"/>
      <c r="D1" s="408"/>
      <c r="E1" s="408"/>
      <c r="F1" s="408"/>
      <c r="G1" s="408"/>
      <c r="H1" s="408"/>
    </row>
    <row r="2" spans="1:9" ht="13.9" customHeight="1">
      <c r="A2" s="408"/>
      <c r="B2" s="408"/>
      <c r="C2" s="408"/>
      <c r="D2" s="408"/>
      <c r="E2" s="408"/>
      <c r="F2" s="408"/>
      <c r="G2" s="408"/>
      <c r="H2" s="408"/>
    </row>
    <row r="4" spans="1:9">
      <c r="A4" s="423" t="s">
        <v>0</v>
      </c>
      <c r="B4" s="425" t="s">
        <v>27</v>
      </c>
      <c r="C4" s="423" t="s">
        <v>28</v>
      </c>
      <c r="D4" s="422" t="s">
        <v>30</v>
      </c>
      <c r="E4" s="422"/>
      <c r="F4" s="422" t="s">
        <v>72</v>
      </c>
      <c r="G4" s="422"/>
      <c r="H4" s="422" t="s">
        <v>123</v>
      </c>
      <c r="I4" s="422"/>
    </row>
    <row r="5" spans="1:9">
      <c r="A5" s="424"/>
      <c r="B5" s="426"/>
      <c r="C5" s="424"/>
      <c r="D5" s="427"/>
      <c r="E5" s="427"/>
      <c r="F5" s="427"/>
      <c r="G5" s="427"/>
      <c r="H5" s="320" t="s">
        <v>124</v>
      </c>
      <c r="I5" s="321" t="s">
        <v>3</v>
      </c>
    </row>
    <row r="6" spans="1:9" ht="30">
      <c r="A6" s="214">
        <v>1</v>
      </c>
      <c r="B6" s="215" t="s">
        <v>79</v>
      </c>
      <c r="C6" s="216" t="s">
        <v>81</v>
      </c>
      <c r="D6" s="217">
        <v>15667470</v>
      </c>
      <c r="E6" s="32">
        <f>KQKD!E6</f>
        <v>15667470</v>
      </c>
      <c r="F6" s="32">
        <v>9969052</v>
      </c>
      <c r="G6" s="32">
        <f>KQKD!G6</f>
        <v>9969052</v>
      </c>
      <c r="H6" s="32">
        <f>G6-E6</f>
        <v>-5698418</v>
      </c>
      <c r="I6" s="294">
        <f>H6/E6</f>
        <v>-0.36371015869186279</v>
      </c>
    </row>
    <row r="7" spans="1:9">
      <c r="A7" s="46">
        <v>2</v>
      </c>
      <c r="B7" s="94" t="s">
        <v>80</v>
      </c>
      <c r="C7" s="210" t="s">
        <v>82</v>
      </c>
      <c r="D7" s="99">
        <v>15657</v>
      </c>
      <c r="E7" s="32">
        <f>KQKD!E7</f>
        <v>15657</v>
      </c>
      <c r="F7" s="99">
        <v>17642</v>
      </c>
      <c r="G7" s="32">
        <f>KQKD!G7</f>
        <v>17642</v>
      </c>
      <c r="H7" s="48">
        <f t="shared" ref="H7:H22" si="0">G7-E7</f>
        <v>1985</v>
      </c>
      <c r="I7" s="212">
        <f t="shared" ref="I7:I22" si="1">H7/E7</f>
        <v>0.12678035383534522</v>
      </c>
    </row>
    <row r="8" spans="1:9" ht="27" customHeight="1">
      <c r="A8" s="268">
        <v>3</v>
      </c>
      <c r="B8" s="269" t="s">
        <v>117</v>
      </c>
      <c r="C8" s="268">
        <v>10</v>
      </c>
      <c r="D8" s="270">
        <f>D6-D7</f>
        <v>15651813</v>
      </c>
      <c r="E8" s="270">
        <f>E6-E7</f>
        <v>15651813</v>
      </c>
      <c r="F8" s="270">
        <f>F6-F7</f>
        <v>9951410</v>
      </c>
      <c r="G8" s="270">
        <f>G6-G7</f>
        <v>9951410</v>
      </c>
      <c r="H8" s="270">
        <f t="shared" si="0"/>
        <v>-5700403</v>
      </c>
      <c r="I8" s="287">
        <f t="shared" si="1"/>
        <v>-0.36420081175260655</v>
      </c>
    </row>
    <row r="9" spans="1:9">
      <c r="A9" s="46">
        <v>4</v>
      </c>
      <c r="B9" s="213" t="s">
        <v>38</v>
      </c>
      <c r="C9" s="46">
        <v>11</v>
      </c>
      <c r="D9" s="48">
        <v>13069598</v>
      </c>
      <c r="E9" s="48">
        <f>KQKD!E9</f>
        <v>13069598</v>
      </c>
      <c r="F9" s="48">
        <v>8390076</v>
      </c>
      <c r="G9" s="48">
        <f>KQKD!G9</f>
        <v>8390076</v>
      </c>
      <c r="H9" s="48">
        <f t="shared" si="0"/>
        <v>-4679522</v>
      </c>
      <c r="I9" s="212">
        <f t="shared" si="1"/>
        <v>-0.35804636072203599</v>
      </c>
    </row>
    <row r="10" spans="1:9" ht="28.5">
      <c r="A10" s="268">
        <v>5</v>
      </c>
      <c r="B10" s="269" t="s">
        <v>118</v>
      </c>
      <c r="C10" s="268">
        <v>20</v>
      </c>
      <c r="D10" s="270">
        <f>D8-D9</f>
        <v>2582215</v>
      </c>
      <c r="E10" s="270">
        <f>E8-E9</f>
        <v>2582215</v>
      </c>
      <c r="F10" s="270">
        <f>F8-F9</f>
        <v>1561334</v>
      </c>
      <c r="G10" s="270">
        <f>G8-G9</f>
        <v>1561334</v>
      </c>
      <c r="H10" s="270">
        <f t="shared" si="0"/>
        <v>-1020881</v>
      </c>
      <c r="I10" s="287">
        <f t="shared" si="1"/>
        <v>-0.39535089061135498</v>
      </c>
    </row>
    <row r="11" spans="1:9">
      <c r="A11" s="46">
        <v>6</v>
      </c>
      <c r="B11" s="213" t="s">
        <v>83</v>
      </c>
      <c r="C11" s="46">
        <v>21</v>
      </c>
      <c r="D11" s="48">
        <v>214325</v>
      </c>
      <c r="E11" s="48">
        <f>KQKD!E11</f>
        <v>214325</v>
      </c>
      <c r="F11" s="48">
        <v>92863</v>
      </c>
      <c r="G11" s="48">
        <f>KQKD!G11</f>
        <v>92863</v>
      </c>
      <c r="H11" s="48">
        <f t="shared" si="0"/>
        <v>-121462</v>
      </c>
      <c r="I11" s="212">
        <f t="shared" si="1"/>
        <v>-0.56671876822582523</v>
      </c>
    </row>
    <row r="12" spans="1:9">
      <c r="A12" s="46">
        <v>7</v>
      </c>
      <c r="B12" s="213" t="s">
        <v>84</v>
      </c>
      <c r="C12" s="46">
        <v>22</v>
      </c>
      <c r="D12" s="48">
        <v>523950</v>
      </c>
      <c r="E12" s="48">
        <f>KQKD!E12</f>
        <v>523950</v>
      </c>
      <c r="F12" s="48">
        <v>53797</v>
      </c>
      <c r="G12" s="48">
        <f>KQKD!G12</f>
        <v>53797</v>
      </c>
      <c r="H12" s="48">
        <f t="shared" si="0"/>
        <v>-470153</v>
      </c>
      <c r="I12" s="212">
        <f t="shared" si="1"/>
        <v>-0.89732417215383142</v>
      </c>
    </row>
    <row r="13" spans="1:9">
      <c r="A13" s="46"/>
      <c r="B13" s="213" t="s">
        <v>85</v>
      </c>
      <c r="C13" s="46">
        <v>23</v>
      </c>
      <c r="D13" s="48">
        <v>233101</v>
      </c>
      <c r="E13" s="48">
        <f>KQKD!E13</f>
        <v>233101</v>
      </c>
      <c r="F13" s="48">
        <v>137046</v>
      </c>
      <c r="G13" s="48">
        <f>KQKD!G13</f>
        <v>137046</v>
      </c>
      <c r="H13" s="48">
        <f t="shared" si="0"/>
        <v>-96055</v>
      </c>
      <c r="I13" s="212">
        <f t="shared" si="1"/>
        <v>-0.41207459427458482</v>
      </c>
    </row>
    <row r="14" spans="1:9">
      <c r="A14" s="46">
        <v>8</v>
      </c>
      <c r="B14" s="213" t="s">
        <v>115</v>
      </c>
      <c r="C14" s="46">
        <v>24</v>
      </c>
      <c r="D14" s="48">
        <v>2031348</v>
      </c>
      <c r="E14" s="48">
        <f>KQKD!E14</f>
        <v>2031348</v>
      </c>
      <c r="F14" s="48">
        <v>1248769</v>
      </c>
      <c r="G14" s="48">
        <f>KQKD!G14</f>
        <v>1248769</v>
      </c>
      <c r="H14" s="48">
        <f t="shared" si="0"/>
        <v>-782579</v>
      </c>
      <c r="I14" s="212">
        <f t="shared" si="1"/>
        <v>-0.38525107465584429</v>
      </c>
    </row>
    <row r="15" spans="1:9">
      <c r="A15" s="46">
        <v>9</v>
      </c>
      <c r="B15" s="213" t="s">
        <v>116</v>
      </c>
      <c r="C15" s="46">
        <v>25</v>
      </c>
      <c r="D15" s="48">
        <v>277125</v>
      </c>
      <c r="E15" s="48">
        <f>KQKD!E15</f>
        <v>277125</v>
      </c>
      <c r="F15" s="48">
        <v>209680</v>
      </c>
      <c r="G15" s="48">
        <f>KQKD!G15</f>
        <v>209680</v>
      </c>
      <c r="H15" s="48">
        <f t="shared" si="0"/>
        <v>-67445</v>
      </c>
      <c r="I15" s="212">
        <f t="shared" si="1"/>
        <v>-0.24337392873252142</v>
      </c>
    </row>
    <row r="16" spans="1:9" ht="25.15" customHeight="1">
      <c r="A16" s="268">
        <v>10</v>
      </c>
      <c r="B16" s="269" t="s">
        <v>119</v>
      </c>
      <c r="C16" s="268">
        <v>30</v>
      </c>
      <c r="D16" s="270">
        <f>D10+D11-D12-D14-D15</f>
        <v>-35883</v>
      </c>
      <c r="E16" s="270">
        <f>E10+E11-E12-E14-E15</f>
        <v>-35883</v>
      </c>
      <c r="F16" s="270">
        <f>F10+F11-F12-F14-F15</f>
        <v>141951</v>
      </c>
      <c r="G16" s="270">
        <f>G10+G11-G12-G14-G15</f>
        <v>141951</v>
      </c>
      <c r="H16" s="270">
        <f t="shared" si="0"/>
        <v>177834</v>
      </c>
      <c r="I16" s="287">
        <f t="shared" si="1"/>
        <v>-4.9559401387843822</v>
      </c>
    </row>
    <row r="17" spans="1:9" ht="14.45" customHeight="1">
      <c r="A17" s="46">
        <v>11</v>
      </c>
      <c r="B17" s="213" t="s">
        <v>39</v>
      </c>
      <c r="C17" s="46">
        <v>31</v>
      </c>
      <c r="D17" s="48">
        <v>287151</v>
      </c>
      <c r="E17" s="48">
        <f>KQKD!E17</f>
        <v>287151</v>
      </c>
      <c r="F17" s="48">
        <v>65403</v>
      </c>
      <c r="G17" s="48">
        <f>KQKD!G17</f>
        <v>65403</v>
      </c>
      <c r="H17" s="48">
        <f t="shared" si="0"/>
        <v>-221748</v>
      </c>
      <c r="I17" s="212">
        <f t="shared" si="1"/>
        <v>-0.77223481722160114</v>
      </c>
    </row>
    <row r="18" spans="1:9" ht="14.45" customHeight="1">
      <c r="A18" s="46">
        <v>12</v>
      </c>
      <c r="B18" s="213" t="s">
        <v>86</v>
      </c>
      <c r="C18" s="46">
        <v>32</v>
      </c>
      <c r="D18" s="48">
        <v>95472</v>
      </c>
      <c r="E18" s="48">
        <f>KQKD!E18</f>
        <v>95472</v>
      </c>
      <c r="F18" s="48">
        <v>45975</v>
      </c>
      <c r="G18" s="48">
        <f>KQKD!G18</f>
        <v>45975</v>
      </c>
      <c r="H18" s="48">
        <f t="shared" si="0"/>
        <v>-49497</v>
      </c>
      <c r="I18" s="212">
        <f t="shared" si="1"/>
        <v>-0.51844519859225746</v>
      </c>
    </row>
    <row r="19" spans="1:9" ht="14.45" customHeight="1">
      <c r="A19" s="268">
        <v>13</v>
      </c>
      <c r="B19" s="269" t="s">
        <v>120</v>
      </c>
      <c r="C19" s="268">
        <v>40</v>
      </c>
      <c r="D19" s="270">
        <f>D17-D18</f>
        <v>191679</v>
      </c>
      <c r="E19" s="270">
        <f>E17-E18</f>
        <v>191679</v>
      </c>
      <c r="F19" s="270">
        <f>F17-F18</f>
        <v>19428</v>
      </c>
      <c r="G19" s="270">
        <f>G17-G18</f>
        <v>19428</v>
      </c>
      <c r="H19" s="270">
        <f t="shared" si="0"/>
        <v>-172251</v>
      </c>
      <c r="I19" s="287">
        <f t="shared" si="1"/>
        <v>-0.89864304383891824</v>
      </c>
    </row>
    <row r="20" spans="1:9" ht="14.45" customHeight="1">
      <c r="A20" s="268">
        <v>14</v>
      </c>
      <c r="B20" s="269" t="s">
        <v>121</v>
      </c>
      <c r="C20" s="268">
        <v>50</v>
      </c>
      <c r="D20" s="270">
        <f>D16+D19</f>
        <v>155796</v>
      </c>
      <c r="E20" s="270">
        <f>E16+E19</f>
        <v>155796</v>
      </c>
      <c r="F20" s="270">
        <f>F16+F19</f>
        <v>161379</v>
      </c>
      <c r="G20" s="270">
        <f>G16+G19</f>
        <v>161379</v>
      </c>
      <c r="H20" s="270">
        <f t="shared" si="0"/>
        <v>5583</v>
      </c>
      <c r="I20" s="287">
        <f t="shared" si="1"/>
        <v>3.5835323114842485E-2</v>
      </c>
    </row>
    <row r="21" spans="1:9" ht="14.45" customHeight="1">
      <c r="A21" s="46">
        <v>15</v>
      </c>
      <c r="B21" s="213" t="s">
        <v>87</v>
      </c>
      <c r="C21" s="46">
        <v>51</v>
      </c>
      <c r="D21" s="48">
        <v>19764</v>
      </c>
      <c r="E21" s="48">
        <f>KQKD!E21</f>
        <v>19764</v>
      </c>
      <c r="F21" s="48">
        <v>4856</v>
      </c>
      <c r="G21" s="48">
        <f>KQKD!G21</f>
        <v>4856</v>
      </c>
      <c r="H21" s="48">
        <f t="shared" si="0"/>
        <v>-14908</v>
      </c>
      <c r="I21" s="212">
        <f t="shared" si="1"/>
        <v>-0.75430074883626796</v>
      </c>
    </row>
    <row r="22" spans="1:9" ht="26.45" customHeight="1">
      <c r="A22" s="308">
        <v>16</v>
      </c>
      <c r="B22" s="309" t="s">
        <v>122</v>
      </c>
      <c r="C22" s="308">
        <v>60</v>
      </c>
      <c r="D22" s="310">
        <f>D20-D21</f>
        <v>136032</v>
      </c>
      <c r="E22" s="310">
        <f>E20-E21</f>
        <v>136032</v>
      </c>
      <c r="F22" s="310">
        <f>F20-F21</f>
        <v>156523</v>
      </c>
      <c r="G22" s="310">
        <f>G20-G21</f>
        <v>156523</v>
      </c>
      <c r="H22" s="310">
        <f t="shared" si="0"/>
        <v>20491</v>
      </c>
      <c r="I22" s="311">
        <f t="shared" si="1"/>
        <v>0.15063367442954598</v>
      </c>
    </row>
  </sheetData>
  <mergeCells count="7">
    <mergeCell ref="A1:H2"/>
    <mergeCell ref="H4:I4"/>
    <mergeCell ref="A4:A5"/>
    <mergeCell ref="B4:B5"/>
    <mergeCell ref="C4:C5"/>
    <mergeCell ref="D4:E5"/>
    <mergeCell ref="F4:G5"/>
  </mergeCells>
  <dataValidations count="6">
    <dataValidation allowBlank="1" showInputMessage="1" showErrorMessage="1" promptTitle="Cách tính" prompt="(10) = 01 - 02" sqref="B8"/>
    <dataValidation allowBlank="1" showInputMessage="1" showErrorMessage="1" prompt="(20) = 10 - 11" sqref="B10"/>
    <dataValidation allowBlank="1" showInputMessage="1" showErrorMessage="1" promptTitle="Cách tính" prompt="(30) = 20 + 21 - 22 - 24 - 25" sqref="B16"/>
    <dataValidation allowBlank="1" showInputMessage="1" showErrorMessage="1" promptTitle="Cách tính" prompt="(40) = 31 - 32" sqref="B19"/>
    <dataValidation allowBlank="1" showInputMessage="1" showErrorMessage="1" promptTitle="Cách tính" prompt="(50 = 30 + 40)" sqref="B20"/>
    <dataValidation allowBlank="1" showInputMessage="1" showErrorMessage="1" promptTitle="Cách tính" prompt="(60) = 50 - 51" sqref="B22"/>
  </dataValidations>
  <pageMargins left="1.01" right="0.7" top="0.75" bottom="0.75" header="0.3" footer="0.3"/>
  <pageSetup orientation="portrait" r:id="rId1"/>
  <ignoredErrors>
    <ignoredError sqref="C6:C7" numberStoredAsText="1"/>
    <ignoredError sqref="E9:G9" formula="1"/>
  </ignoredErrors>
  <drawing r:id="rId2"/>
</worksheet>
</file>

<file path=xl/worksheets/sheet6.xml><?xml version="1.0" encoding="utf-8"?>
<worksheet xmlns="http://schemas.openxmlformats.org/spreadsheetml/2006/main" xmlns:r="http://schemas.openxmlformats.org/officeDocument/2006/relationships">
  <sheetPr>
    <tabColor rgb="FF00B050"/>
  </sheetPr>
  <dimension ref="A1:I22"/>
  <sheetViews>
    <sheetView workbookViewId="0"/>
  </sheetViews>
  <sheetFormatPr defaultColWidth="9.140625" defaultRowHeight="15"/>
  <cols>
    <col min="1" max="1" width="4.28515625" style="42" customWidth="1"/>
    <col min="2" max="2" width="34.7109375" style="42" customWidth="1"/>
    <col min="3" max="3" width="7.7109375" style="42" customWidth="1"/>
    <col min="4" max="4" width="10" style="42" hidden="1" customWidth="1"/>
    <col min="5" max="5" width="10" style="42" customWidth="1"/>
    <col min="6" max="6" width="10" style="42" hidden="1" customWidth="1"/>
    <col min="7" max="8" width="10" style="42" customWidth="1"/>
    <col min="9" max="9" width="10.85546875" style="42" customWidth="1"/>
    <col min="10" max="16384" width="9.140625" style="42"/>
  </cols>
  <sheetData>
    <row r="1" spans="1:9" ht="13.9" customHeight="1">
      <c r="C1" s="372"/>
      <c r="D1" s="372"/>
      <c r="E1" s="372"/>
      <c r="F1" s="372"/>
      <c r="G1" s="372"/>
      <c r="H1" s="372"/>
    </row>
    <row r="2" spans="1:9" ht="13.9" customHeight="1">
      <c r="B2" s="408" t="s">
        <v>66</v>
      </c>
      <c r="C2" s="408"/>
      <c r="D2" s="372"/>
      <c r="E2" s="372"/>
      <c r="F2" s="372"/>
      <c r="G2" s="373">
        <v>1.1000000000000001</v>
      </c>
      <c r="H2" s="372"/>
    </row>
    <row r="4" spans="1:9">
      <c r="A4" s="423" t="s">
        <v>0</v>
      </c>
      <c r="B4" s="425" t="s">
        <v>27</v>
      </c>
      <c r="C4" s="423" t="s">
        <v>28</v>
      </c>
      <c r="D4" s="422" t="s">
        <v>72</v>
      </c>
      <c r="E4" s="422"/>
      <c r="F4" s="429" t="s">
        <v>432</v>
      </c>
      <c r="G4" s="429"/>
      <c r="H4" s="428" t="s">
        <v>123</v>
      </c>
      <c r="I4" s="428"/>
    </row>
    <row r="5" spans="1:9">
      <c r="A5" s="424"/>
      <c r="B5" s="426"/>
      <c r="C5" s="424"/>
      <c r="D5" s="427"/>
      <c r="E5" s="427"/>
      <c r="F5" s="430"/>
      <c r="G5" s="430"/>
      <c r="H5" s="319" t="s">
        <v>124</v>
      </c>
      <c r="I5" s="318" t="s">
        <v>3</v>
      </c>
    </row>
    <row r="6" spans="1:9" ht="30">
      <c r="A6" s="214">
        <v>1</v>
      </c>
      <c r="B6" s="215" t="s">
        <v>79</v>
      </c>
      <c r="C6" s="216" t="s">
        <v>81</v>
      </c>
      <c r="D6" s="217">
        <v>15667470</v>
      </c>
      <c r="E6" s="371">
        <f>KQKD!G6</f>
        <v>9969052</v>
      </c>
      <c r="F6" s="371">
        <v>9969052</v>
      </c>
      <c r="G6" s="371">
        <f>E6*$G$2</f>
        <v>10965957.200000001</v>
      </c>
      <c r="H6" s="32">
        <f>G6-E6</f>
        <v>996905.20000000112</v>
      </c>
      <c r="I6" s="294">
        <f>H6/E6</f>
        <v>0.10000000000000012</v>
      </c>
    </row>
    <row r="7" spans="1:9">
      <c r="A7" s="46">
        <v>2</v>
      </c>
      <c r="B7" s="94" t="s">
        <v>80</v>
      </c>
      <c r="C7" s="210" t="s">
        <v>82</v>
      </c>
      <c r="D7" s="99">
        <v>15657</v>
      </c>
      <c r="E7" s="48">
        <f>KQKD!G7</f>
        <v>17642</v>
      </c>
      <c r="F7" s="99">
        <v>17642</v>
      </c>
      <c r="G7" s="48">
        <f>E7*$G$2</f>
        <v>19406.2</v>
      </c>
      <c r="H7" s="48">
        <f t="shared" ref="H7:H22" si="0">G7-E7</f>
        <v>1764.2000000000007</v>
      </c>
      <c r="I7" s="212">
        <f t="shared" ref="I7:I22" si="1">H7/E7</f>
        <v>0.10000000000000005</v>
      </c>
    </row>
    <row r="8" spans="1:9" ht="27" customHeight="1">
      <c r="A8" s="268">
        <v>3</v>
      </c>
      <c r="B8" s="269" t="s">
        <v>117</v>
      </c>
      <c r="C8" s="268">
        <v>10</v>
      </c>
      <c r="D8" s="270">
        <f>D6-D7</f>
        <v>15651813</v>
      </c>
      <c r="E8" s="270">
        <f>E6-E7</f>
        <v>9951410</v>
      </c>
      <c r="F8" s="270">
        <f>F6-F7</f>
        <v>9951410</v>
      </c>
      <c r="G8" s="270">
        <f t="shared" ref="G8:G22" si="2">E8*$G$2</f>
        <v>10946551</v>
      </c>
      <c r="H8" s="270">
        <f t="shared" si="0"/>
        <v>995141</v>
      </c>
      <c r="I8" s="287">
        <f t="shared" si="1"/>
        <v>0.1</v>
      </c>
    </row>
    <row r="9" spans="1:9">
      <c r="A9" s="46">
        <v>4</v>
      </c>
      <c r="B9" s="213" t="s">
        <v>38</v>
      </c>
      <c r="C9" s="46">
        <v>11</v>
      </c>
      <c r="D9" s="48">
        <v>13069598</v>
      </c>
      <c r="E9" s="48">
        <f>KQKD!G9</f>
        <v>8390076</v>
      </c>
      <c r="F9" s="48">
        <v>8390076</v>
      </c>
      <c r="G9" s="48">
        <f t="shared" si="2"/>
        <v>9229083.6000000015</v>
      </c>
      <c r="H9" s="48">
        <f t="shared" si="0"/>
        <v>839007.60000000149</v>
      </c>
      <c r="I9" s="212">
        <f t="shared" si="1"/>
        <v>0.10000000000000017</v>
      </c>
    </row>
    <row r="10" spans="1:9" ht="28.5">
      <c r="A10" s="268">
        <v>5</v>
      </c>
      <c r="B10" s="269" t="s">
        <v>118</v>
      </c>
      <c r="C10" s="268">
        <v>20</v>
      </c>
      <c r="D10" s="270">
        <f>D8-D9</f>
        <v>2582215</v>
      </c>
      <c r="E10" s="270">
        <f>E8-E9</f>
        <v>1561334</v>
      </c>
      <c r="F10" s="270">
        <f>F8-F9</f>
        <v>1561334</v>
      </c>
      <c r="G10" s="270">
        <f t="shared" si="2"/>
        <v>1717467.4000000001</v>
      </c>
      <c r="H10" s="270">
        <f t="shared" si="0"/>
        <v>156133.40000000014</v>
      </c>
      <c r="I10" s="287">
        <f t="shared" si="1"/>
        <v>0.10000000000000009</v>
      </c>
    </row>
    <row r="11" spans="1:9">
      <c r="A11" s="46">
        <v>6</v>
      </c>
      <c r="B11" s="213" t="s">
        <v>83</v>
      </c>
      <c r="C11" s="46">
        <v>21</v>
      </c>
      <c r="D11" s="48">
        <v>214325</v>
      </c>
      <c r="E11" s="48">
        <f>KQKD!G11</f>
        <v>92863</v>
      </c>
      <c r="F11" s="48">
        <v>92863</v>
      </c>
      <c r="G11" s="48">
        <f t="shared" si="2"/>
        <v>102149.3</v>
      </c>
      <c r="H11" s="48">
        <f t="shared" si="0"/>
        <v>9286.3000000000029</v>
      </c>
      <c r="I11" s="212">
        <f t="shared" si="1"/>
        <v>0.10000000000000003</v>
      </c>
    </row>
    <row r="12" spans="1:9">
      <c r="A12" s="46">
        <v>7</v>
      </c>
      <c r="B12" s="213" t="s">
        <v>84</v>
      </c>
      <c r="C12" s="46">
        <v>22</v>
      </c>
      <c r="D12" s="48">
        <v>523950</v>
      </c>
      <c r="E12" s="48">
        <f>KQKD!G12</f>
        <v>53797</v>
      </c>
      <c r="F12" s="48">
        <v>53797</v>
      </c>
      <c r="G12" s="48">
        <f t="shared" si="2"/>
        <v>59176.700000000004</v>
      </c>
      <c r="H12" s="48">
        <f t="shared" si="0"/>
        <v>5379.7000000000044</v>
      </c>
      <c r="I12" s="212">
        <f t="shared" si="1"/>
        <v>0.10000000000000007</v>
      </c>
    </row>
    <row r="13" spans="1:9">
      <c r="A13" s="46"/>
      <c r="B13" s="213" t="s">
        <v>85</v>
      </c>
      <c r="C13" s="46">
        <v>23</v>
      </c>
      <c r="D13" s="48">
        <v>233101</v>
      </c>
      <c r="E13" s="48">
        <f>KQKD!G13</f>
        <v>137046</v>
      </c>
      <c r="F13" s="48">
        <v>137046</v>
      </c>
      <c r="G13" s="48">
        <f t="shared" si="2"/>
        <v>150750.6</v>
      </c>
      <c r="H13" s="48">
        <f t="shared" si="0"/>
        <v>13704.600000000006</v>
      </c>
      <c r="I13" s="212">
        <f t="shared" si="1"/>
        <v>0.10000000000000005</v>
      </c>
    </row>
    <row r="14" spans="1:9">
      <c r="A14" s="46">
        <v>8</v>
      </c>
      <c r="B14" s="213" t="s">
        <v>115</v>
      </c>
      <c r="C14" s="46">
        <v>24</v>
      </c>
      <c r="D14" s="48">
        <v>2031348</v>
      </c>
      <c r="E14" s="48">
        <f>KQKD!G14</f>
        <v>1248769</v>
      </c>
      <c r="F14" s="48">
        <v>1248769</v>
      </c>
      <c r="G14" s="48">
        <f t="shared" si="2"/>
        <v>1373645.9000000001</v>
      </c>
      <c r="H14" s="48">
        <f t="shared" si="0"/>
        <v>124876.90000000014</v>
      </c>
      <c r="I14" s="212">
        <f t="shared" si="1"/>
        <v>0.10000000000000012</v>
      </c>
    </row>
    <row r="15" spans="1:9">
      <c r="A15" s="46">
        <v>9</v>
      </c>
      <c r="B15" s="213" t="s">
        <v>116</v>
      </c>
      <c r="C15" s="46">
        <v>25</v>
      </c>
      <c r="D15" s="48">
        <v>277125</v>
      </c>
      <c r="E15" s="48">
        <f>KQKD!G15</f>
        <v>209680</v>
      </c>
      <c r="F15" s="48">
        <v>209680</v>
      </c>
      <c r="G15" s="48">
        <f t="shared" si="2"/>
        <v>230648.00000000003</v>
      </c>
      <c r="H15" s="48">
        <f t="shared" si="0"/>
        <v>20968.000000000029</v>
      </c>
      <c r="I15" s="212">
        <f t="shared" si="1"/>
        <v>0.10000000000000014</v>
      </c>
    </row>
    <row r="16" spans="1:9" ht="25.15" customHeight="1">
      <c r="A16" s="268">
        <v>10</v>
      </c>
      <c r="B16" s="269" t="s">
        <v>119</v>
      </c>
      <c r="C16" s="268">
        <v>30</v>
      </c>
      <c r="D16" s="270">
        <f>D10+D11-D12-D14-D15</f>
        <v>-35883</v>
      </c>
      <c r="E16" s="270">
        <f>E10+E11-E12-E14-E15</f>
        <v>141951</v>
      </c>
      <c r="F16" s="270">
        <f>F10+F11-F12-F14-F15</f>
        <v>141951</v>
      </c>
      <c r="G16" s="270">
        <f t="shared" si="2"/>
        <v>156146.1</v>
      </c>
      <c r="H16" s="270">
        <f t="shared" si="0"/>
        <v>14195.100000000006</v>
      </c>
      <c r="I16" s="287">
        <f t="shared" si="1"/>
        <v>0.10000000000000005</v>
      </c>
    </row>
    <row r="17" spans="1:9" ht="14.45" customHeight="1">
      <c r="A17" s="46">
        <v>11</v>
      </c>
      <c r="B17" s="213" t="s">
        <v>39</v>
      </c>
      <c r="C17" s="46">
        <v>31</v>
      </c>
      <c r="D17" s="48">
        <v>287151</v>
      </c>
      <c r="E17" s="48">
        <f>KQKD!G17</f>
        <v>65403</v>
      </c>
      <c r="F17" s="48">
        <v>65403</v>
      </c>
      <c r="G17" s="48">
        <f t="shared" si="2"/>
        <v>71943.3</v>
      </c>
      <c r="H17" s="48">
        <f t="shared" si="0"/>
        <v>6540.3000000000029</v>
      </c>
      <c r="I17" s="212">
        <f t="shared" si="1"/>
        <v>0.10000000000000005</v>
      </c>
    </row>
    <row r="18" spans="1:9" ht="14.45" customHeight="1">
      <c r="A18" s="46">
        <v>12</v>
      </c>
      <c r="B18" s="213" t="s">
        <v>86</v>
      </c>
      <c r="C18" s="46">
        <v>32</v>
      </c>
      <c r="D18" s="48">
        <v>95472</v>
      </c>
      <c r="E18" s="48">
        <f>KQKD!G18</f>
        <v>45975</v>
      </c>
      <c r="F18" s="48">
        <v>45975</v>
      </c>
      <c r="G18" s="48">
        <f t="shared" si="2"/>
        <v>50572.500000000007</v>
      </c>
      <c r="H18" s="48">
        <f t="shared" si="0"/>
        <v>4597.5000000000073</v>
      </c>
      <c r="I18" s="212">
        <f t="shared" si="1"/>
        <v>0.10000000000000016</v>
      </c>
    </row>
    <row r="19" spans="1:9" ht="14.45" customHeight="1">
      <c r="A19" s="268">
        <v>13</v>
      </c>
      <c r="B19" s="269" t="s">
        <v>120</v>
      </c>
      <c r="C19" s="268">
        <v>40</v>
      </c>
      <c r="D19" s="270">
        <f>D17-D18</f>
        <v>191679</v>
      </c>
      <c r="E19" s="270">
        <f>E17-E18</f>
        <v>19428</v>
      </c>
      <c r="F19" s="270">
        <f>F17-F18</f>
        <v>19428</v>
      </c>
      <c r="G19" s="270">
        <f t="shared" si="2"/>
        <v>21370.800000000003</v>
      </c>
      <c r="H19" s="270">
        <f t="shared" si="0"/>
        <v>1942.8000000000029</v>
      </c>
      <c r="I19" s="287">
        <f t="shared" si="1"/>
        <v>0.10000000000000014</v>
      </c>
    </row>
    <row r="20" spans="1:9" ht="14.45" customHeight="1">
      <c r="A20" s="268">
        <v>14</v>
      </c>
      <c r="B20" s="269" t="s">
        <v>121</v>
      </c>
      <c r="C20" s="268">
        <v>50</v>
      </c>
      <c r="D20" s="270">
        <f>D16+D19</f>
        <v>155796</v>
      </c>
      <c r="E20" s="270">
        <f>E16+E19</f>
        <v>161379</v>
      </c>
      <c r="F20" s="270">
        <f>F16+F19</f>
        <v>161379</v>
      </c>
      <c r="G20" s="270">
        <f t="shared" si="2"/>
        <v>177516.90000000002</v>
      </c>
      <c r="H20" s="270">
        <f t="shared" si="0"/>
        <v>16137.900000000023</v>
      </c>
      <c r="I20" s="287">
        <f t="shared" si="1"/>
        <v>0.10000000000000014</v>
      </c>
    </row>
    <row r="21" spans="1:9" ht="14.45" customHeight="1">
      <c r="A21" s="46">
        <v>15</v>
      </c>
      <c r="B21" s="213" t="s">
        <v>87</v>
      </c>
      <c r="C21" s="46">
        <v>51</v>
      </c>
      <c r="D21" s="48">
        <v>19764</v>
      </c>
      <c r="E21" s="48">
        <f>KQKD!G21</f>
        <v>4856</v>
      </c>
      <c r="F21" s="48">
        <v>4856</v>
      </c>
      <c r="G21" s="48">
        <f t="shared" si="2"/>
        <v>5341.6</v>
      </c>
      <c r="H21" s="48">
        <f t="shared" si="0"/>
        <v>485.60000000000036</v>
      </c>
      <c r="I21" s="212">
        <f t="shared" si="1"/>
        <v>0.10000000000000007</v>
      </c>
    </row>
    <row r="22" spans="1:9" ht="26.45" customHeight="1">
      <c r="A22" s="308">
        <v>16</v>
      </c>
      <c r="B22" s="309" t="s">
        <v>122</v>
      </c>
      <c r="C22" s="308">
        <v>60</v>
      </c>
      <c r="D22" s="310">
        <f>D20-D21</f>
        <v>136032</v>
      </c>
      <c r="E22" s="310">
        <f>E20-E21</f>
        <v>156523</v>
      </c>
      <c r="F22" s="310">
        <f>F20-F21</f>
        <v>156523</v>
      </c>
      <c r="G22" s="310">
        <f t="shared" si="2"/>
        <v>172175.30000000002</v>
      </c>
      <c r="H22" s="310">
        <f t="shared" si="0"/>
        <v>15652.300000000017</v>
      </c>
      <c r="I22" s="311">
        <f t="shared" si="1"/>
        <v>0.10000000000000012</v>
      </c>
    </row>
  </sheetData>
  <mergeCells count="7">
    <mergeCell ref="H4:I4"/>
    <mergeCell ref="B2:C2"/>
    <mergeCell ref="A4:A5"/>
    <mergeCell ref="B4:B5"/>
    <mergeCell ref="C4:C5"/>
    <mergeCell ref="D4:E5"/>
    <mergeCell ref="F4:G5"/>
  </mergeCells>
  <dataValidations count="6">
    <dataValidation allowBlank="1" showInputMessage="1" showErrorMessage="1" promptTitle="Cách tính" prompt="(60) = 50 - 51" sqref="B22"/>
    <dataValidation allowBlank="1" showInputMessage="1" showErrorMessage="1" promptTitle="Cách tính" prompt="(50 = 30 + 40)" sqref="B20"/>
    <dataValidation allowBlank="1" showInputMessage="1" showErrorMessage="1" promptTitle="Cách tính" prompt="(40) = 31 - 32" sqref="B19"/>
    <dataValidation allowBlank="1" showInputMessage="1" showErrorMessage="1" promptTitle="Cách tính" prompt="(30) = 20 + 21 - 22 - 24 - 25" sqref="B16"/>
    <dataValidation allowBlank="1" showInputMessage="1" showErrorMessage="1" prompt="(20) = 10 - 11" sqref="B10"/>
    <dataValidation allowBlank="1" showInputMessage="1" showErrorMessage="1" promptTitle="Cách tính" prompt="(10) = 01 - 02" sqref="B8"/>
  </dataValidations>
  <pageMargins left="1.01"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sheetPr codeName="Trang_tính4"/>
  <dimension ref="A1:G37"/>
  <sheetViews>
    <sheetView workbookViewId="0">
      <selection activeCell="B8" sqref="B8"/>
    </sheetView>
  </sheetViews>
  <sheetFormatPr defaultColWidth="9.140625" defaultRowHeight="15"/>
  <cols>
    <col min="1" max="1" width="4" style="42" customWidth="1"/>
    <col min="2" max="2" width="45.85546875" style="42" customWidth="1"/>
    <col min="3" max="3" width="22.42578125" style="42" customWidth="1"/>
    <col min="4" max="7" width="10.140625" style="42" customWidth="1"/>
    <col min="8" max="8" width="0.140625" style="42" customWidth="1"/>
    <col min="9" max="16384" width="9.140625" style="42"/>
  </cols>
  <sheetData>
    <row r="1" spans="1:7" ht="11.45" customHeight="1"/>
    <row r="2" spans="1:7" ht="16.899999999999999" customHeight="1">
      <c r="A2" s="408" t="s">
        <v>70</v>
      </c>
      <c r="B2" s="409"/>
      <c r="C2" s="409"/>
      <c r="D2" s="409"/>
      <c r="E2" s="409"/>
      <c r="F2" s="409"/>
      <c r="G2" s="409"/>
    </row>
    <row r="4" spans="1:7">
      <c r="A4" s="434" t="s">
        <v>0</v>
      </c>
      <c r="B4" s="436" t="s">
        <v>27</v>
      </c>
      <c r="C4" s="434" t="s">
        <v>40</v>
      </c>
      <c r="D4" s="438" t="s">
        <v>29</v>
      </c>
      <c r="E4" s="439"/>
      <c r="F4" s="438" t="s">
        <v>30</v>
      </c>
      <c r="G4" s="439"/>
    </row>
    <row r="5" spans="1:7">
      <c r="A5" s="435"/>
      <c r="B5" s="437"/>
      <c r="C5" s="435"/>
      <c r="D5" s="322" t="s">
        <v>32</v>
      </c>
      <c r="E5" s="322" t="s">
        <v>31</v>
      </c>
      <c r="F5" s="322" t="s">
        <v>32</v>
      </c>
      <c r="G5" s="322" t="s">
        <v>31</v>
      </c>
    </row>
    <row r="6" spans="1:7" ht="16.149999999999999" customHeight="1">
      <c r="A6" s="323" t="s">
        <v>4</v>
      </c>
      <c r="B6" s="324" t="s">
        <v>41</v>
      </c>
      <c r="C6" s="323"/>
      <c r="D6" s="325"/>
      <c r="E6" s="325"/>
      <c r="F6" s="326"/>
      <c r="G6" s="326"/>
    </row>
    <row r="7" spans="1:7" ht="16.149999999999999" customHeight="1">
      <c r="A7" s="46">
        <v>1</v>
      </c>
      <c r="B7" s="33" t="s">
        <v>73</v>
      </c>
      <c r="C7" s="34" t="s">
        <v>11</v>
      </c>
      <c r="D7" s="35">
        <f>CĐKT!D69/CĐKT!D71</f>
        <v>1.645574799842729</v>
      </c>
      <c r="E7" s="35">
        <f>CĐKT!E69/CĐKT!E71</f>
        <v>1.645574799842729</v>
      </c>
      <c r="F7" s="35">
        <f>CĐKT!F69/CĐKT!F71</f>
        <v>2.0291778348711489</v>
      </c>
      <c r="G7" s="35">
        <f>CĐKT!G69/CĐKT!G71</f>
        <v>2.0291778348711489</v>
      </c>
    </row>
    <row r="8" spans="1:7" ht="16.149999999999999" customHeight="1">
      <c r="A8" s="46">
        <v>2</v>
      </c>
      <c r="B8" s="33" t="s">
        <v>74</v>
      </c>
      <c r="C8" s="34" t="s">
        <v>12</v>
      </c>
      <c r="D8" s="35">
        <f>CĐKT!D7/CĐKT!D72</f>
        <v>1.1185727550956355</v>
      </c>
      <c r="E8" s="35">
        <f>CĐKT!E7/CĐKT!E72</f>
        <v>1.1185727550956355</v>
      </c>
      <c r="F8" s="35">
        <f>CĐKT!F7/CĐKT!F72</f>
        <v>1.2852664645139069</v>
      </c>
      <c r="G8" s="35">
        <f>CĐKT!G7/CĐKT!G72</f>
        <v>1.2852664645139069</v>
      </c>
    </row>
    <row r="9" spans="1:7" ht="16.149999999999999" customHeight="1">
      <c r="A9" s="46">
        <v>3</v>
      </c>
      <c r="B9" s="33" t="s">
        <v>75</v>
      </c>
      <c r="C9" s="34" t="s">
        <v>13</v>
      </c>
      <c r="D9" s="35">
        <f>(CĐKT!D8+CĐKT!D11)/CĐKT!D72</f>
        <v>0.38389487519845916</v>
      </c>
      <c r="E9" s="35">
        <f>(CĐKT!E8+CĐKT!E11)/CĐKT!E72</f>
        <v>0.38389487519845916</v>
      </c>
      <c r="F9" s="35">
        <f>(CĐKT!F8+CĐKT!F11)/CĐKT!F72</f>
        <v>0.12338875458059116</v>
      </c>
      <c r="G9" s="35">
        <f>(CĐKT!G8+CĐKT!G11)/CĐKT!G72</f>
        <v>0.12338875458059116</v>
      </c>
    </row>
    <row r="10" spans="1:7" ht="16.149999999999999" customHeight="1">
      <c r="A10" s="84">
        <v>4</v>
      </c>
      <c r="B10" s="85" t="s">
        <v>76</v>
      </c>
      <c r="C10" s="86" t="s">
        <v>107</v>
      </c>
      <c r="D10" s="87">
        <f>CĐKT!D33/CĐKT!D87</f>
        <v>5.532523681881508</v>
      </c>
      <c r="E10" s="87">
        <f>CĐKT!E33/CĐKT!E87</f>
        <v>5.532523681881508</v>
      </c>
      <c r="F10" s="87">
        <f>CĐKT!F33/CĐKT!F87</f>
        <v>5.5684775731965876</v>
      </c>
      <c r="G10" s="87">
        <f>CĐKT!G33/CĐKT!G87</f>
        <v>5.5684775731965876</v>
      </c>
    </row>
    <row r="11" spans="1:7" ht="16.149999999999999" customHeight="1">
      <c r="A11" s="96">
        <v>5</v>
      </c>
      <c r="B11" s="85" t="s">
        <v>106</v>
      </c>
      <c r="C11" s="102" t="s">
        <v>369</v>
      </c>
      <c r="D11" s="87">
        <f>CĐKT!D33/CĐKT!D95/10</f>
        <v>2.962498015947999</v>
      </c>
      <c r="E11" s="87">
        <f>CĐKT!E33/CĐKT!E95/10</f>
        <v>2.962498015947999</v>
      </c>
      <c r="F11" s="87">
        <f>CĐKT!F33/CĐKT!F95/10</f>
        <v>4.1669368250659691</v>
      </c>
      <c r="G11" s="87">
        <f>CĐKT!G33/CĐKT!G95/10</f>
        <v>4.1669368250659691</v>
      </c>
    </row>
    <row r="12" spans="1:7" ht="16.149999999999999" customHeight="1">
      <c r="A12" s="96">
        <v>6</v>
      </c>
      <c r="B12" s="101" t="s">
        <v>108</v>
      </c>
      <c r="C12" s="102" t="s">
        <v>109</v>
      </c>
      <c r="D12" s="103">
        <f>'KQKD-Word'!D22/'KQKD-Word'!D13</f>
        <v>0.58357536003706545</v>
      </c>
      <c r="E12" s="103">
        <f>'KQKD-Word'!E22/'KQKD-Word'!E13</f>
        <v>0.58357536003706545</v>
      </c>
      <c r="F12" s="103">
        <f>'KQKD-Word'!F22/'KQKD-Word'!F13</f>
        <v>1.1421201640325147</v>
      </c>
      <c r="G12" s="103">
        <f>'KQKD-Word'!G22/'KQKD-Word'!G13</f>
        <v>1.1421201640325147</v>
      </c>
    </row>
    <row r="13" spans="1:7" ht="18" customHeight="1">
      <c r="A13" s="323" t="s">
        <v>5</v>
      </c>
      <c r="B13" s="431" t="s">
        <v>42</v>
      </c>
      <c r="C13" s="432"/>
      <c r="D13" s="432"/>
      <c r="E13" s="432"/>
      <c r="F13" s="432"/>
      <c r="G13" s="433"/>
    </row>
    <row r="14" spans="1:7" ht="16.149999999999999" customHeight="1">
      <c r="A14" s="46">
        <v>1</v>
      </c>
      <c r="B14" s="33" t="s">
        <v>43</v>
      </c>
      <c r="C14" s="34" t="s">
        <v>14</v>
      </c>
      <c r="D14" s="35">
        <f>CĐKT!D71/CĐKT!D101*100</f>
        <v>154.9007584087513</v>
      </c>
      <c r="E14" s="35">
        <f>CĐKT!E71/CĐKT!E101*100</f>
        <v>154.9007584087513</v>
      </c>
      <c r="F14" s="35">
        <f>CĐKT!F71/CĐKT!F101*100</f>
        <v>97.165010382768486</v>
      </c>
      <c r="G14" s="35">
        <f>CĐKT!G71/CĐKT!G101*100</f>
        <v>97.165010382768486</v>
      </c>
    </row>
    <row r="15" spans="1:7" ht="16.149999999999999" customHeight="1">
      <c r="A15" s="46">
        <v>2</v>
      </c>
      <c r="B15" s="33" t="s">
        <v>44</v>
      </c>
      <c r="C15" s="34" t="s">
        <v>15</v>
      </c>
      <c r="D15" s="35">
        <f>CĐKT!D71/CĐKT!D69*100</f>
        <v>60.769039492800445</v>
      </c>
      <c r="E15" s="35">
        <f>CĐKT!E71/CĐKT!E69*100</f>
        <v>60.769039492800445</v>
      </c>
      <c r="F15" s="35">
        <f>CĐKT!F71/CĐKT!F69*100</f>
        <v>49.281042933504111</v>
      </c>
      <c r="G15" s="35">
        <f>CĐKT!G71/CĐKT!G69*100</f>
        <v>49.281042933504111</v>
      </c>
    </row>
    <row r="16" spans="1:7" ht="16.149999999999999" customHeight="1">
      <c r="A16" s="46">
        <v>3</v>
      </c>
      <c r="B16" s="33" t="s">
        <v>45</v>
      </c>
      <c r="C16" s="34"/>
      <c r="D16" s="35"/>
      <c r="E16" s="35"/>
      <c r="F16" s="35"/>
      <c r="G16" s="35"/>
    </row>
    <row r="17" spans="1:7" ht="16.149999999999999" customHeight="1">
      <c r="A17" s="46">
        <v>4</v>
      </c>
      <c r="B17" s="33" t="s">
        <v>46</v>
      </c>
      <c r="C17" s="34" t="s">
        <v>60</v>
      </c>
      <c r="D17" s="35">
        <f>CĐKT!D33/(CĐKT!D101+CĐKT!D87)</f>
        <v>0.8635034880224185</v>
      </c>
      <c r="E17" s="35">
        <f>CĐKT!E33/(CĐKT!E101+CĐKT!E87)</f>
        <v>0.8635034880224185</v>
      </c>
      <c r="F17" s="35">
        <f>CĐKT!F33/(CĐKT!F101+CĐKT!F87)</f>
        <v>0.80403303650736868</v>
      </c>
      <c r="G17" s="35">
        <f>CĐKT!G33/(CĐKT!G101+CĐKT!G87)</f>
        <v>0.80403303650736868</v>
      </c>
    </row>
    <row r="18" spans="1:7" ht="16.149999999999999" customHeight="1">
      <c r="A18" s="84">
        <v>5</v>
      </c>
      <c r="B18" s="85" t="s">
        <v>47</v>
      </c>
      <c r="C18" s="86" t="s">
        <v>16</v>
      </c>
      <c r="D18" s="87">
        <f>CĐKT!D33/CĐKT!D101</f>
        <v>1.0232025775246616</v>
      </c>
      <c r="E18" s="87">
        <f>CĐKT!E33/CĐKT!E101</f>
        <v>1.0232025775246616</v>
      </c>
      <c r="F18" s="87">
        <f>CĐKT!F33/CĐKT!F101</f>
        <v>0.9397191839306499</v>
      </c>
      <c r="G18" s="87">
        <f>CĐKT!G33/CĐKT!G101</f>
        <v>0.9397191839306499</v>
      </c>
    </row>
    <row r="19" spans="1:7" ht="16.149999999999999" customHeight="1">
      <c r="A19" s="96">
        <v>6</v>
      </c>
      <c r="B19" s="101" t="s">
        <v>92</v>
      </c>
      <c r="C19" s="102" t="s">
        <v>93</v>
      </c>
      <c r="D19" s="103">
        <f>CĐKT!D101/CĐKT!D69*100</f>
        <v>39.230950265875023</v>
      </c>
      <c r="E19" s="103">
        <f>CĐKT!E101/CĐKT!E69*100</f>
        <v>39.230950265875023</v>
      </c>
      <c r="F19" s="103">
        <f>CĐKT!F101/CĐKT!F69*100</f>
        <v>50.718919021742579</v>
      </c>
      <c r="G19" s="103">
        <f>CĐKT!G101/CĐKT!G69*100</f>
        <v>50.718919021742579</v>
      </c>
    </row>
    <row r="20" spans="1:7" ht="16.149999999999999" customHeight="1">
      <c r="A20" s="323" t="s">
        <v>8</v>
      </c>
      <c r="B20" s="431" t="s">
        <v>48</v>
      </c>
      <c r="C20" s="432"/>
      <c r="D20" s="432"/>
      <c r="E20" s="432"/>
      <c r="F20" s="432"/>
      <c r="G20" s="433"/>
    </row>
    <row r="21" spans="1:7" ht="16.149999999999999" customHeight="1">
      <c r="A21" s="46">
        <v>1</v>
      </c>
      <c r="B21" s="33" t="s">
        <v>49</v>
      </c>
      <c r="C21" s="34" t="s">
        <v>61</v>
      </c>
      <c r="D21" s="35">
        <f>2*('KQKD-Word'!D8+'KQKD-Word'!D11+'KQKD-Word'!D17)/(CĐKT!D69+CĐKT!E69)</f>
        <v>1.6543107475941592</v>
      </c>
      <c r="E21" s="35">
        <f>2*('KQKD-Word'!E8+'KQKD-Word'!E11+'KQKD-Word'!E17)/(CĐKT!D69+CĐKT!E69)</f>
        <v>1.6543107475941592</v>
      </c>
      <c r="F21" s="35">
        <f>2*('KQKD-Word'!F8+'KQKD-Word'!F11+'KQKD-Word'!F17)/(CĐKT!F69+CĐKT!G69)</f>
        <v>1.2820670982632569</v>
      </c>
      <c r="G21" s="35">
        <f>2*('KQKD-Word'!G8+'KQKD-Word'!G11+'KQKD-Word'!G17)/(CĐKT!F69+CĐKT!G69)</f>
        <v>1.2820670982632569</v>
      </c>
    </row>
    <row r="22" spans="1:7" ht="16.149999999999999" customHeight="1">
      <c r="A22" s="46">
        <v>2</v>
      </c>
      <c r="B22" s="33" t="s">
        <v>50</v>
      </c>
      <c r="C22" s="34" t="s">
        <v>17</v>
      </c>
      <c r="D22" s="35">
        <f>2*'KQKD-Word'!D9/(CĐKT!D24+CĐKT!E24)</f>
        <v>5.8738050349090924</v>
      </c>
      <c r="E22" s="35">
        <f>2*'KQKD-Word'!E9/(CĐKT!D24+CĐKT!E24)</f>
        <v>5.8738050349090924</v>
      </c>
      <c r="F22" s="35">
        <f>2*'KQKD-Word'!F9/(CĐKT!F24+CĐKT!G24)</f>
        <v>3.2061628081604701</v>
      </c>
      <c r="G22" s="35">
        <f>2*'KQKD-Word'!G9/(CĐKT!F24+CĐKT!G24)</f>
        <v>3.2061628081604701</v>
      </c>
    </row>
    <row r="23" spans="1:7" ht="16.149999999999999" customHeight="1">
      <c r="A23" s="46">
        <v>3</v>
      </c>
      <c r="B23" s="33" t="s">
        <v>111</v>
      </c>
      <c r="C23" s="34" t="s">
        <v>71</v>
      </c>
      <c r="D23" s="35">
        <f>360*(CĐKT!D15+CĐKT!E15)/2/('KQKD-Word'!D8+'KQKD-Word'!D11+'KQKD-Word'!D17)</f>
        <v>31.480615495704932</v>
      </c>
      <c r="E23" s="35">
        <f>360*(CĐKT!D15+CĐKT!E15)/2/('KQKD-Word'!E8+'KQKD-Word'!E11+'KQKD-Word'!E17)</f>
        <v>31.480615495704932</v>
      </c>
      <c r="F23" s="35">
        <f>360*(CĐKT!F15+CĐKT!G15)/2/('KQKD-Word'!F8+'KQKD-Word'!F11+'KQKD-Word'!F17)</f>
        <v>33.418079867247968</v>
      </c>
      <c r="G23" s="35">
        <f>360*(CĐKT!F15+CĐKT!G15)/2/('KQKD-Word'!G8+'KQKD-Word'!G11+'KQKD-Word'!G17)</f>
        <v>33.418079867247968</v>
      </c>
    </row>
    <row r="24" spans="1:7" ht="16.149999999999999" customHeight="1">
      <c r="A24" s="46">
        <v>4</v>
      </c>
      <c r="B24" s="33" t="s">
        <v>100</v>
      </c>
      <c r="C24" s="34" t="s">
        <v>101</v>
      </c>
      <c r="D24" s="35">
        <f>2*'KQKD-Word'!D8/(CĐKT!D7+CĐKT!E7)</f>
        <v>2.6778906619851495</v>
      </c>
      <c r="E24" s="35">
        <f>2*'KQKD-Word'!E8/(CĐKT!D7+CĐKT!E7)</f>
        <v>2.6778906619851495</v>
      </c>
      <c r="F24" s="35">
        <f>2*'KQKD-Word'!F8/(CĐKT!E7+CĐKT!G7)</f>
        <v>1.9958800443483884</v>
      </c>
      <c r="G24" s="35">
        <f>2*'KQKD-Word'!F8/(CĐKT!E7+CĐKT!G7)</f>
        <v>1.9958800443483884</v>
      </c>
    </row>
    <row r="25" spans="1:7" ht="16.149999999999999" customHeight="1">
      <c r="A25" s="46">
        <v>5</v>
      </c>
      <c r="B25" s="33" t="s">
        <v>102</v>
      </c>
      <c r="C25" s="34" t="s">
        <v>103</v>
      </c>
      <c r="D25" s="35">
        <f>2*'KQKD-Word'!D8/(CĐKT!D15+CĐKT!E15)</f>
        <v>11.0805922368381</v>
      </c>
      <c r="E25" s="35">
        <f>2*'KQKD-Word'!E8/(CĐKT!D15+CĐKT!E15)</f>
        <v>11.0805922368381</v>
      </c>
      <c r="F25" s="35">
        <f>2*'KQKD-Word'!F8/(CĐKT!F15+CĐKT!G15)</f>
        <v>10.603967559653517</v>
      </c>
      <c r="G25" s="35">
        <f>2*'KQKD-Word'!G8/(CĐKT!F15+CĐKT!G15)</f>
        <v>10.603967559653517</v>
      </c>
    </row>
    <row r="26" spans="1:7" ht="16.149999999999999" customHeight="1">
      <c r="A26" s="46">
        <v>6</v>
      </c>
      <c r="B26" s="33" t="s">
        <v>112</v>
      </c>
      <c r="C26" s="34" t="s">
        <v>113</v>
      </c>
      <c r="D26" s="35">
        <f>2*'KQKD-Word'!D9/(CĐKT!D73+CĐKT!E73)</f>
        <v>24.939601183093217</v>
      </c>
      <c r="E26" s="35">
        <f>2*'KQKD-Word'!E9/(CĐKT!D73+CĐKT!E73)</f>
        <v>24.939601183093217</v>
      </c>
      <c r="F26" s="35">
        <f>2*'KQKD-Word'!F9/(CĐKT!F73+CĐKT!G73)</f>
        <v>96.506429869562211</v>
      </c>
      <c r="G26" s="35">
        <f>2*'KQKD-Word'!G9/(CĐKT!F73+CĐKT!G73)</f>
        <v>96.506429869562211</v>
      </c>
    </row>
    <row r="27" spans="1:7" ht="16.149999999999999" customHeight="1">
      <c r="A27" s="46">
        <v>7</v>
      </c>
      <c r="B27" s="33" t="s">
        <v>110</v>
      </c>
      <c r="C27" s="34" t="s">
        <v>114</v>
      </c>
      <c r="D27" s="35">
        <f>12/2*(CĐKT!D73+CĐKT!E73)/'KQKD-Word'!D9</f>
        <v>0.4811624657468424</v>
      </c>
      <c r="E27" s="35">
        <f>12/2*(CĐKT!D73+CĐKT!E73)/'KQKD-Word'!E9</f>
        <v>0.4811624657468424</v>
      </c>
      <c r="F27" s="35">
        <f>12/2*(CĐKT!F73+CĐKT!G73)/'KQKD-Word'!F9</f>
        <v>0.12434404646632521</v>
      </c>
      <c r="G27" s="35">
        <f>12/2*(CĐKT!F73+CĐKT!G73)/'KQKD-Word'!G9</f>
        <v>0.12434404646632521</v>
      </c>
    </row>
    <row r="28" spans="1:7" ht="16.149999999999999" customHeight="1">
      <c r="A28" s="46">
        <v>8</v>
      </c>
      <c r="B28" s="33" t="s">
        <v>51</v>
      </c>
      <c r="C28" s="34" t="s">
        <v>62</v>
      </c>
      <c r="D28" s="35">
        <f>'KQKD-Word'!D20/('KQKD-Word'!D8+'KQKD-Word'!D11+'KQKD-Word'!D17)*100</f>
        <v>0.96448469410780679</v>
      </c>
      <c r="E28" s="35">
        <f>'KQKD-Word'!E20/('KQKD-Word'!E8+'KQKD-Word'!E11+'KQKD-Word'!E17)*100</f>
        <v>0.96448469410780679</v>
      </c>
      <c r="F28" s="35">
        <f>'KQKD-Word'!F20/('KQKD-Word'!F8+'KQKD-Word'!F11+'KQKD-Word'!F17)*100</f>
        <v>1.59628261083738</v>
      </c>
      <c r="G28" s="35">
        <f>'KQKD-Word'!G20/('KQKD-Word'!G8+'KQKD-Word'!G11+'KQKD-Word'!G17)*100</f>
        <v>1.59628261083738</v>
      </c>
    </row>
    <row r="29" spans="1:7" ht="33" customHeight="1">
      <c r="A29" s="46">
        <v>9</v>
      </c>
      <c r="B29" s="33" t="s">
        <v>52</v>
      </c>
      <c r="C29" s="34" t="s">
        <v>18</v>
      </c>
      <c r="D29" s="35">
        <f>2*'KQKD-Word'!D20/(CĐKT!D101+CĐKT!E101)*100</f>
        <v>4.0670883181244344</v>
      </c>
      <c r="E29" s="35">
        <f>2*'KQKD-Word'!E20/(CĐKT!D101+CĐKT!E101)*100</f>
        <v>4.0670883181244344</v>
      </c>
      <c r="F29" s="35">
        <f>2*'KQKD-Word'!F20/(CĐKT!F101+CĐKT!G101)*100</f>
        <v>4.0350651282750105</v>
      </c>
      <c r="G29" s="35">
        <f>2*'KQKD-Word'!G20/(CĐKT!F101+CĐKT!G101)*100</f>
        <v>4.0350651282750105</v>
      </c>
    </row>
    <row r="30" spans="1:7" ht="33" customHeight="1">
      <c r="A30" s="46">
        <v>10</v>
      </c>
      <c r="B30" s="33" t="s">
        <v>98</v>
      </c>
      <c r="C30" s="86" t="s">
        <v>99</v>
      </c>
      <c r="D30" s="35">
        <f>2*'KQKD-Word'!D22/(CĐKT!D101+CĐKT!E101)*100</f>
        <v>3.5511448181667244</v>
      </c>
      <c r="E30" s="35">
        <f>2*'KQKD-Word'!E22/(CĐKT!E101+CĐKT!E101)*100</f>
        <v>3.5511448181667244</v>
      </c>
      <c r="F30" s="35">
        <f>2*'KQKD-Word'!F22/(CĐKT!F101+CĐKT!G101)*100</f>
        <v>3.9136473709279982</v>
      </c>
      <c r="G30" s="35">
        <f>2*'KQKD-Word'!G22/(CĐKT!F101+CĐKT!G101)*100</f>
        <v>3.9136473709279982</v>
      </c>
    </row>
    <row r="31" spans="1:7" ht="33" customHeight="1">
      <c r="A31" s="46">
        <v>11</v>
      </c>
      <c r="B31" s="85" t="s">
        <v>97</v>
      </c>
      <c r="C31" s="86" t="s">
        <v>99</v>
      </c>
      <c r="D31" s="87">
        <f>2*'KQKD-Word'!D22/(CĐKT!D120+CĐKT!E120)*100</f>
        <v>1.3931480001609935</v>
      </c>
      <c r="E31" s="87">
        <f>2*'KQKD-Word'!E22/(CĐKT!D120+CĐKT!E120)*100</f>
        <v>1.3931480001609935</v>
      </c>
      <c r="F31" s="87">
        <f>2*'KQKD-Word'!F22/(CĐKT!F120+CĐKT!G120)*100</f>
        <v>1.9849603960308146</v>
      </c>
      <c r="G31" s="87">
        <f>2*'KQKD-Word'!G22/(CĐKT!F120+CĐKT!G120)*100</f>
        <v>1.9849603960308146</v>
      </c>
    </row>
    <row r="32" spans="1:7" ht="16.149999999999999" customHeight="1">
      <c r="A32" s="46">
        <v>12</v>
      </c>
      <c r="B32" s="101" t="s">
        <v>104</v>
      </c>
      <c r="C32" s="102" t="s">
        <v>105</v>
      </c>
      <c r="D32" s="103">
        <f>('KQKD-Word'!D22+'KQKD-Word'!D13)/(CĐKT!D82+CĐKT!D95)*100</f>
        <v>8.112604576981207</v>
      </c>
      <c r="E32" s="103">
        <f>('KQKD-Word'!E22+'KQKD-Word'!E13)/(CĐKT!E82+CĐKT!E95)*100</f>
        <v>8.112604576981207</v>
      </c>
      <c r="F32" s="103">
        <f>('KQKD-Word'!F22+'KQKD-Word'!F13)/(CĐKT!F82+CĐKT!F95)*100</f>
        <v>10.026222570126079</v>
      </c>
      <c r="G32" s="103">
        <f>('KQKD-Word'!G22+'KQKD-Word'!G13)/(CĐKT!G82+CĐKT!G95)*100</f>
        <v>10.026222570126079</v>
      </c>
    </row>
    <row r="33" spans="1:7" ht="16.149999999999999" customHeight="1">
      <c r="A33" s="323" t="s">
        <v>9</v>
      </c>
      <c r="B33" s="431" t="s">
        <v>53</v>
      </c>
      <c r="C33" s="432"/>
      <c r="D33" s="432"/>
      <c r="E33" s="432"/>
      <c r="F33" s="432"/>
      <c r="G33" s="433"/>
    </row>
    <row r="34" spans="1:7" ht="18.600000000000001" customHeight="1">
      <c r="A34" s="46">
        <v>1</v>
      </c>
      <c r="B34" s="33" t="s">
        <v>54</v>
      </c>
      <c r="C34" s="34" t="s">
        <v>63</v>
      </c>
      <c r="D34" s="36">
        <v>0</v>
      </c>
      <c r="E34" s="35">
        <f>('KQKD-Word'!E8+'KQKD-Word'!E11+'KQKD-Word'!E17)/('KQKD-Word'!D8+'KQKD-Word'!D11+'KQKD-Word'!D17)</f>
        <v>1</v>
      </c>
      <c r="F34" s="36">
        <v>0</v>
      </c>
      <c r="G34" s="35">
        <f>('KQKD-Word'!G8+'KQKD-Word'!G11+'KQKD-Word'!G17)/('KQKD-Word'!F8+'KQKD-Word'!F11+'KQKD-Word'!F17)</f>
        <v>1</v>
      </c>
    </row>
    <row r="35" spans="1:7" ht="28.9" customHeight="1">
      <c r="A35" s="46">
        <v>2</v>
      </c>
      <c r="B35" s="33" t="s">
        <v>125</v>
      </c>
      <c r="C35" s="34" t="s">
        <v>64</v>
      </c>
      <c r="D35" s="36">
        <v>0</v>
      </c>
      <c r="E35" s="35">
        <f>('KQKD-Word'!E8+'KQKD-Word'!E11)/('KQKD-Word'!D8+'KQKD-Word'!D11)</f>
        <v>1</v>
      </c>
      <c r="F35" s="36">
        <v>0</v>
      </c>
      <c r="G35" s="35">
        <f>('KQKD-Word'!G8+'KQKD-Word'!G11)/('KQKD-Word'!F8+'KQKD-Word'!F11)</f>
        <v>1</v>
      </c>
    </row>
    <row r="36" spans="1:7" ht="18.600000000000001" customHeight="1">
      <c r="A36" s="46">
        <v>3</v>
      </c>
      <c r="B36" s="33" t="s">
        <v>55</v>
      </c>
      <c r="C36" s="34" t="s">
        <v>6</v>
      </c>
      <c r="D36" s="36">
        <v>0</v>
      </c>
      <c r="E36" s="35">
        <f>'KQKD-Word'!E20/'KQKD-Word'!D20</f>
        <v>1</v>
      </c>
      <c r="F36" s="36">
        <v>0</v>
      </c>
      <c r="G36" s="35">
        <f>'KQKD-Word'!G20/'KQKD-Word'!F20</f>
        <v>1</v>
      </c>
    </row>
    <row r="37" spans="1:7" ht="31.15" customHeight="1">
      <c r="A37" s="88">
        <v>4</v>
      </c>
      <c r="B37" s="89" t="s">
        <v>56</v>
      </c>
      <c r="C37" s="90" t="s">
        <v>7</v>
      </c>
      <c r="D37" s="91">
        <v>0</v>
      </c>
      <c r="E37" s="92">
        <f>'KQKD-Word'!E16/'KQKD-Word'!D16</f>
        <v>1</v>
      </c>
      <c r="F37" s="91">
        <v>0</v>
      </c>
      <c r="G37" s="92">
        <f>'KQKD-Word'!G16/'KQKD-Word'!F16</f>
        <v>1</v>
      </c>
    </row>
  </sheetData>
  <mergeCells count="9">
    <mergeCell ref="B13:G13"/>
    <mergeCell ref="B20:G20"/>
    <mergeCell ref="B33:G33"/>
    <mergeCell ref="A2:G2"/>
    <mergeCell ref="A4:A5"/>
    <mergeCell ref="B4:B5"/>
    <mergeCell ref="C4:C5"/>
    <mergeCell ref="D4:E4"/>
    <mergeCell ref="F4:G4"/>
  </mergeCells>
  <dataValidations count="29">
    <dataValidation allowBlank="1" showInputMessage="1" showErrorMessage="1" promptTitle="Cách tính" prompt="TTln = (Tổng lợi nhuận năm sau/Tổng lợi nhuận năm trước)-1" sqref="B36"/>
    <dataValidation allowBlank="1" showInputMessage="1" showErrorMessage="1" promptTitle="Cách tính" prompt="TTdtc = (Doanh thu từ HĐKD chính năm sau/Doanh thu HĐKD năm trước)-1" sqref="B35"/>
    <dataValidation allowBlank="1" showInputMessage="1" showErrorMessage="1" promptTitle="Cách tính" prompt="TTdt = (Doanh thu năm sau/Doanh thu năm trước)-1" sqref="B34"/>
    <dataValidation allowBlank="1" showInputMessage="1" showErrorMessage="1" promptTitle="Cách tính" prompt="LNvn = (Lợi nhuận trước thuế/Tổng Tài sản)*100%" sqref="B31"/>
    <dataValidation allowBlank="1" showInputMessage="1" showErrorMessage="1" promptTitle="Cách tính" prompt="LNvsh = (Lợi nhuận trước thuế/Tổng nguồn vốn)*100%" sqref="B29:B30"/>
    <dataValidation allowBlank="1" showInputMessage="1" showErrorMessage="1" promptTitle="Cách tính" prompt="LNdt = (Lợi nhuận trước thuế/Doanh thu)*100%" sqref="B28"/>
    <dataValidation allowBlank="1" showInputMessage="1" showErrorMessage="1" promptTitle="Cách tính" prompt="N = (Các khoản phải thu bình quân/Doanh thu) *360 ngày" sqref="B23"/>
    <dataValidation allowBlank="1" showInputMessage="1" showErrorMessage="1" promptTitle="Cách tính" prompt="V = Giá vốn hàng bán /Hàng tồn kho bình quân" sqref="B22"/>
    <dataValidation allowBlank="1" showInputMessage="1" showErrorMessage="1" promptTitle="Cách tính" prompt="L = Doanh thu/Tổng tài sản" sqref="B21"/>
    <dataValidation allowBlank="1" showInputMessage="1" showErrorMessage="1" promptTitle="Cách tính" prompt="Kts = Tài sản dài hạn / Vốn chủ sở hứu" sqref="B18"/>
    <dataValidation allowBlank="1" showInputMessage="1" showErrorMessage="1" promptTitle="Cách tính" prompt="Ktu = Tài sản dài hạn/(Vốn chủ sở hữu + Nợ dài hạn)" sqref="B17"/>
    <dataValidation allowBlank="1" showInputMessage="1" showErrorMessage="1" promptTitle="Cách tính" prompt="Nqh = (Nợ quá hạn)/Tổng dư nợ vay)*100%" sqref="B16"/>
    <dataValidation allowBlank="1" showInputMessage="1" showErrorMessage="1" promptTitle="Cách tính" prompt="Ntts =  (Nợ phải trả/Tổng tài sản)*100%" sqref="B15"/>
    <dataValidation allowBlank="1" showInputMessage="1" showErrorMessage="1" promptTitle="Cách tính" prompt="Ncsh = (Nợ phải trả/Nguồn vốn chủ sở hữu)*100%" sqref="B14"/>
    <dataValidation allowBlank="1" showInputMessage="1" showErrorMessage="1" promptTitle="Cách tính" prompt="Kdh = Tài sản cố định và đầu tư dài hạn/nợ dài hạn" sqref="B10"/>
    <dataValidation allowBlank="1" showInputMessage="1" showErrorMessage="1" promptTitle="Cách tính" prompt="Knh = Vốn bằng tiền và các khoản đầu tư tài chính ngắn hạn có thể bán ngay trên thị trường/Nợ ngắn hạn" sqref="B9"/>
    <dataValidation allowBlank="1" showInputMessage="1" showErrorMessage="1" promptTitle="Cách tính" prompt="TTlnt = (Tổng lợi nhuận thuần năm sau/Tổng lợi nhuận thuần năm trước)-1" sqref="B37"/>
    <dataValidation allowBlank="1" showInputMessage="1" showErrorMessage="1" promptTitle="Cách tính" prompt="Kng=Tài sản ngắn hạn (Tổng tài sản lưu động và ngắn hạn)/nợ ngắn hạn" sqref="B8"/>
    <dataValidation allowBlank="1" showInputMessage="1" showErrorMessage="1" promptTitle="Cách tính" prompt="Ktq = Tổng tài sản/nợ tài sản (Nợ phải trả)" sqref="B7"/>
    <dataValidation allowBlank="1" showInputMessage="1" showErrorMessage="1" promptTitle="Ghi chú" prompt="Tìm hiểu lại chỉ tiêu này (do lợi nhuận năm trước âm,năm sau dương)" sqref="E37 G37"/>
    <dataValidation allowBlank="1" showInputMessage="1" showErrorMessage="1" promptTitle="Ghi chu" prompt="Nam sau so voi nam truoc" sqref="C34:C37"/>
    <dataValidation allowBlank="1" showInputMessage="1" showErrorMessage="1" promptTitle="Cách tính" prompt="Httt = Nguồn vốn chủ sở hứu / Tổng tài sản *100%" sqref="B19"/>
    <dataValidation allowBlank="1" showInputMessage="1" showErrorMessage="1" promptTitle="Cách tính" prompt="Vvlđ = Doanh thu thuần / Tài sản ngắn hạn bình quân" sqref="B24"/>
    <dataValidation allowBlank="1" showInputMessage="1" showErrorMessage="1" promptTitle="Cách tính" prompt="Vkpt = Doanh thu thuần / Các khoản phải thu bình quân" sqref="B25"/>
    <dataValidation allowBlank="1" showInputMessage="1" showErrorMessage="1" promptTitle="Cách tính" prompt="LNvn = (Lợi nhuận sau thuế+lãi vay) / (Nợ vay TCTD ngắn hạn + Nợ vay TCTD dài hạn) * 100" sqref="B32"/>
    <dataValidation allowBlank="1" showInputMessage="1" showErrorMessage="1" promptTitle="Cách tính" prompt="Kdh = Tài sản cố định và đầu tư dài hạn/nợ dài hạn đến hạn" sqref="B11"/>
    <dataValidation allowBlank="1" showInputMessage="1" showErrorMessage="1" promptTitle="Cách tính" prompt="Klv = Lợi nhuận sau thuế/Lãi vay" sqref="B12"/>
    <dataValidation allowBlank="1" showInputMessage="1" showErrorMessage="1" promptTitle="Cách tính" prompt="Vkptr = Giá vốn / Khoản phải trả bình quân" sqref="B26"/>
    <dataValidation allowBlank="1" showInputMessage="1" showErrorMessage="1" promptTitle="Cách tính" prompt="Ntr = 12 tháng / Vòng quay khoản phải trả" sqref="B27"/>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sheetPr codeName="Sheet3"/>
  <dimension ref="A1:Z57"/>
  <sheetViews>
    <sheetView showZeros="0" zoomScale="85" workbookViewId="0">
      <selection activeCell="M9" sqref="M8:M9"/>
    </sheetView>
  </sheetViews>
  <sheetFormatPr defaultColWidth="9.140625" defaultRowHeight="15"/>
  <cols>
    <col min="1" max="1" width="6.42578125" style="43" customWidth="1"/>
    <col min="2" max="2" width="56" style="2" customWidth="1"/>
    <col min="3" max="3" width="8.7109375" style="2" customWidth="1"/>
    <col min="4" max="8" width="9.5703125" style="4" customWidth="1"/>
    <col min="9" max="9" width="9.5703125" style="2" customWidth="1"/>
    <col min="10" max="10" width="8.140625" style="10" customWidth="1"/>
    <col min="11" max="11" width="10.5703125" style="10" customWidth="1"/>
    <col min="12" max="13" width="18.5703125" style="10" customWidth="1"/>
    <col min="14" max="14" width="16.85546875" style="10" customWidth="1"/>
    <col min="15" max="15" width="7.28515625" style="10" hidden="1" customWidth="1"/>
    <col min="16" max="22" width="0" style="10" hidden="1" customWidth="1"/>
    <col min="23" max="26" width="9.140625" style="10"/>
    <col min="27" max="16384" width="9.140625" style="2"/>
  </cols>
  <sheetData>
    <row r="1" spans="1:26" ht="20.45" customHeight="1">
      <c r="A1" s="440" t="s">
        <v>67</v>
      </c>
      <c r="B1" s="441"/>
      <c r="C1" s="44"/>
      <c r="D1" s="45"/>
      <c r="E1" s="26" t="s">
        <v>23</v>
      </c>
      <c r="F1" s="45"/>
      <c r="H1" s="455" t="s">
        <v>20</v>
      </c>
      <c r="I1" s="455"/>
      <c r="J1" s="455"/>
      <c r="K1" s="455"/>
    </row>
    <row r="2" spans="1:26">
      <c r="A2" s="44"/>
      <c r="B2" s="30"/>
      <c r="C2" s="10"/>
      <c r="D2" s="28"/>
      <c r="E2" s="28"/>
      <c r="F2" s="28"/>
      <c r="G2" s="28"/>
      <c r="H2" s="28"/>
      <c r="I2" s="10"/>
    </row>
    <row r="3" spans="1:26" s="9" customFormat="1" ht="16.5" customHeight="1">
      <c r="A3" s="448" t="s">
        <v>0</v>
      </c>
      <c r="B3" s="450" t="s">
        <v>27</v>
      </c>
      <c r="C3" s="450" t="s">
        <v>59</v>
      </c>
      <c r="D3" s="452" t="s">
        <v>30</v>
      </c>
      <c r="E3" s="453"/>
      <c r="F3" s="454"/>
      <c r="G3" s="452" t="s">
        <v>72</v>
      </c>
      <c r="H3" s="453"/>
      <c r="I3" s="454"/>
      <c r="J3" s="446" t="s">
        <v>25</v>
      </c>
      <c r="K3" s="447"/>
      <c r="L3" s="11"/>
      <c r="M3" s="11"/>
      <c r="N3" s="11"/>
      <c r="O3" s="37" t="s">
        <v>19</v>
      </c>
      <c r="P3" s="27"/>
      <c r="Q3" s="37"/>
      <c r="R3" s="37"/>
      <c r="S3" s="37"/>
      <c r="T3" s="37"/>
      <c r="U3" s="37"/>
      <c r="V3" s="37"/>
      <c r="W3" s="11"/>
      <c r="X3" s="11"/>
      <c r="Y3" s="11"/>
      <c r="Z3" s="11"/>
    </row>
    <row r="4" spans="1:26" s="9" customFormat="1" ht="33" customHeight="1">
      <c r="A4" s="449"/>
      <c r="B4" s="451"/>
      <c r="C4" s="451"/>
      <c r="D4" s="327" t="s">
        <v>32</v>
      </c>
      <c r="E4" s="327" t="s">
        <v>31</v>
      </c>
      <c r="F4" s="328" t="s">
        <v>65</v>
      </c>
      <c r="G4" s="327" t="str">
        <f>D4</f>
        <v>Đầu kỳ</v>
      </c>
      <c r="H4" s="327" t="str">
        <f>E4</f>
        <v>Cuối kỳ</v>
      </c>
      <c r="I4" s="328" t="s">
        <v>65</v>
      </c>
      <c r="J4" s="329" t="s">
        <v>77</v>
      </c>
      <c r="K4" s="329" t="s">
        <v>78</v>
      </c>
      <c r="L4" s="11"/>
      <c r="M4" s="11"/>
      <c r="N4" s="11"/>
      <c r="O4" s="442" t="s">
        <v>20</v>
      </c>
      <c r="P4" s="443"/>
      <c r="Q4" s="442" t="s">
        <v>21</v>
      </c>
      <c r="R4" s="443"/>
      <c r="S4" s="444" t="s">
        <v>22</v>
      </c>
      <c r="T4" s="445"/>
      <c r="U4" s="442" t="s">
        <v>24</v>
      </c>
      <c r="V4" s="443"/>
      <c r="W4" s="11"/>
      <c r="X4" s="11"/>
      <c r="Y4" s="11"/>
      <c r="Z4" s="11"/>
    </row>
    <row r="5" spans="1:26" s="8" customFormat="1" ht="18.75" customHeight="1">
      <c r="A5" s="208" t="s">
        <v>4</v>
      </c>
      <c r="B5" s="58" t="str">
        <f>PTTC!B6</f>
        <v>KHẢ NĂNG THANH TOÁN</v>
      </c>
      <c r="C5" s="38"/>
      <c r="D5" s="38"/>
      <c r="E5" s="38"/>
      <c r="F5" s="38"/>
      <c r="G5" s="38"/>
      <c r="H5" s="38"/>
      <c r="I5" s="39"/>
      <c r="J5" s="330"/>
      <c r="K5" s="330"/>
      <c r="L5" s="12"/>
      <c r="M5" s="12"/>
      <c r="N5" s="12"/>
      <c r="O5" s="25"/>
      <c r="P5" s="25"/>
      <c r="Q5" s="25"/>
      <c r="R5" s="25"/>
      <c r="S5" s="25"/>
      <c r="T5" s="25"/>
      <c r="U5" s="25"/>
      <c r="V5" s="25"/>
      <c r="W5" s="12"/>
      <c r="X5" s="12"/>
      <c r="Y5" s="12"/>
      <c r="Z5" s="12"/>
    </row>
    <row r="6" spans="1:26" s="7" customFormat="1" ht="18.75">
      <c r="A6" s="53">
        <v>1</v>
      </c>
      <c r="B6" s="54" t="str">
        <f>PTTC!B7</f>
        <v>Khả năng thanh toán tổng quát - Ktq</v>
      </c>
      <c r="C6" s="107" t="s">
        <v>94</v>
      </c>
      <c r="D6" s="41">
        <f>PTTC!D7</f>
        <v>1.645574799842729</v>
      </c>
      <c r="E6" s="41">
        <f>PTTC!E7</f>
        <v>1.645574799842729</v>
      </c>
      <c r="F6" s="41">
        <f>(D6+E6)/2</f>
        <v>1.645574799842729</v>
      </c>
      <c r="G6" s="41">
        <f>PTTC!F7</f>
        <v>2.0291778348711489</v>
      </c>
      <c r="H6" s="41">
        <f>PTTC!G7</f>
        <v>2.0291778348711489</v>
      </c>
      <c r="I6" s="41">
        <f>(G6+H6)/2</f>
        <v>2.0291778348711489</v>
      </c>
      <c r="J6" s="331">
        <f t="shared" ref="J6:K9" si="0">IF($H$1=$O$4,O6,IF($H$1=$Q$4,Q6,IF($H$1=$S$4,S6,U6)))</f>
        <v>1.4</v>
      </c>
      <c r="K6" s="331">
        <f t="shared" si="0"/>
        <v>3.3</v>
      </c>
      <c r="L6" s="13"/>
      <c r="M6" s="13"/>
      <c r="N6" s="13"/>
      <c r="O6" s="23">
        <v>1.4</v>
      </c>
      <c r="P6" s="23">
        <v>3.3</v>
      </c>
      <c r="Q6" s="23">
        <v>1.4</v>
      </c>
      <c r="R6" s="23">
        <v>2.5</v>
      </c>
      <c r="S6" s="23">
        <v>1.4</v>
      </c>
      <c r="T6" s="23">
        <v>2.2000000000000002</v>
      </c>
      <c r="U6" s="23">
        <v>1.5</v>
      </c>
      <c r="V6" s="23">
        <v>4</v>
      </c>
      <c r="W6" s="13"/>
      <c r="X6" s="13"/>
      <c r="Y6" s="13"/>
      <c r="Z6" s="13"/>
    </row>
    <row r="7" spans="1:26" s="7" customFormat="1" ht="18.75">
      <c r="A7" s="53">
        <v>2</v>
      </c>
      <c r="B7" s="54" t="str">
        <f>PTTC!B8</f>
        <v>Khả năng thanh toán ngắn hạn - Kng</v>
      </c>
      <c r="C7" s="107" t="s">
        <v>94</v>
      </c>
      <c r="D7" s="41">
        <f>PTTC!D8</f>
        <v>1.1185727550956355</v>
      </c>
      <c r="E7" s="41">
        <f>PTTC!E8</f>
        <v>1.1185727550956355</v>
      </c>
      <c r="F7" s="41">
        <f t="shared" ref="F7:F36" si="1">(D7+E7)/2</f>
        <v>1.1185727550956355</v>
      </c>
      <c r="G7" s="41">
        <f>PTTC!F8</f>
        <v>1.2852664645139069</v>
      </c>
      <c r="H7" s="41">
        <f>PTTC!G8</f>
        <v>1.2852664645139069</v>
      </c>
      <c r="I7" s="41">
        <f t="shared" ref="I7:I36" si="2">(G7+H7)/2</f>
        <v>1.2852664645139069</v>
      </c>
      <c r="J7" s="331">
        <f t="shared" si="0"/>
        <v>0.7</v>
      </c>
      <c r="K7" s="331">
        <f t="shared" si="0"/>
        <v>2.5</v>
      </c>
      <c r="L7" s="13"/>
      <c r="M7" s="13"/>
      <c r="N7" s="13"/>
      <c r="O7" s="23">
        <v>0.7</v>
      </c>
      <c r="P7" s="23">
        <v>2.5</v>
      </c>
      <c r="Q7" s="23">
        <v>0.5</v>
      </c>
      <c r="R7" s="23">
        <v>2.5</v>
      </c>
      <c r="S7" s="23">
        <v>0.5</v>
      </c>
      <c r="T7" s="23">
        <v>2.2999999999999998</v>
      </c>
      <c r="U7" s="23">
        <v>0.8</v>
      </c>
      <c r="V7" s="23">
        <v>2.9</v>
      </c>
      <c r="W7" s="13"/>
      <c r="X7" s="13"/>
      <c r="Y7" s="13"/>
      <c r="Z7" s="13"/>
    </row>
    <row r="8" spans="1:26" s="7" customFormat="1" ht="18.75">
      <c r="A8" s="53">
        <v>3</v>
      </c>
      <c r="B8" s="54" t="str">
        <f>PTTC!B9</f>
        <v>Khả năng thanh toán nhanh - Knh</v>
      </c>
      <c r="C8" s="107" t="s">
        <v>94</v>
      </c>
      <c r="D8" s="41">
        <f>PTTC!D9</f>
        <v>0.38389487519845916</v>
      </c>
      <c r="E8" s="41">
        <f>PTTC!E9</f>
        <v>0.38389487519845916</v>
      </c>
      <c r="F8" s="41">
        <f t="shared" si="1"/>
        <v>0.38389487519845916</v>
      </c>
      <c r="G8" s="41">
        <f>PTTC!F9</f>
        <v>0.12338875458059116</v>
      </c>
      <c r="H8" s="41">
        <f>PTTC!G9</f>
        <v>0.12338875458059116</v>
      </c>
      <c r="I8" s="41">
        <f t="shared" si="2"/>
        <v>0.12338875458059116</v>
      </c>
      <c r="J8" s="331">
        <f t="shared" si="0"/>
        <v>0.2</v>
      </c>
      <c r="K8" s="331">
        <f t="shared" si="0"/>
        <v>1.5</v>
      </c>
      <c r="L8" s="13"/>
      <c r="M8" s="13"/>
      <c r="N8" s="13"/>
      <c r="O8" s="23">
        <v>0.2</v>
      </c>
      <c r="P8" s="23">
        <v>1.5</v>
      </c>
      <c r="Q8" s="23">
        <v>0.2</v>
      </c>
      <c r="R8" s="23">
        <v>1.3</v>
      </c>
      <c r="S8" s="23">
        <v>0.1</v>
      </c>
      <c r="T8" s="23">
        <v>1.2</v>
      </c>
      <c r="U8" s="23">
        <v>0.4</v>
      </c>
      <c r="V8" s="23">
        <v>2.2000000000000002</v>
      </c>
      <c r="W8" s="13"/>
      <c r="X8" s="13"/>
      <c r="Y8" s="13"/>
      <c r="Z8" s="13"/>
    </row>
    <row r="9" spans="1:26" s="7" customFormat="1" ht="18.75">
      <c r="A9" s="80">
        <v>4</v>
      </c>
      <c r="B9" s="81" t="str">
        <f>PTTC!B10</f>
        <v>Khả năng thanh toán dài hạn - Kdn</v>
      </c>
      <c r="C9" s="107" t="s">
        <v>94</v>
      </c>
      <c r="D9" s="82">
        <f>PTTC!D10</f>
        <v>5.532523681881508</v>
      </c>
      <c r="E9" s="82">
        <f>PTTC!E10</f>
        <v>5.532523681881508</v>
      </c>
      <c r="F9" s="82">
        <f t="shared" si="1"/>
        <v>5.532523681881508</v>
      </c>
      <c r="G9" s="82">
        <f>PTTC!F10</f>
        <v>5.5684775731965876</v>
      </c>
      <c r="H9" s="82">
        <f>PTTC!G10</f>
        <v>5.5684775731965876</v>
      </c>
      <c r="I9" s="82">
        <f t="shared" si="2"/>
        <v>5.5684775731965876</v>
      </c>
      <c r="J9" s="332">
        <f t="shared" si="0"/>
        <v>1</v>
      </c>
      <c r="K9" s="332">
        <f t="shared" si="0"/>
        <v>1.4</v>
      </c>
      <c r="L9" s="13"/>
      <c r="M9" s="13"/>
      <c r="N9" s="13"/>
      <c r="O9" s="23">
        <v>1</v>
      </c>
      <c r="P9" s="23">
        <v>1.4</v>
      </c>
      <c r="Q9" s="23">
        <v>1</v>
      </c>
      <c r="R9" s="23">
        <v>1.4</v>
      </c>
      <c r="S9" s="23">
        <v>1</v>
      </c>
      <c r="T9" s="23">
        <v>1.4</v>
      </c>
      <c r="U9" s="23">
        <v>1</v>
      </c>
      <c r="V9" s="23">
        <v>1.5</v>
      </c>
      <c r="W9" s="13"/>
      <c r="X9" s="13"/>
      <c r="Y9" s="13"/>
      <c r="Z9" s="13"/>
    </row>
    <row r="10" spans="1:26" s="7" customFormat="1" ht="18.75">
      <c r="A10" s="104">
        <v>5</v>
      </c>
      <c r="B10" s="105" t="str">
        <f>PTTC!B11</f>
        <v>Khả năng thanh toán dài hạn đến hạn - Kdhđn</v>
      </c>
      <c r="C10" s="112" t="s">
        <v>94</v>
      </c>
      <c r="D10" s="106">
        <f>PTTC!D11</f>
        <v>2.962498015947999</v>
      </c>
      <c r="E10" s="106">
        <f>PTTC!E11</f>
        <v>2.962498015947999</v>
      </c>
      <c r="F10" s="106">
        <f>(D10+E10)/2</f>
        <v>2.962498015947999</v>
      </c>
      <c r="G10" s="106">
        <f>PTTC!F11</f>
        <v>4.1669368250659691</v>
      </c>
      <c r="H10" s="106">
        <f>PTTC!G11</f>
        <v>4.1669368250659691</v>
      </c>
      <c r="I10" s="106">
        <f>(G10+H10)/2</f>
        <v>4.1669368250659691</v>
      </c>
      <c r="J10" s="333"/>
      <c r="K10" s="333"/>
      <c r="L10" s="13"/>
      <c r="M10" s="13"/>
      <c r="N10" s="13"/>
      <c r="O10" s="23"/>
      <c r="P10" s="23"/>
      <c r="Q10" s="23"/>
      <c r="R10" s="23"/>
      <c r="S10" s="23"/>
      <c r="T10" s="23"/>
      <c r="U10" s="23"/>
      <c r="V10" s="23"/>
      <c r="W10" s="13"/>
      <c r="X10" s="13"/>
      <c r="Y10" s="13"/>
      <c r="Z10" s="13"/>
    </row>
    <row r="11" spans="1:26" s="7" customFormat="1" ht="18.75">
      <c r="A11" s="104">
        <v>6</v>
      </c>
      <c r="B11" s="105" t="str">
        <f>PTTC!B12</f>
        <v>Khả năng thanh toán lãi vay - Klv</v>
      </c>
      <c r="C11" s="112" t="s">
        <v>94</v>
      </c>
      <c r="D11" s="106">
        <f>PTTC!D12</f>
        <v>0.58357536003706545</v>
      </c>
      <c r="E11" s="106">
        <f>PTTC!E12</f>
        <v>0.58357536003706545</v>
      </c>
      <c r="F11" s="106">
        <f>(D11+E11)/2</f>
        <v>0.58357536003706545</v>
      </c>
      <c r="G11" s="106">
        <f>PTTC!F12</f>
        <v>1.1421201640325147</v>
      </c>
      <c r="H11" s="106">
        <f>PTTC!G12</f>
        <v>1.1421201640325147</v>
      </c>
      <c r="I11" s="106">
        <f>(G11+H11)/2</f>
        <v>1.1421201640325147</v>
      </c>
      <c r="J11" s="333"/>
      <c r="K11" s="333"/>
      <c r="L11" s="13"/>
      <c r="M11" s="13"/>
      <c r="N11" s="13"/>
      <c r="O11" s="23"/>
      <c r="P11" s="23"/>
      <c r="Q11" s="23"/>
      <c r="R11" s="23"/>
      <c r="S11" s="23"/>
      <c r="T11" s="23"/>
      <c r="U11" s="23"/>
      <c r="V11" s="23"/>
      <c r="W11" s="13"/>
      <c r="X11" s="13"/>
      <c r="Y11" s="13"/>
      <c r="Z11" s="13"/>
    </row>
    <row r="12" spans="1:26" s="8" customFormat="1" ht="18.75" customHeight="1">
      <c r="A12" s="209" t="s">
        <v>5</v>
      </c>
      <c r="B12" s="58" t="str">
        <f>PTTC!B13</f>
        <v>CƠ CẤU VỐN, TÍNH ỔN ĐỊNH VÀ KHẢ NĂNG TRẢ NỢ</v>
      </c>
      <c r="C12" s="108"/>
      <c r="D12" s="83">
        <f>PTTC!D13</f>
        <v>0</v>
      </c>
      <c r="E12" s="83">
        <f>PTTC!E13</f>
        <v>0</v>
      </c>
      <c r="F12" s="83">
        <f t="shared" si="1"/>
        <v>0</v>
      </c>
      <c r="G12" s="83">
        <f>PTTC!F13</f>
        <v>0</v>
      </c>
      <c r="H12" s="83">
        <f>PTTC!G13</f>
        <v>0</v>
      </c>
      <c r="I12" s="83">
        <f t="shared" si="2"/>
        <v>0</v>
      </c>
      <c r="J12" s="334">
        <f t="shared" ref="J12:K17" si="3">IF($H$1=$O$4,O12,IF($H$1=$Q$4,Q12,IF($H$1=$S$4,S12,U12)))</f>
        <v>0</v>
      </c>
      <c r="K12" s="334">
        <f t="shared" si="3"/>
        <v>0</v>
      </c>
      <c r="L12" s="12"/>
      <c r="M12" s="12"/>
      <c r="N12" s="12"/>
      <c r="O12" s="22"/>
      <c r="P12" s="22"/>
      <c r="Q12" s="22"/>
      <c r="R12" s="22"/>
      <c r="S12" s="22"/>
      <c r="T12" s="22"/>
      <c r="U12" s="22"/>
      <c r="V12" s="22"/>
      <c r="W12" s="12"/>
      <c r="X12" s="12"/>
      <c r="Y12" s="12"/>
      <c r="Z12" s="12"/>
    </row>
    <row r="13" spans="1:26" s="7" customFormat="1" ht="18.75">
      <c r="A13" s="53">
        <v>1</v>
      </c>
      <c r="B13" s="54" t="str">
        <f>PTTC!B14</f>
        <v>Hệ số nợ so với nguồn vốn chủ sở hữu - Ncsh</v>
      </c>
      <c r="C13" s="107" t="s">
        <v>3</v>
      </c>
      <c r="D13" s="41">
        <f>PTTC!D14</f>
        <v>154.9007584087513</v>
      </c>
      <c r="E13" s="41">
        <f>PTTC!E14</f>
        <v>154.9007584087513</v>
      </c>
      <c r="F13" s="41">
        <f>(D13+E13)/2</f>
        <v>154.9007584087513</v>
      </c>
      <c r="G13" s="41">
        <f>PTTC!F14</f>
        <v>97.165010382768486</v>
      </c>
      <c r="H13" s="41">
        <f>PTTC!G14</f>
        <v>97.165010382768486</v>
      </c>
      <c r="I13" s="41">
        <f>(G13+H13)/2</f>
        <v>97.165010382768486</v>
      </c>
      <c r="J13" s="331">
        <f t="shared" si="3"/>
        <v>42</v>
      </c>
      <c r="K13" s="331">
        <f t="shared" si="3"/>
        <v>233</v>
      </c>
      <c r="L13" s="13"/>
      <c r="M13" s="13"/>
      <c r="N13" s="13"/>
      <c r="O13" s="23">
        <v>42</v>
      </c>
      <c r="P13" s="23">
        <v>233</v>
      </c>
      <c r="Q13" s="23">
        <v>82</v>
      </c>
      <c r="R13" s="23">
        <v>233</v>
      </c>
      <c r="S13" s="23">
        <v>66</v>
      </c>
      <c r="T13" s="23">
        <v>233</v>
      </c>
      <c r="U13" s="23">
        <v>33</v>
      </c>
      <c r="V13" s="23">
        <v>185</v>
      </c>
      <c r="W13" s="13"/>
      <c r="X13" s="13"/>
      <c r="Y13" s="13"/>
      <c r="Z13" s="13"/>
    </row>
    <row r="14" spans="1:26" s="7" customFormat="1" ht="18.75">
      <c r="A14" s="53">
        <v>2</v>
      </c>
      <c r="B14" s="54" t="str">
        <f>PTTC!B15</f>
        <v>Hệ số nợ so với tài sản - Ntts</v>
      </c>
      <c r="C14" s="107" t="s">
        <v>3</v>
      </c>
      <c r="D14" s="41">
        <f>PTTC!D15</f>
        <v>60.769039492800445</v>
      </c>
      <c r="E14" s="41">
        <f>PTTC!E15</f>
        <v>60.769039492800445</v>
      </c>
      <c r="F14" s="41">
        <f t="shared" si="1"/>
        <v>60.769039492800445</v>
      </c>
      <c r="G14" s="41">
        <f>PTTC!F15</f>
        <v>49.281042933504111</v>
      </c>
      <c r="H14" s="41">
        <f>PTTC!G15</f>
        <v>49.281042933504111</v>
      </c>
      <c r="I14" s="41">
        <f t="shared" si="2"/>
        <v>49.281042933504111</v>
      </c>
      <c r="J14" s="331">
        <f t="shared" si="3"/>
        <v>0</v>
      </c>
      <c r="K14" s="331">
        <f t="shared" si="3"/>
        <v>3</v>
      </c>
      <c r="L14" s="13"/>
      <c r="M14" s="13"/>
      <c r="N14" s="13"/>
      <c r="O14" s="23">
        <v>0</v>
      </c>
      <c r="P14" s="23">
        <v>3</v>
      </c>
      <c r="Q14" s="23">
        <v>0</v>
      </c>
      <c r="R14" s="23">
        <v>3</v>
      </c>
      <c r="S14" s="23">
        <v>0</v>
      </c>
      <c r="T14" s="23">
        <v>3</v>
      </c>
      <c r="U14" s="23">
        <v>0</v>
      </c>
      <c r="V14" s="23">
        <v>3</v>
      </c>
      <c r="W14" s="13"/>
      <c r="X14" s="13"/>
      <c r="Y14" s="13"/>
      <c r="Z14" s="13"/>
    </row>
    <row r="15" spans="1:26" s="7" customFormat="1" ht="18.75">
      <c r="A15" s="53">
        <v>3</v>
      </c>
      <c r="B15" s="54" t="str">
        <f>PTTC!B16</f>
        <v>Tỷ lệ nợ quá hạn trong tổng dư nợ vay - Nqh</v>
      </c>
      <c r="C15" s="107" t="s">
        <v>3</v>
      </c>
      <c r="D15" s="41">
        <f>PTTC!D16</f>
        <v>0</v>
      </c>
      <c r="E15" s="41">
        <f>PTTC!E16</f>
        <v>0</v>
      </c>
      <c r="F15" s="41">
        <f t="shared" si="1"/>
        <v>0</v>
      </c>
      <c r="G15" s="41">
        <f>PTTC!F16</f>
        <v>0</v>
      </c>
      <c r="H15" s="41">
        <f>PTTC!G16</f>
        <v>0</v>
      </c>
      <c r="I15" s="41">
        <f t="shared" si="2"/>
        <v>0</v>
      </c>
      <c r="J15" s="331">
        <f t="shared" si="3"/>
        <v>0</v>
      </c>
      <c r="K15" s="331">
        <f t="shared" si="3"/>
        <v>0</v>
      </c>
      <c r="L15" s="13"/>
      <c r="M15" s="13"/>
      <c r="N15" s="13"/>
      <c r="O15" s="23"/>
      <c r="P15" s="23"/>
      <c r="Q15" s="23"/>
      <c r="R15" s="23"/>
      <c r="S15" s="23"/>
      <c r="T15" s="23"/>
      <c r="U15" s="23"/>
      <c r="V15" s="23"/>
      <c r="W15" s="13"/>
      <c r="X15" s="13"/>
      <c r="Y15" s="13"/>
      <c r="Z15" s="13"/>
    </row>
    <row r="16" spans="1:26" s="7" customFormat="1" ht="18.75">
      <c r="A16" s="53">
        <v>4</v>
      </c>
      <c r="B16" s="54" t="str">
        <f>PTTC!B17</f>
        <v>Hệ số thích ứng dài hạn của tài sản - Ktu</v>
      </c>
      <c r="C16" s="107" t="s">
        <v>94</v>
      </c>
      <c r="D16" s="41">
        <f>PTTC!D17</f>
        <v>0.8635034880224185</v>
      </c>
      <c r="E16" s="41">
        <f>PTTC!E17</f>
        <v>0.8635034880224185</v>
      </c>
      <c r="F16" s="41">
        <f t="shared" si="1"/>
        <v>0.8635034880224185</v>
      </c>
      <c r="G16" s="41">
        <f>PTTC!F17</f>
        <v>0.80403303650736868</v>
      </c>
      <c r="H16" s="41">
        <f>PTTC!G17</f>
        <v>0.80403303650736868</v>
      </c>
      <c r="I16" s="41">
        <f t="shared" si="2"/>
        <v>0.80403303650736868</v>
      </c>
      <c r="J16" s="331">
        <f t="shared" si="3"/>
        <v>0</v>
      </c>
      <c r="K16" s="331">
        <f t="shared" si="3"/>
        <v>0</v>
      </c>
      <c r="L16" s="13"/>
      <c r="M16" s="13"/>
      <c r="N16" s="13"/>
      <c r="O16" s="23"/>
      <c r="P16" s="23"/>
      <c r="Q16" s="23"/>
      <c r="R16" s="23"/>
      <c r="S16" s="23"/>
      <c r="T16" s="23"/>
      <c r="U16" s="23"/>
      <c r="V16" s="23"/>
      <c r="W16" s="13"/>
      <c r="X16" s="13"/>
      <c r="Y16" s="13"/>
      <c r="Z16" s="13"/>
    </row>
    <row r="17" spans="1:26" s="7" customFormat="1" ht="18.75">
      <c r="A17" s="80">
        <v>5</v>
      </c>
      <c r="B17" s="81" t="str">
        <f>PTTC!B18</f>
        <v>Hệ số tài sản dài hạn trên vốn chủ sở hữu - Kts</v>
      </c>
      <c r="C17" s="109" t="s">
        <v>94</v>
      </c>
      <c r="D17" s="82">
        <f>PTTC!D18</f>
        <v>1.0232025775246616</v>
      </c>
      <c r="E17" s="82">
        <f>PTTC!E18</f>
        <v>1.0232025775246616</v>
      </c>
      <c r="F17" s="82">
        <f t="shared" si="1"/>
        <v>1.0232025775246616</v>
      </c>
      <c r="G17" s="82">
        <f>PTTC!F18</f>
        <v>0.9397191839306499</v>
      </c>
      <c r="H17" s="82">
        <f>PTTC!G18</f>
        <v>0.9397191839306499</v>
      </c>
      <c r="I17" s="82">
        <f t="shared" si="2"/>
        <v>0.9397191839306499</v>
      </c>
      <c r="J17" s="332">
        <f t="shared" si="3"/>
        <v>0</v>
      </c>
      <c r="K17" s="332">
        <f t="shared" si="3"/>
        <v>0</v>
      </c>
      <c r="L17" s="13"/>
      <c r="M17" s="13"/>
      <c r="N17" s="13"/>
      <c r="O17" s="23"/>
      <c r="P17" s="23"/>
      <c r="Q17" s="23"/>
      <c r="R17" s="23"/>
      <c r="S17" s="23"/>
      <c r="T17" s="23"/>
      <c r="U17" s="23"/>
      <c r="V17" s="23"/>
      <c r="W17" s="13"/>
      <c r="X17" s="13"/>
      <c r="Y17" s="13"/>
      <c r="Z17" s="13"/>
    </row>
    <row r="18" spans="1:26" s="7" customFormat="1" ht="37.5">
      <c r="A18" s="104">
        <v>6</v>
      </c>
      <c r="B18" s="105" t="str">
        <f>PTTC!B19</f>
        <v>Hệ số nguồn vốn chủ sở hữu trên Tổng tài sản - Httt</v>
      </c>
      <c r="C18" s="110" t="s">
        <v>3</v>
      </c>
      <c r="D18" s="106">
        <f>PTTC!D19</f>
        <v>39.230950265875023</v>
      </c>
      <c r="E18" s="106">
        <f>PTTC!E19</f>
        <v>39.230950265875023</v>
      </c>
      <c r="F18" s="106">
        <f>(D18+E18)/2</f>
        <v>39.230950265875023</v>
      </c>
      <c r="G18" s="106">
        <f>PTTC!F19</f>
        <v>50.718919021742579</v>
      </c>
      <c r="H18" s="106">
        <f>PTTC!G19</f>
        <v>50.718919021742579</v>
      </c>
      <c r="I18" s="106">
        <f>(G18+H18)/2</f>
        <v>50.718919021742579</v>
      </c>
      <c r="J18" s="333"/>
      <c r="K18" s="333"/>
      <c r="L18" s="13"/>
      <c r="M18" s="13"/>
      <c r="N18" s="13"/>
      <c r="O18" s="23"/>
      <c r="P18" s="23"/>
      <c r="Q18" s="23"/>
      <c r="R18" s="23"/>
      <c r="S18" s="23"/>
      <c r="T18" s="23"/>
      <c r="U18" s="23"/>
      <c r="V18" s="23"/>
      <c r="W18" s="13"/>
      <c r="X18" s="13"/>
      <c r="Y18" s="13"/>
      <c r="Z18" s="13"/>
    </row>
    <row r="19" spans="1:26" s="8" customFormat="1" ht="18.75" customHeight="1">
      <c r="A19" s="209" t="s">
        <v>8</v>
      </c>
      <c r="B19" s="58" t="str">
        <f>PTTC!B20</f>
        <v>HIỆU QUẢ SỬ DỤNG VỐN VÀ SINH LỜI</v>
      </c>
      <c r="C19" s="108"/>
      <c r="D19" s="83">
        <f>PTTC!D20</f>
        <v>0</v>
      </c>
      <c r="E19" s="83">
        <f>PTTC!E20</f>
        <v>0</v>
      </c>
      <c r="F19" s="83">
        <f t="shared" si="1"/>
        <v>0</v>
      </c>
      <c r="G19" s="83">
        <f>PTTC!F20</f>
        <v>0</v>
      </c>
      <c r="H19" s="83">
        <f>PTTC!G20</f>
        <v>0</v>
      </c>
      <c r="I19" s="83">
        <f t="shared" si="2"/>
        <v>0</v>
      </c>
      <c r="J19" s="334">
        <f t="shared" ref="J19:K22" si="4">IF($H$1=$O$4,O19,IF($H$1=$Q$4,Q19,IF($H$1=$S$4,S19,U19)))</f>
        <v>0</v>
      </c>
      <c r="K19" s="334">
        <f t="shared" si="4"/>
        <v>0</v>
      </c>
      <c r="L19" s="12"/>
      <c r="M19" s="12"/>
      <c r="N19" s="12"/>
      <c r="O19" s="22"/>
      <c r="P19" s="22"/>
      <c r="Q19" s="22"/>
      <c r="R19" s="22"/>
      <c r="S19" s="22"/>
      <c r="T19" s="22"/>
      <c r="U19" s="22"/>
      <c r="V19" s="22"/>
      <c r="W19" s="12"/>
      <c r="X19" s="12"/>
      <c r="Y19" s="12"/>
      <c r="Z19" s="12"/>
    </row>
    <row r="20" spans="1:26" s="7" customFormat="1" ht="18.75">
      <c r="A20" s="53">
        <v>1</v>
      </c>
      <c r="B20" s="54" t="str">
        <f>PTTC!B21</f>
        <v>Hiệu quả sử dụng tài sản - L</v>
      </c>
      <c r="C20" s="107" t="s">
        <v>3</v>
      </c>
      <c r="D20" s="41">
        <f>PTTC!D21</f>
        <v>1.6543107475941592</v>
      </c>
      <c r="E20" s="41">
        <f>PTTC!E21</f>
        <v>1.6543107475941592</v>
      </c>
      <c r="F20" s="41">
        <f t="shared" si="1"/>
        <v>1.6543107475941592</v>
      </c>
      <c r="G20" s="41">
        <f>PTTC!F21</f>
        <v>1.2820670982632569</v>
      </c>
      <c r="H20" s="41">
        <f>PTTC!G21</f>
        <v>1.2820670982632569</v>
      </c>
      <c r="I20" s="41">
        <f t="shared" si="2"/>
        <v>1.2820670982632569</v>
      </c>
      <c r="J20" s="331">
        <f t="shared" si="4"/>
        <v>1.7</v>
      </c>
      <c r="K20" s="331">
        <f t="shared" si="4"/>
        <v>5.5</v>
      </c>
      <c r="L20" s="13"/>
      <c r="M20" s="13"/>
      <c r="N20" s="13"/>
      <c r="O20" s="23">
        <v>1.7</v>
      </c>
      <c r="P20" s="23">
        <v>5.5</v>
      </c>
      <c r="Q20" s="23">
        <v>1.7</v>
      </c>
      <c r="R20" s="23">
        <v>4.2</v>
      </c>
      <c r="S20" s="23">
        <v>1.7</v>
      </c>
      <c r="T20" s="23">
        <v>5</v>
      </c>
      <c r="U20" s="23">
        <v>1.5</v>
      </c>
      <c r="V20" s="23">
        <v>4</v>
      </c>
      <c r="W20" s="13"/>
      <c r="X20" s="13"/>
      <c r="Y20" s="13"/>
      <c r="Z20" s="13"/>
    </row>
    <row r="21" spans="1:26" s="7" customFormat="1" ht="18.75">
      <c r="A21" s="53">
        <v>2</v>
      </c>
      <c r="B21" s="54" t="str">
        <f>PTTC!B22</f>
        <v>Vòng quay hàng tồn kho - V</v>
      </c>
      <c r="C21" s="107" t="s">
        <v>95</v>
      </c>
      <c r="D21" s="41">
        <f>PTTC!D22</f>
        <v>5.8738050349090924</v>
      </c>
      <c r="E21" s="41">
        <f>PTTC!E22</f>
        <v>5.8738050349090924</v>
      </c>
      <c r="F21" s="41">
        <f t="shared" si="1"/>
        <v>5.8738050349090924</v>
      </c>
      <c r="G21" s="41">
        <f>PTTC!F22</f>
        <v>3.2061628081604701</v>
      </c>
      <c r="H21" s="41">
        <f>PTTC!G22</f>
        <v>3.2061628081604701</v>
      </c>
      <c r="I21" s="41">
        <f t="shared" si="2"/>
        <v>3.2061628081604701</v>
      </c>
      <c r="J21" s="331">
        <f t="shared" si="4"/>
        <v>2</v>
      </c>
      <c r="K21" s="331">
        <f t="shared" si="4"/>
        <v>4.5</v>
      </c>
      <c r="L21" s="13"/>
      <c r="M21" s="13"/>
      <c r="N21" s="13"/>
      <c r="O21" s="23">
        <v>2</v>
      </c>
      <c r="P21" s="23">
        <v>4.5</v>
      </c>
      <c r="Q21" s="23">
        <v>2.5</v>
      </c>
      <c r="R21" s="23">
        <v>6</v>
      </c>
      <c r="S21" s="23">
        <v>2</v>
      </c>
      <c r="T21" s="23">
        <v>4</v>
      </c>
      <c r="U21" s="23">
        <v>3.5</v>
      </c>
      <c r="V21" s="23">
        <v>7</v>
      </c>
      <c r="W21" s="13"/>
      <c r="X21" s="13"/>
      <c r="Y21" s="13"/>
      <c r="Z21" s="13"/>
    </row>
    <row r="22" spans="1:26" s="7" customFormat="1" ht="18.75">
      <c r="A22" s="53">
        <v>3</v>
      </c>
      <c r="B22" s="54" t="str">
        <f>PTTC!B23</f>
        <v>Kỳ thu tiền bình quân - Nth</v>
      </c>
      <c r="C22" s="107" t="s">
        <v>96</v>
      </c>
      <c r="D22" s="41">
        <f>PTTC!D23</f>
        <v>31.480615495704932</v>
      </c>
      <c r="E22" s="41">
        <f>PTTC!E23</f>
        <v>31.480615495704932</v>
      </c>
      <c r="F22" s="41">
        <f t="shared" si="1"/>
        <v>31.480615495704932</v>
      </c>
      <c r="G22" s="41">
        <f>PTTC!F23</f>
        <v>33.418079867247968</v>
      </c>
      <c r="H22" s="41">
        <f>PTTC!G23</f>
        <v>33.418079867247968</v>
      </c>
      <c r="I22" s="41">
        <f t="shared" si="2"/>
        <v>33.418079867247968</v>
      </c>
      <c r="J22" s="331">
        <f t="shared" si="4"/>
        <v>34</v>
      </c>
      <c r="K22" s="331">
        <f t="shared" si="4"/>
        <v>70</v>
      </c>
      <c r="L22" s="13"/>
      <c r="M22" s="13"/>
      <c r="N22" s="13"/>
      <c r="O22" s="23">
        <v>34</v>
      </c>
      <c r="P22" s="23">
        <v>70</v>
      </c>
      <c r="Q22" s="23">
        <v>30</v>
      </c>
      <c r="R22" s="23">
        <v>65</v>
      </c>
      <c r="S22" s="23">
        <v>40</v>
      </c>
      <c r="T22" s="23">
        <v>150</v>
      </c>
      <c r="U22" s="23">
        <v>32</v>
      </c>
      <c r="V22" s="23">
        <v>60</v>
      </c>
      <c r="W22" s="13"/>
      <c r="X22" s="13"/>
      <c r="Y22" s="13"/>
      <c r="Z22" s="13"/>
    </row>
    <row r="23" spans="1:26" s="7" customFormat="1" ht="18.75">
      <c r="A23" s="53">
        <v>4</v>
      </c>
      <c r="B23" s="54" t="str">
        <f>PTTC!B24</f>
        <v>Vòng quay tài sản ngắn hạn - Vvlđ</v>
      </c>
      <c r="C23" s="107" t="s">
        <v>95</v>
      </c>
      <c r="D23" s="41">
        <f>PTTC!D24</f>
        <v>2.6778906619851495</v>
      </c>
      <c r="E23" s="41">
        <f>PTTC!E24</f>
        <v>2.6778906619851495</v>
      </c>
      <c r="F23" s="41">
        <f>(D23+E23)/2</f>
        <v>2.6778906619851495</v>
      </c>
      <c r="G23" s="41">
        <f>PTTC!F24</f>
        <v>1.9958800443483884</v>
      </c>
      <c r="H23" s="41">
        <f>PTTC!G24</f>
        <v>1.9958800443483884</v>
      </c>
      <c r="I23" s="41">
        <f>(G23+H23)/2</f>
        <v>1.9958800443483884</v>
      </c>
      <c r="J23" s="331"/>
      <c r="K23" s="331"/>
      <c r="L23" s="13"/>
      <c r="M23" s="13"/>
      <c r="N23" s="13"/>
      <c r="O23" s="23"/>
      <c r="P23" s="23"/>
      <c r="Q23" s="23"/>
      <c r="R23" s="23"/>
      <c r="S23" s="23"/>
      <c r="T23" s="23"/>
      <c r="U23" s="23"/>
      <c r="V23" s="23"/>
      <c r="W23" s="13"/>
      <c r="X23" s="13"/>
      <c r="Y23" s="13"/>
      <c r="Z23" s="13"/>
    </row>
    <row r="24" spans="1:26" s="7" customFormat="1" ht="18.75">
      <c r="A24" s="53">
        <v>5</v>
      </c>
      <c r="B24" s="54" t="str">
        <f>PTTC!B25</f>
        <v>Vòng quay các khoản phải thu - Vkpt</v>
      </c>
      <c r="C24" s="107" t="s">
        <v>95</v>
      </c>
      <c r="D24" s="41">
        <f>PTTC!D25</f>
        <v>11.0805922368381</v>
      </c>
      <c r="E24" s="41">
        <f>PTTC!E25</f>
        <v>11.0805922368381</v>
      </c>
      <c r="F24" s="41">
        <f>(D24+E24)/2</f>
        <v>11.0805922368381</v>
      </c>
      <c r="G24" s="41">
        <f>PTTC!F25</f>
        <v>10.603967559653517</v>
      </c>
      <c r="H24" s="41">
        <f>PTTC!G25</f>
        <v>10.603967559653517</v>
      </c>
      <c r="I24" s="41">
        <f>(G24+H24)/2</f>
        <v>10.603967559653517</v>
      </c>
      <c r="J24" s="331"/>
      <c r="K24" s="331"/>
      <c r="L24" s="13"/>
      <c r="M24" s="13"/>
      <c r="N24" s="13"/>
      <c r="O24" s="23"/>
      <c r="P24" s="23"/>
      <c r="Q24" s="23"/>
      <c r="R24" s="23"/>
      <c r="S24" s="23"/>
      <c r="T24" s="23"/>
      <c r="U24" s="23"/>
      <c r="V24" s="23"/>
      <c r="W24" s="13"/>
      <c r="X24" s="13"/>
      <c r="Y24" s="13"/>
      <c r="Z24" s="13"/>
    </row>
    <row r="25" spans="1:26" s="7" customFormat="1" ht="18.75">
      <c r="A25" s="53">
        <v>6</v>
      </c>
      <c r="B25" s="54" t="str">
        <f>PTTC!B26</f>
        <v>Vòng quay khoản phải trả - Vkptr</v>
      </c>
      <c r="C25" s="107" t="s">
        <v>95</v>
      </c>
      <c r="D25" s="41">
        <f>PTTC!D26</f>
        <v>24.939601183093217</v>
      </c>
      <c r="E25" s="41">
        <f>PTTC!E26</f>
        <v>24.939601183093217</v>
      </c>
      <c r="F25" s="41">
        <f>(D25+E25)/2</f>
        <v>24.939601183093217</v>
      </c>
      <c r="G25" s="41">
        <f>PTTC!F26</f>
        <v>96.506429869562211</v>
      </c>
      <c r="H25" s="41">
        <f>PTTC!G26</f>
        <v>96.506429869562211</v>
      </c>
      <c r="I25" s="41">
        <f>(G25+H25)/2</f>
        <v>96.506429869562211</v>
      </c>
      <c r="J25" s="331"/>
      <c r="K25" s="331"/>
      <c r="L25" s="13"/>
      <c r="M25" s="13"/>
      <c r="N25" s="13"/>
      <c r="O25" s="23"/>
      <c r="P25" s="23"/>
      <c r="Q25" s="23"/>
      <c r="R25" s="23"/>
      <c r="S25" s="23"/>
      <c r="T25" s="23"/>
      <c r="U25" s="23"/>
      <c r="V25" s="23"/>
      <c r="W25" s="13"/>
      <c r="X25" s="13"/>
      <c r="Y25" s="13"/>
      <c r="Z25" s="13"/>
    </row>
    <row r="26" spans="1:26" s="7" customFormat="1" ht="18.75">
      <c r="A26" s="53">
        <v>7</v>
      </c>
      <c r="B26" s="54" t="str">
        <f>PTTC!B27</f>
        <v>Số ngày phải hoàn trả nợ - Ntr</v>
      </c>
      <c r="C26" s="107" t="s">
        <v>96</v>
      </c>
      <c r="D26" s="41">
        <f>PTTC!D27</f>
        <v>0.4811624657468424</v>
      </c>
      <c r="E26" s="41">
        <f>PTTC!E27</f>
        <v>0.4811624657468424</v>
      </c>
      <c r="F26" s="41">
        <f>(D26+E26)/2</f>
        <v>0.4811624657468424</v>
      </c>
      <c r="G26" s="41">
        <f>PTTC!G27</f>
        <v>0.12434404646632521</v>
      </c>
      <c r="H26" s="41">
        <f>PTTC!G27</f>
        <v>0.12434404646632521</v>
      </c>
      <c r="I26" s="41">
        <f>(G26+H26)/2</f>
        <v>0.12434404646632521</v>
      </c>
      <c r="J26" s="331"/>
      <c r="K26" s="331"/>
      <c r="L26" s="13"/>
      <c r="M26" s="13"/>
      <c r="N26" s="13"/>
      <c r="O26" s="23"/>
      <c r="P26" s="23"/>
      <c r="Q26" s="23"/>
      <c r="R26" s="23"/>
      <c r="S26" s="23"/>
      <c r="T26" s="23"/>
      <c r="U26" s="23"/>
      <c r="V26" s="23"/>
      <c r="W26" s="13"/>
      <c r="X26" s="13"/>
      <c r="Y26" s="13"/>
      <c r="Z26" s="13"/>
    </row>
    <row r="27" spans="1:26" s="7" customFormat="1" ht="37.5">
      <c r="A27" s="53">
        <v>8</v>
      </c>
      <c r="B27" s="54" t="str">
        <f>PTTC!B28</f>
        <v>Tỷ suất lợi nhuận trước thuế trên doanh thu - LNdt</v>
      </c>
      <c r="C27" s="107" t="s">
        <v>3</v>
      </c>
      <c r="D27" s="41">
        <f>PTTC!D28</f>
        <v>0.96448469410780679</v>
      </c>
      <c r="E27" s="41">
        <f>PTTC!E28</f>
        <v>0.96448469410780679</v>
      </c>
      <c r="F27" s="41">
        <f t="shared" si="1"/>
        <v>0.96448469410780679</v>
      </c>
      <c r="G27" s="41">
        <f>PTTC!F28</f>
        <v>1.59628261083738</v>
      </c>
      <c r="H27" s="41">
        <f>PTTC!G28</f>
        <v>1.59628261083738</v>
      </c>
      <c r="I27" s="41">
        <f t="shared" si="2"/>
        <v>1.59628261083738</v>
      </c>
      <c r="J27" s="331">
        <f>IF($H$1=$O$4,O27,IF($H$1=$Q$4,Q27,IF($H$1=$S$4,S27,U27)))</f>
        <v>1.5</v>
      </c>
      <c r="K27" s="331">
        <f>IF($H$1=$O$4,P27,IF($H$1=$Q$4,R27,IF($H$1=$S$4,T27,V27)))</f>
        <v>5</v>
      </c>
      <c r="L27" s="13"/>
      <c r="M27" s="13"/>
      <c r="N27" s="13"/>
      <c r="O27" s="23">
        <v>1.5</v>
      </c>
      <c r="P27" s="23">
        <v>5</v>
      </c>
      <c r="Q27" s="23">
        <v>3</v>
      </c>
      <c r="R27" s="23">
        <v>6.5</v>
      </c>
      <c r="S27" s="23">
        <v>5</v>
      </c>
      <c r="T27" s="23">
        <v>10</v>
      </c>
      <c r="U27" s="23">
        <v>5.5</v>
      </c>
      <c r="V27" s="23">
        <v>8</v>
      </c>
      <c r="W27" s="13"/>
      <c r="X27" s="13"/>
      <c r="Y27" s="13"/>
      <c r="Z27" s="13"/>
    </row>
    <row r="28" spans="1:26" s="7" customFormat="1" ht="37.5">
      <c r="A28" s="53">
        <v>9</v>
      </c>
      <c r="B28" s="54" t="str">
        <f>PTTC!B29</f>
        <v>Tỷ suất lợi nhuận trước thuế trên vốn chủ sở hữu - LNvsh</v>
      </c>
      <c r="C28" s="107" t="s">
        <v>3</v>
      </c>
      <c r="D28" s="41">
        <f>PTTC!D29</f>
        <v>4.0670883181244344</v>
      </c>
      <c r="E28" s="41">
        <f>PTTC!E29</f>
        <v>4.0670883181244344</v>
      </c>
      <c r="F28" s="41">
        <f t="shared" si="1"/>
        <v>4.0670883181244344</v>
      </c>
      <c r="G28" s="41">
        <f>PTTC!F29</f>
        <v>4.0350651282750105</v>
      </c>
      <c r="H28" s="41">
        <f>PTTC!G29</f>
        <v>4.0350651282750105</v>
      </c>
      <c r="I28" s="41">
        <f t="shared" si="2"/>
        <v>4.0350651282750105</v>
      </c>
      <c r="J28" s="331">
        <f>IF($H$1=$O$4,O28,IF($H$1=$Q$4,Q28,IF($H$1=$S$4,S28,U28)))</f>
        <v>7</v>
      </c>
      <c r="K28" s="331">
        <f>IF($H$1=$O$4,P28,IF($H$1=$Q$4,R28,IF($H$1=$S$4,T28,V28)))</f>
        <v>10</v>
      </c>
      <c r="L28" s="13"/>
      <c r="M28" s="13"/>
      <c r="N28" s="13"/>
      <c r="O28" s="23">
        <v>7</v>
      </c>
      <c r="P28" s="23">
        <v>10</v>
      </c>
      <c r="Q28" s="23">
        <v>12.2</v>
      </c>
      <c r="R28" s="23">
        <v>14.2</v>
      </c>
      <c r="S28" s="23">
        <v>8.3000000000000007</v>
      </c>
      <c r="T28" s="23">
        <v>11.5</v>
      </c>
      <c r="U28" s="23">
        <v>9.6</v>
      </c>
      <c r="V28" s="23">
        <v>14.2</v>
      </c>
      <c r="W28" s="13"/>
      <c r="X28" s="13"/>
      <c r="Y28" s="13"/>
      <c r="Z28" s="13"/>
    </row>
    <row r="29" spans="1:26" s="7" customFormat="1" ht="37.5">
      <c r="A29" s="53">
        <v>10</v>
      </c>
      <c r="B29" s="81" t="str">
        <f>PTTC!B30</f>
        <v>Tỷ suất lợi nhuận sau thuế trên vốn chủ sở hữu (ROE) - LNvsh</v>
      </c>
      <c r="C29" s="109" t="s">
        <v>3</v>
      </c>
      <c r="D29" s="82">
        <f>PTTC!D30</f>
        <v>3.5511448181667244</v>
      </c>
      <c r="E29" s="82">
        <f>PTTC!E30</f>
        <v>3.5511448181667244</v>
      </c>
      <c r="F29" s="82">
        <f>(D29+E29)/2</f>
        <v>3.5511448181667244</v>
      </c>
      <c r="G29" s="82">
        <f>PTTC!F30</f>
        <v>3.9136473709279982</v>
      </c>
      <c r="H29" s="82">
        <f>PTTC!G30</f>
        <v>3.9136473709279982</v>
      </c>
      <c r="I29" s="82">
        <f>(G29+H29)/2</f>
        <v>3.9136473709279982</v>
      </c>
      <c r="J29" s="332"/>
      <c r="K29" s="332"/>
      <c r="L29" s="13"/>
      <c r="M29" s="13"/>
      <c r="N29" s="13"/>
      <c r="O29" s="111"/>
      <c r="P29" s="111"/>
      <c r="Q29" s="111"/>
      <c r="R29" s="111"/>
      <c r="S29" s="111"/>
      <c r="T29" s="111"/>
      <c r="U29" s="111"/>
      <c r="V29" s="111"/>
      <c r="W29" s="13"/>
      <c r="X29" s="13"/>
      <c r="Y29" s="13"/>
      <c r="Z29" s="13"/>
    </row>
    <row r="30" spans="1:26" s="7" customFormat="1" ht="37.5">
      <c r="A30" s="53">
        <v>11</v>
      </c>
      <c r="B30" s="81" t="str">
        <f>PTTC!B31</f>
        <v>Tỷ suất lợi nhuận sau thuế trên tổng Tài sản (ROA) - LNnv</v>
      </c>
      <c r="C30" s="109" t="s">
        <v>3</v>
      </c>
      <c r="D30" s="82">
        <f>PTTC!D31</f>
        <v>1.3931480001609935</v>
      </c>
      <c r="E30" s="82">
        <f>PTTC!E31</f>
        <v>1.3931480001609935</v>
      </c>
      <c r="F30" s="82">
        <f t="shared" si="1"/>
        <v>1.3931480001609935</v>
      </c>
      <c r="G30" s="82">
        <f>PTTC!F31</f>
        <v>1.9849603960308146</v>
      </c>
      <c r="H30" s="82">
        <f>PTTC!G31</f>
        <v>1.9849603960308146</v>
      </c>
      <c r="I30" s="82">
        <f t="shared" si="2"/>
        <v>1.9849603960308146</v>
      </c>
      <c r="J30" s="332">
        <f>IF($H$1=$O$4,O30,IF($H$1=$Q$4,Q30,IF($H$1=$S$4,S30,U30)))</f>
        <v>3</v>
      </c>
      <c r="K30" s="332">
        <f>IF($H$1=$O$4,P30,IF($H$1=$Q$4,R30,IF($H$1=$S$4,T30,V30)))</f>
        <v>6</v>
      </c>
      <c r="L30" s="13"/>
      <c r="M30" s="13"/>
      <c r="N30" s="13"/>
      <c r="O30" s="24">
        <v>3</v>
      </c>
      <c r="P30" s="24">
        <v>6</v>
      </c>
      <c r="Q30" s="24">
        <v>4</v>
      </c>
      <c r="R30" s="24">
        <v>7</v>
      </c>
      <c r="S30" s="24">
        <v>2.5</v>
      </c>
      <c r="T30" s="24">
        <v>7.5</v>
      </c>
      <c r="U30" s="24">
        <v>5</v>
      </c>
      <c r="V30" s="24">
        <v>7.5</v>
      </c>
      <c r="W30" s="13"/>
      <c r="X30" s="13"/>
      <c r="Y30" s="13"/>
      <c r="Z30" s="13"/>
    </row>
    <row r="31" spans="1:26" s="7" customFormat="1" ht="18.75">
      <c r="A31" s="53">
        <v>12</v>
      </c>
      <c r="B31" s="105" t="str">
        <f>PTTC!B32</f>
        <v>Tỷ suất sinh lời của tiền vay - Tlntv</v>
      </c>
      <c r="C31" s="110" t="s">
        <v>3</v>
      </c>
      <c r="D31" s="106">
        <f>PTTC!D32</f>
        <v>8.112604576981207</v>
      </c>
      <c r="E31" s="106">
        <f>PTTC!E32</f>
        <v>8.112604576981207</v>
      </c>
      <c r="F31" s="106">
        <f>(D31+E31)/2</f>
        <v>8.112604576981207</v>
      </c>
      <c r="G31" s="106">
        <f>PTTC!F32</f>
        <v>10.026222570126079</v>
      </c>
      <c r="H31" s="106">
        <f>PTTC!G32</f>
        <v>10.026222570126079</v>
      </c>
      <c r="I31" s="106">
        <f>(G31+H31)/2</f>
        <v>10.026222570126079</v>
      </c>
      <c r="J31" s="333"/>
      <c r="K31" s="333"/>
      <c r="L31" s="13"/>
      <c r="M31" s="13"/>
      <c r="N31" s="13"/>
      <c r="O31" s="15"/>
      <c r="P31" s="15"/>
      <c r="Q31" s="15"/>
      <c r="R31" s="15"/>
      <c r="S31" s="15"/>
      <c r="T31" s="15"/>
      <c r="U31" s="15"/>
      <c r="V31" s="15"/>
      <c r="W31" s="13"/>
      <c r="X31" s="13"/>
      <c r="Y31" s="13"/>
      <c r="Z31" s="13"/>
    </row>
    <row r="32" spans="1:26" s="8" customFormat="1" ht="18.75">
      <c r="A32" s="209" t="s">
        <v>9</v>
      </c>
      <c r="B32" s="58" t="str">
        <f>PTTC!B33</f>
        <v>SỨC TĂNG TRƯỞNG</v>
      </c>
      <c r="C32" s="38"/>
      <c r="D32" s="83">
        <f>PTTC!D33</f>
        <v>0</v>
      </c>
      <c r="E32" s="83">
        <f>PTTC!E33</f>
        <v>0</v>
      </c>
      <c r="F32" s="83">
        <f t="shared" si="1"/>
        <v>0</v>
      </c>
      <c r="G32" s="83">
        <f>PTTC!F33</f>
        <v>0</v>
      </c>
      <c r="H32" s="83">
        <f>PTTC!G33</f>
        <v>0</v>
      </c>
      <c r="I32" s="83">
        <f t="shared" si="2"/>
        <v>0</v>
      </c>
      <c r="J32" s="334">
        <f t="shared" ref="J32:K36" si="5">IF($H$1=$O$4,O32,IF($H$1=$Q$4,Q32,IF($H$1=$S$4,S32,U32)))</f>
        <v>0</v>
      </c>
      <c r="K32" s="334">
        <f t="shared" si="5"/>
        <v>0</v>
      </c>
      <c r="L32" s="14"/>
      <c r="M32" s="14"/>
      <c r="N32" s="14"/>
      <c r="O32" s="14"/>
      <c r="P32" s="12"/>
      <c r="Q32" s="12"/>
      <c r="R32" s="12"/>
      <c r="S32" s="12"/>
      <c r="T32" s="12"/>
      <c r="U32" s="12"/>
      <c r="V32" s="12"/>
      <c r="W32" s="12"/>
      <c r="X32" s="12"/>
      <c r="Y32" s="12"/>
      <c r="Z32" s="12"/>
    </row>
    <row r="33" spans="1:26" s="7" customFormat="1" ht="19.149999999999999" customHeight="1">
      <c r="A33" s="53">
        <v>1</v>
      </c>
      <c r="B33" s="54" t="str">
        <f>PTTC!B34</f>
        <v>Sức tăng trưởng doanh thu - TTdt</v>
      </c>
      <c r="C33" s="40"/>
      <c r="D33" s="41">
        <f>PTTC!D34</f>
        <v>0</v>
      </c>
      <c r="E33" s="41">
        <f>PTTC!E34</f>
        <v>1</v>
      </c>
      <c r="F33" s="41">
        <f t="shared" si="1"/>
        <v>0.5</v>
      </c>
      <c r="G33" s="41">
        <f>PTTC!F34</f>
        <v>0</v>
      </c>
      <c r="H33" s="41">
        <f>PTTC!G34</f>
        <v>1</v>
      </c>
      <c r="I33" s="41">
        <f t="shared" si="2"/>
        <v>0.5</v>
      </c>
      <c r="J33" s="331">
        <f t="shared" si="5"/>
        <v>0</v>
      </c>
      <c r="K33" s="331">
        <f t="shared" si="5"/>
        <v>0</v>
      </c>
      <c r="L33" s="15"/>
      <c r="M33" s="15"/>
      <c r="N33" s="15"/>
      <c r="O33" s="15"/>
      <c r="P33" s="13"/>
      <c r="Q33" s="13"/>
      <c r="R33" s="13"/>
      <c r="S33" s="13"/>
      <c r="T33" s="13"/>
      <c r="U33" s="13"/>
      <c r="V33" s="13"/>
      <c r="W33" s="13"/>
      <c r="X33" s="13"/>
      <c r="Y33" s="13"/>
      <c r="Z33" s="13"/>
    </row>
    <row r="34" spans="1:26" s="7" customFormat="1" ht="19.149999999999999" customHeight="1">
      <c r="A34" s="53">
        <v>2</v>
      </c>
      <c r="B34" s="54" t="str">
        <f>PTTC!B35</f>
        <v>Tỷ lệ tăng trưởng doanh thu từ HĐKD chính - TTdtc</v>
      </c>
      <c r="C34" s="40"/>
      <c r="D34" s="41">
        <f>PTTC!D35</f>
        <v>0</v>
      </c>
      <c r="E34" s="41">
        <f>PTTC!E35</f>
        <v>1</v>
      </c>
      <c r="F34" s="41">
        <f t="shared" si="1"/>
        <v>0.5</v>
      </c>
      <c r="G34" s="41">
        <f>PTTC!F35</f>
        <v>0</v>
      </c>
      <c r="H34" s="41">
        <f>PTTC!G35</f>
        <v>1</v>
      </c>
      <c r="I34" s="41">
        <f t="shared" si="2"/>
        <v>0.5</v>
      </c>
      <c r="J34" s="331">
        <f t="shared" si="5"/>
        <v>0</v>
      </c>
      <c r="K34" s="331">
        <f t="shared" si="5"/>
        <v>0</v>
      </c>
      <c r="L34" s="16"/>
      <c r="M34" s="16"/>
      <c r="N34" s="16"/>
      <c r="O34" s="16"/>
      <c r="P34" s="13"/>
      <c r="Q34" s="13"/>
      <c r="R34" s="13"/>
      <c r="S34" s="13"/>
      <c r="T34" s="13"/>
      <c r="U34" s="13"/>
      <c r="V34" s="13"/>
      <c r="W34" s="13"/>
      <c r="X34" s="13"/>
      <c r="Y34" s="13"/>
      <c r="Z34" s="13"/>
    </row>
    <row r="35" spans="1:26" s="7" customFormat="1" ht="19.149999999999999" customHeight="1">
      <c r="A35" s="53">
        <v>3</v>
      </c>
      <c r="B35" s="54" t="str">
        <f>PTTC!B36</f>
        <v>Tỷ lệ tăng trưởng lợi nhuận - TTln</v>
      </c>
      <c r="C35" s="40"/>
      <c r="D35" s="41">
        <f>PTTC!D36</f>
        <v>0</v>
      </c>
      <c r="E35" s="41">
        <f>PTTC!E36</f>
        <v>1</v>
      </c>
      <c r="F35" s="41">
        <f t="shared" si="1"/>
        <v>0.5</v>
      </c>
      <c r="G35" s="41">
        <f>PTTC!F36</f>
        <v>0</v>
      </c>
      <c r="H35" s="41">
        <f>PTTC!G36</f>
        <v>1</v>
      </c>
      <c r="I35" s="41">
        <f t="shared" si="2"/>
        <v>0.5</v>
      </c>
      <c r="J35" s="331">
        <f t="shared" si="5"/>
        <v>0</v>
      </c>
      <c r="K35" s="331">
        <f t="shared" si="5"/>
        <v>0</v>
      </c>
      <c r="L35" s="15"/>
      <c r="M35" s="15"/>
      <c r="N35" s="17"/>
      <c r="O35" s="18"/>
      <c r="P35" s="13"/>
      <c r="Q35" s="13"/>
      <c r="R35" s="13"/>
      <c r="S35" s="13"/>
      <c r="T35" s="13"/>
      <c r="U35" s="13"/>
      <c r="V35" s="13"/>
      <c r="W35" s="13"/>
      <c r="X35" s="13"/>
      <c r="Y35" s="13"/>
      <c r="Z35" s="13"/>
    </row>
    <row r="36" spans="1:26" s="7" customFormat="1" ht="37.15" customHeight="1">
      <c r="A36" s="55">
        <v>4</v>
      </c>
      <c r="B36" s="78" t="str">
        <f>PTTC!B37</f>
        <v>Tỷ lệ tăng trưởng lợi nhuận từ hoạt động kinh doanh chính -TTln</v>
      </c>
      <c r="C36" s="56"/>
      <c r="D36" s="79">
        <f>PTTC!D37</f>
        <v>0</v>
      </c>
      <c r="E36" s="79">
        <f>PTTC!E37</f>
        <v>1</v>
      </c>
      <c r="F36" s="79">
        <f t="shared" si="1"/>
        <v>0.5</v>
      </c>
      <c r="G36" s="79">
        <f>PTTC!F37</f>
        <v>0</v>
      </c>
      <c r="H36" s="79">
        <f>PTTC!G37</f>
        <v>1</v>
      </c>
      <c r="I36" s="79">
        <f t="shared" si="2"/>
        <v>0.5</v>
      </c>
      <c r="J36" s="335">
        <f t="shared" si="5"/>
        <v>0</v>
      </c>
      <c r="K36" s="335">
        <f t="shared" si="5"/>
        <v>0</v>
      </c>
      <c r="L36" s="15"/>
      <c r="M36" s="15"/>
      <c r="N36" s="17"/>
      <c r="O36" s="18"/>
      <c r="P36" s="13"/>
      <c r="Q36" s="13"/>
      <c r="R36" s="13"/>
      <c r="S36" s="13"/>
      <c r="T36" s="13"/>
      <c r="U36" s="13"/>
      <c r="V36" s="13"/>
      <c r="W36" s="13"/>
      <c r="X36" s="13"/>
      <c r="Y36" s="13"/>
      <c r="Z36" s="13"/>
    </row>
    <row r="37" spans="1:26">
      <c r="B37" s="3"/>
      <c r="G37" s="6"/>
      <c r="I37" s="5"/>
      <c r="J37" s="19"/>
      <c r="K37" s="19"/>
      <c r="L37" s="19"/>
      <c r="M37" s="19"/>
      <c r="N37" s="20"/>
      <c r="O37" s="21"/>
    </row>
    <row r="38" spans="1:26">
      <c r="B38" s="3"/>
      <c r="G38" s="6"/>
      <c r="I38" s="5"/>
      <c r="J38" s="19"/>
      <c r="K38" s="19"/>
      <c r="L38" s="19"/>
      <c r="M38" s="19"/>
      <c r="N38" s="20"/>
      <c r="O38" s="21"/>
    </row>
    <row r="39" spans="1:26">
      <c r="B39" s="3"/>
      <c r="G39" s="6"/>
      <c r="I39" s="5"/>
      <c r="J39" s="19"/>
      <c r="K39" s="19"/>
      <c r="L39" s="19"/>
      <c r="M39" s="19"/>
      <c r="N39" s="19"/>
      <c r="O39" s="19"/>
    </row>
    <row r="40" spans="1:26">
      <c r="G40" s="6"/>
      <c r="I40" s="5"/>
      <c r="J40" s="19"/>
      <c r="K40" s="19"/>
      <c r="L40" s="19"/>
      <c r="M40" s="19"/>
      <c r="N40" s="19"/>
      <c r="O40" s="19"/>
    </row>
    <row r="41" spans="1:26">
      <c r="G41" s="6"/>
      <c r="I41" s="5"/>
      <c r="J41" s="19"/>
      <c r="K41" s="19"/>
      <c r="L41" s="19"/>
      <c r="M41" s="19"/>
      <c r="N41" s="19"/>
      <c r="O41" s="19"/>
    </row>
    <row r="42" spans="1:26">
      <c r="G42" s="6"/>
    </row>
    <row r="43" spans="1:26">
      <c r="G43" s="6"/>
    </row>
    <row r="44" spans="1:26">
      <c r="G44" s="6"/>
    </row>
    <row r="45" spans="1:26">
      <c r="G45" s="6"/>
    </row>
    <row r="46" spans="1:26">
      <c r="G46" s="6"/>
    </row>
    <row r="47" spans="1:26">
      <c r="G47" s="6"/>
    </row>
    <row r="48" spans="1:26">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sheetData>
  <dataConsolidate/>
  <mergeCells count="12">
    <mergeCell ref="A1:B1"/>
    <mergeCell ref="Q4:R4"/>
    <mergeCell ref="S4:T4"/>
    <mergeCell ref="U4:V4"/>
    <mergeCell ref="J3:K3"/>
    <mergeCell ref="O4:P4"/>
    <mergeCell ref="A3:A4"/>
    <mergeCell ref="C3:C4"/>
    <mergeCell ref="D3:F3"/>
    <mergeCell ref="G3:I3"/>
    <mergeCell ref="B3:B4"/>
    <mergeCell ref="H1:K1"/>
  </mergeCells>
  <phoneticPr fontId="0" type="noConversion"/>
  <dataValidations count="26">
    <dataValidation type="list" allowBlank="1" showInputMessage="1" showErrorMessage="1" sqref="H1">
      <formula1>$O$4:$V$4</formula1>
    </dataValidation>
    <dataValidation allowBlank="1" showInputMessage="1" showErrorMessage="1" promptTitle="Cách tính" prompt="Ktq = Tổng tài sản/nợ tài sản (Nợ phải trả)" sqref="B6"/>
    <dataValidation allowBlank="1" showInputMessage="1" showErrorMessage="1" promptTitle="Cách tính" prompt="Kng=Tài sản ngắn hạn (Tổng tài sản lưu động và ngắn hạn)/nợ ngắn hạn" sqref="B7"/>
    <dataValidation allowBlank="1" showInputMessage="1" showErrorMessage="1" promptTitle="Cách tính" prompt="Knh = Vốn bằng tiền và các khoản đầu tư tài chính ngắn hạn có thể bán ngay trên thị trường/Nợ ngắn hạn" sqref="B8"/>
    <dataValidation allowBlank="1" showInputMessage="1" showErrorMessage="1" promptTitle="Cách tính" prompt="Kdh = Tài sản cố định và đầu tư dài hạn/nợ dài hạn" sqref="B9"/>
    <dataValidation allowBlank="1" showInputMessage="1" showErrorMessage="1" promptTitle="Cách tính" prompt="Ncsh = (Nợ phải trả/Nguồn vốn chủ sở hữu)*100%" sqref="B13"/>
    <dataValidation allowBlank="1" showInputMessage="1" showErrorMessage="1" promptTitle="Cách tính" prompt="Ntts =  (Nợ phải trả/Tổng tài sản)*100%" sqref="B14"/>
    <dataValidation allowBlank="1" showInputMessage="1" showErrorMessage="1" promptTitle="Cách tính" prompt="Nqh = (Nợ quá hạn)/Tổng dư nợ vay)*100%" sqref="B15"/>
    <dataValidation allowBlank="1" showInputMessage="1" showErrorMessage="1" promptTitle="Cách tính" prompt="Ktu = Tài sản dài hạn/(Vốn chủ sở hữu + Nợ dài hạn)" sqref="B16"/>
    <dataValidation allowBlank="1" showInputMessage="1" showErrorMessage="1" promptTitle="Cách tính" prompt="Kts = Tài sản dài hạn / Vốn chủ sở hứu" sqref="B17:B18"/>
    <dataValidation allowBlank="1" showInputMessage="1" showErrorMessage="1" promptTitle="Cách tính" prompt="L = Doanh thu/Tổng tài sản" sqref="B20"/>
    <dataValidation allowBlank="1" showInputMessage="1" showErrorMessage="1" promptTitle="Cách tính" prompt="V = Giá vốn hàng bán /Hàng tồn kho bình quân" sqref="B21"/>
    <dataValidation allowBlank="1" showInputMessage="1" showErrorMessage="1" promptTitle="Cách tính" prompt="N = (Các khoản phải thu bình quân/Doanh thu) *360 ngày" sqref="B22"/>
    <dataValidation allowBlank="1" showInputMessage="1" showErrorMessage="1" promptTitle="Cách tính" prompt="LNdt = (Lợi nhuận trước thuế/Doanh thu)*100%" sqref="B27"/>
    <dataValidation allowBlank="1" showInputMessage="1" showErrorMessage="1" promptTitle="Cách tính" prompt="LNvsh = (Lợi nhuận trước thuế/Tổng nguồn vốn)*100%" sqref="B28:B29"/>
    <dataValidation allowBlank="1" showInputMessage="1" showErrorMessage="1" promptTitle="Cách tính" prompt="LNvn = (Lợi nhuận trước thuế/Tổng Tài sản)*100%" sqref="B30"/>
    <dataValidation allowBlank="1" showInputMessage="1" showErrorMessage="1" promptTitle="Cách tính" prompt="TTdt = (Doanh thu năm sau/Doanh thu năm trước)-1" sqref="B33"/>
    <dataValidation allowBlank="1" showInputMessage="1" showErrorMessage="1" promptTitle="Cách tính" prompt="TTdtc = (Doanh thu từ HĐKD chính năm sau/Doanh thu HĐKD năm trước)-1" sqref="B34"/>
    <dataValidation allowBlank="1" showInputMessage="1" showErrorMessage="1" promptTitle="Cách tính" prompt="TTln = (Tổng lợi nhuận năm sau/Tổng lợi nhuận năm trước)-1" sqref="B35"/>
    <dataValidation allowBlank="1" showInputMessage="1" showErrorMessage="1" promptTitle="Cách tính" prompt="TTlnt = (Tổng lợi nhuận thuần năm sau/Tổng lợi nhuận thuần năm trước)-1" sqref="B36"/>
    <dataValidation allowBlank="1" showInputMessage="1" showErrorMessage="1" promptTitle="Cách tính" prompt="Vvlđ = Doanh thu thuần / Tài sản ngắn hạn bình quân" sqref="B23"/>
    <dataValidation allowBlank="1" showInputMessage="1" showErrorMessage="1" promptTitle="Cách tính" prompt="Vkpt = Doanh thu thuần / Các khoản phải thu bình quân" sqref="B24"/>
    <dataValidation allowBlank="1" showInputMessage="1" showErrorMessage="1" promptTitle="Cách tính" prompt="LNvn = (Lợi nhuận sau thuế+lãi vay) / (Nợ vay TCTD ngắn hạn + Nợ vay TCTD dài hạn) *100" sqref="B31"/>
    <dataValidation allowBlank="1" showInputMessage="1" showErrorMessage="1" promptTitle="Cách tính" prompt="Kdh = Tài sản cố định và đầu tư dài hạn/nợ dài hạn đến hạn" sqref="B10:B11"/>
    <dataValidation allowBlank="1" showInputMessage="1" showErrorMessage="1" promptTitle="Cách tính" prompt="Ntr = 12 tháng / Vòng quay khoản phải trả" sqref="B26"/>
    <dataValidation allowBlank="1" showInputMessage="1" showErrorMessage="1" promptTitle="Cách tính" prompt="Vkptr = Giá vốn / Khoản phải trả bình quân" sqref="B25"/>
  </dataValidations>
  <pageMargins left="0.25" right="0.25" top="0.5" bottom="0.5" header="0.25" footer="0.25"/>
  <pageSetup paperSize="9" scale="82" orientation="portrait" r:id="rId1"/>
  <headerFooter alignWithMargins="0"/>
  <drawing r:id="rId2"/>
</worksheet>
</file>

<file path=xl/worksheets/sheet9.xml><?xml version="1.0" encoding="utf-8"?>
<worksheet xmlns="http://schemas.openxmlformats.org/spreadsheetml/2006/main" xmlns:r="http://schemas.openxmlformats.org/officeDocument/2006/relationships">
  <sheetPr>
    <tabColor rgb="FF00B050"/>
  </sheetPr>
  <dimension ref="A1:AB57"/>
  <sheetViews>
    <sheetView showZeros="0" zoomScaleNormal="100" workbookViewId="0">
      <selection sqref="A1:B1"/>
    </sheetView>
  </sheetViews>
  <sheetFormatPr defaultColWidth="9.140625" defaultRowHeight="15.75"/>
  <cols>
    <col min="1" max="1" width="6.42578125" style="259" customWidth="1"/>
    <col min="2" max="2" width="45.42578125" style="227" customWidth="1"/>
    <col min="3" max="3" width="8.28515625" style="227" customWidth="1"/>
    <col min="4" max="4" width="12.85546875" style="261" hidden="1" customWidth="1"/>
    <col min="5" max="5" width="12" style="261" hidden="1" customWidth="1"/>
    <col min="6" max="6" width="7.85546875" style="261" customWidth="1"/>
    <col min="7" max="7" width="12.42578125" style="261" hidden="1" customWidth="1"/>
    <col min="8" max="8" width="12.140625" style="261" hidden="1" customWidth="1"/>
    <col min="9" max="9" width="8.42578125" style="227" customWidth="1"/>
    <col min="10" max="10" width="8.85546875" style="227" customWidth="1"/>
    <col min="11" max="11" width="12.28515625" style="226" hidden="1" customWidth="1"/>
    <col min="12" max="13" width="3.28515625" style="226" hidden="1" customWidth="1"/>
    <col min="14" max="15" width="18.5703125" style="226" customWidth="1"/>
    <col min="16" max="16" width="16.85546875" style="226" customWidth="1"/>
    <col min="17" max="17" width="7.28515625" style="226" hidden="1" customWidth="1"/>
    <col min="18" max="24" width="0" style="226" hidden="1" customWidth="1"/>
    <col min="25" max="28" width="9.140625" style="226"/>
    <col min="29" max="16384" width="9.140625" style="227"/>
  </cols>
  <sheetData>
    <row r="1" spans="1:28" ht="20.45" customHeight="1">
      <c r="A1" s="456" t="s">
        <v>67</v>
      </c>
      <c r="B1" s="456"/>
      <c r="C1" s="222"/>
      <c r="D1" s="223"/>
      <c r="E1" s="223"/>
      <c r="F1" s="223"/>
      <c r="G1" s="224" t="s">
        <v>23</v>
      </c>
      <c r="H1" s="225"/>
      <c r="I1" s="226"/>
      <c r="J1" s="226"/>
      <c r="K1" s="457" t="s">
        <v>24</v>
      </c>
      <c r="L1" s="457"/>
      <c r="M1" s="457"/>
    </row>
    <row r="2" spans="1:28">
      <c r="A2" s="222"/>
      <c r="B2" s="228"/>
      <c r="C2" s="226"/>
      <c r="D2" s="225"/>
      <c r="E2" s="225"/>
      <c r="F2" s="225"/>
      <c r="G2" s="225"/>
      <c r="H2" s="225"/>
      <c r="I2" s="226"/>
      <c r="J2" s="226"/>
    </row>
    <row r="3" spans="1:28" s="233" customFormat="1" ht="22.9" customHeight="1">
      <c r="A3" s="458" t="s">
        <v>0</v>
      </c>
      <c r="B3" s="460" t="s">
        <v>27</v>
      </c>
      <c r="C3" s="460" t="s">
        <v>59</v>
      </c>
      <c r="D3" s="464" t="s">
        <v>30</v>
      </c>
      <c r="E3" s="464"/>
      <c r="F3" s="464"/>
      <c r="G3" s="464" t="s">
        <v>72</v>
      </c>
      <c r="H3" s="464"/>
      <c r="I3" s="464"/>
      <c r="J3" s="464" t="s">
        <v>375</v>
      </c>
      <c r="K3" s="462" t="s">
        <v>25</v>
      </c>
      <c r="L3" s="463"/>
      <c r="M3" s="230"/>
      <c r="N3" s="230"/>
      <c r="O3" s="230"/>
      <c r="P3" s="230"/>
      <c r="Q3" s="231" t="s">
        <v>19</v>
      </c>
      <c r="R3" s="232"/>
      <c r="S3" s="231"/>
      <c r="T3" s="231"/>
      <c r="U3" s="231"/>
      <c r="V3" s="231"/>
      <c r="W3" s="231"/>
      <c r="X3" s="231"/>
      <c r="Y3" s="230"/>
      <c r="Z3" s="230"/>
      <c r="AA3" s="230"/>
      <c r="AB3" s="230"/>
    </row>
    <row r="4" spans="1:28" s="233" customFormat="1" ht="10.15" customHeight="1">
      <c r="A4" s="459"/>
      <c r="B4" s="461"/>
      <c r="C4" s="461"/>
      <c r="D4" s="465"/>
      <c r="E4" s="465"/>
      <c r="F4" s="465"/>
      <c r="G4" s="465"/>
      <c r="H4" s="465"/>
      <c r="I4" s="465"/>
      <c r="J4" s="465"/>
      <c r="K4" s="229" t="s">
        <v>77</v>
      </c>
      <c r="L4" s="234" t="s">
        <v>78</v>
      </c>
      <c r="M4" s="230"/>
      <c r="N4" s="230"/>
      <c r="O4" s="230"/>
      <c r="P4" s="230"/>
      <c r="Q4" s="442" t="s">
        <v>20</v>
      </c>
      <c r="R4" s="443"/>
      <c r="S4" s="442" t="s">
        <v>21</v>
      </c>
      <c r="T4" s="443"/>
      <c r="U4" s="444" t="s">
        <v>22</v>
      </c>
      <c r="V4" s="445"/>
      <c r="W4" s="442" t="s">
        <v>24</v>
      </c>
      <c r="X4" s="443"/>
      <c r="Y4" s="230"/>
      <c r="Z4" s="230"/>
      <c r="AA4" s="230"/>
      <c r="AB4" s="230"/>
    </row>
    <row r="5" spans="1:28" s="237" customFormat="1" ht="18.75" customHeight="1">
      <c r="A5" s="336" t="s">
        <v>4</v>
      </c>
      <c r="B5" s="431" t="str">
        <f>PTTC!B6</f>
        <v>KHẢ NĂNG THANH TOÁN</v>
      </c>
      <c r="C5" s="432"/>
      <c r="D5" s="432"/>
      <c r="E5" s="432"/>
      <c r="F5" s="432"/>
      <c r="G5" s="432"/>
      <c r="H5" s="432"/>
      <c r="I5" s="432"/>
      <c r="J5" s="433"/>
      <c r="K5" s="312"/>
      <c r="L5" s="313"/>
      <c r="M5" s="235"/>
      <c r="N5" s="235"/>
      <c r="O5" s="235"/>
      <c r="P5" s="235"/>
      <c r="Q5" s="236"/>
      <c r="R5" s="236"/>
      <c r="S5" s="236"/>
      <c r="T5" s="236"/>
      <c r="U5" s="236"/>
      <c r="V5" s="236"/>
      <c r="W5" s="236"/>
      <c r="X5" s="236"/>
      <c r="Y5" s="235"/>
      <c r="Z5" s="235"/>
      <c r="AA5" s="235"/>
      <c r="AB5" s="235"/>
    </row>
    <row r="6" spans="1:28">
      <c r="A6" s="238">
        <v>1</v>
      </c>
      <c r="B6" s="33" t="str">
        <f>PTTC!B7</f>
        <v>Khả năng thanh toán tổng quát - Ktq</v>
      </c>
      <c r="C6" s="239" t="s">
        <v>94</v>
      </c>
      <c r="D6" s="240">
        <f>PTTC!D7</f>
        <v>1.645574799842729</v>
      </c>
      <c r="E6" s="240">
        <f>PTTC!E7</f>
        <v>1.645574799842729</v>
      </c>
      <c r="F6" s="240">
        <f t="shared" ref="F6:F36" si="0">(D6+E6)/2</f>
        <v>1.645574799842729</v>
      </c>
      <c r="G6" s="240">
        <f>PTTC!F7</f>
        <v>2.0291778348711489</v>
      </c>
      <c r="H6" s="240">
        <f>PTTC!G7</f>
        <v>2.0291778348711489</v>
      </c>
      <c r="I6" s="240">
        <f>(G6+H6)/2</f>
        <v>2.0291778348711489</v>
      </c>
      <c r="J6" s="240">
        <f>I6-F6</f>
        <v>0.38360303502841986</v>
      </c>
      <c r="K6" s="314">
        <f>IF($K$1=$Q$4,Q6,IF($K$1=$S$4,S6,IF($K$1=$U$4,U6,W6)))</f>
        <v>1.5</v>
      </c>
      <c r="L6" s="241">
        <f>IF($K$1=$Q$4,R6,IF($K$1=$S$4,T6,IF($K$1=$U$4,V6,X6)))</f>
        <v>4</v>
      </c>
      <c r="Q6" s="242">
        <v>1.4</v>
      </c>
      <c r="R6" s="242">
        <v>3.3</v>
      </c>
      <c r="S6" s="242">
        <v>1.4</v>
      </c>
      <c r="T6" s="242">
        <v>2.5</v>
      </c>
      <c r="U6" s="242">
        <v>1.4</v>
      </c>
      <c r="V6" s="242">
        <v>2.2000000000000002</v>
      </c>
      <c r="W6" s="242">
        <v>1.5</v>
      </c>
      <c r="X6" s="242">
        <v>4</v>
      </c>
    </row>
    <row r="7" spans="1:28">
      <c r="A7" s="238">
        <v>2</v>
      </c>
      <c r="B7" s="33" t="str">
        <f>PTTC!B8</f>
        <v>Khả năng thanh toán ngắn hạn - Kng</v>
      </c>
      <c r="C7" s="239" t="s">
        <v>94</v>
      </c>
      <c r="D7" s="240">
        <f>PTTC!D8</f>
        <v>1.1185727550956355</v>
      </c>
      <c r="E7" s="240">
        <f>PTTC!E8</f>
        <v>1.1185727550956355</v>
      </c>
      <c r="F7" s="240">
        <f t="shared" si="0"/>
        <v>1.1185727550956355</v>
      </c>
      <c r="G7" s="240">
        <f>PTTC!F8</f>
        <v>1.2852664645139069</v>
      </c>
      <c r="H7" s="240">
        <f>PTTC!G8</f>
        <v>1.2852664645139069</v>
      </c>
      <c r="I7" s="240">
        <f t="shared" ref="I7:I36" si="1">(G7+H7)/2</f>
        <v>1.2852664645139069</v>
      </c>
      <c r="J7" s="240">
        <f t="shared" ref="J7:J11" si="2">I7-F7</f>
        <v>0.16669370941827144</v>
      </c>
      <c r="K7" s="314">
        <f t="shared" ref="K7:L36" si="3">IF($K$1=$Q$4,Q7,IF($K$1=$S$4,S7,IF($K$1=$U$4,U7,W7)))</f>
        <v>0.8</v>
      </c>
      <c r="L7" s="241">
        <f t="shared" si="3"/>
        <v>2.9</v>
      </c>
      <c r="Q7" s="242">
        <v>0.7</v>
      </c>
      <c r="R7" s="242">
        <v>2.5</v>
      </c>
      <c r="S7" s="242">
        <v>0.5</v>
      </c>
      <c r="T7" s="242">
        <v>2.5</v>
      </c>
      <c r="U7" s="242">
        <v>0.5</v>
      </c>
      <c r="V7" s="242">
        <v>2.2999999999999998</v>
      </c>
      <c r="W7" s="242">
        <v>0.8</v>
      </c>
      <c r="X7" s="242">
        <v>2.9</v>
      </c>
    </row>
    <row r="8" spans="1:28">
      <c r="A8" s="238">
        <v>3</v>
      </c>
      <c r="B8" s="33" t="str">
        <f>PTTC!B9</f>
        <v>Khả năng thanh toán nhanh - Knh</v>
      </c>
      <c r="C8" s="239" t="s">
        <v>94</v>
      </c>
      <c r="D8" s="240">
        <f>PTTC!D9</f>
        <v>0.38389487519845916</v>
      </c>
      <c r="E8" s="240">
        <f>PTTC!E9</f>
        <v>0.38389487519845916</v>
      </c>
      <c r="F8" s="240">
        <f t="shared" si="0"/>
        <v>0.38389487519845916</v>
      </c>
      <c r="G8" s="240">
        <f>PTTC!F9</f>
        <v>0.12338875458059116</v>
      </c>
      <c r="H8" s="240">
        <f>PTTC!G9</f>
        <v>0.12338875458059116</v>
      </c>
      <c r="I8" s="240">
        <f t="shared" si="1"/>
        <v>0.12338875458059116</v>
      </c>
      <c r="J8" s="240">
        <f t="shared" si="2"/>
        <v>-0.26050612061786799</v>
      </c>
      <c r="K8" s="314">
        <f t="shared" si="3"/>
        <v>0.4</v>
      </c>
      <c r="L8" s="241">
        <f t="shared" si="3"/>
        <v>2.2000000000000002</v>
      </c>
      <c r="Q8" s="242">
        <v>0.2</v>
      </c>
      <c r="R8" s="242">
        <v>1.5</v>
      </c>
      <c r="S8" s="242">
        <v>0.2</v>
      </c>
      <c r="T8" s="242">
        <v>1.3</v>
      </c>
      <c r="U8" s="242">
        <v>0.1</v>
      </c>
      <c r="V8" s="242">
        <v>1.2</v>
      </c>
      <c r="W8" s="242">
        <v>0.4</v>
      </c>
      <c r="X8" s="242">
        <v>2.2000000000000002</v>
      </c>
    </row>
    <row r="9" spans="1:28">
      <c r="A9" s="238">
        <v>4</v>
      </c>
      <c r="B9" s="33" t="str">
        <f>PTTC!B10</f>
        <v>Khả năng thanh toán dài hạn - Kdn</v>
      </c>
      <c r="C9" s="239" t="s">
        <v>94</v>
      </c>
      <c r="D9" s="240">
        <f>PTTC!D10</f>
        <v>5.532523681881508</v>
      </c>
      <c r="E9" s="240">
        <f>PTTC!E10</f>
        <v>5.532523681881508</v>
      </c>
      <c r="F9" s="240">
        <f t="shared" si="0"/>
        <v>5.532523681881508</v>
      </c>
      <c r="G9" s="240">
        <f>PTTC!F10</f>
        <v>5.5684775731965876</v>
      </c>
      <c r="H9" s="240">
        <f>PTTC!G10</f>
        <v>5.5684775731965876</v>
      </c>
      <c r="I9" s="240">
        <f t="shared" si="1"/>
        <v>5.5684775731965876</v>
      </c>
      <c r="J9" s="240">
        <f t="shared" si="2"/>
        <v>3.5953891315079645E-2</v>
      </c>
      <c r="K9" s="315">
        <f t="shared" si="3"/>
        <v>1</v>
      </c>
      <c r="L9" s="243">
        <f t="shared" si="3"/>
        <v>1.5</v>
      </c>
      <c r="Q9" s="242">
        <v>1</v>
      </c>
      <c r="R9" s="242">
        <v>1.4</v>
      </c>
      <c r="S9" s="242">
        <v>1</v>
      </c>
      <c r="T9" s="242">
        <v>1.4</v>
      </c>
      <c r="U9" s="242">
        <v>1</v>
      </c>
      <c r="V9" s="242">
        <v>1.4</v>
      </c>
      <c r="W9" s="242">
        <v>1</v>
      </c>
      <c r="X9" s="242">
        <v>1.5</v>
      </c>
    </row>
    <row r="10" spans="1:28">
      <c r="A10" s="238">
        <v>5</v>
      </c>
      <c r="B10" s="33" t="str">
        <f>PTTC!B11</f>
        <v>Khả năng thanh toán dài hạn đến hạn - Kdhđn</v>
      </c>
      <c r="C10" s="239" t="s">
        <v>94</v>
      </c>
      <c r="D10" s="240">
        <f>PTTC!D11</f>
        <v>2.962498015947999</v>
      </c>
      <c r="E10" s="240">
        <f>PTTC!E11</f>
        <v>2.962498015947999</v>
      </c>
      <c r="F10" s="240">
        <f t="shared" si="0"/>
        <v>2.962498015947999</v>
      </c>
      <c r="G10" s="240">
        <f>PTTC!F11</f>
        <v>4.1669368250659691</v>
      </c>
      <c r="H10" s="240">
        <f>PTTC!G11</f>
        <v>4.1669368250659691</v>
      </c>
      <c r="I10" s="240">
        <f>(G10+H10)/2</f>
        <v>4.1669368250659691</v>
      </c>
      <c r="J10" s="240">
        <f t="shared" si="2"/>
        <v>1.2044388091179701</v>
      </c>
      <c r="K10" s="316"/>
      <c r="L10" s="244"/>
      <c r="Q10" s="242"/>
      <c r="R10" s="242"/>
      <c r="S10" s="242"/>
      <c r="T10" s="242"/>
      <c r="U10" s="242"/>
      <c r="V10" s="242"/>
      <c r="W10" s="242"/>
      <c r="X10" s="242"/>
    </row>
    <row r="11" spans="1:28">
      <c r="A11" s="238">
        <v>6</v>
      </c>
      <c r="B11" s="33" t="str">
        <f>PTTC!B12</f>
        <v>Khả năng thanh toán lãi vay - Klv</v>
      </c>
      <c r="C11" s="239" t="s">
        <v>94</v>
      </c>
      <c r="D11" s="240">
        <f>PTTC!D12</f>
        <v>0.58357536003706545</v>
      </c>
      <c r="E11" s="240">
        <f>PTTC!E12</f>
        <v>0.58357536003706545</v>
      </c>
      <c r="F11" s="240">
        <f t="shared" si="0"/>
        <v>0.58357536003706545</v>
      </c>
      <c r="G11" s="240">
        <f>PTTC!F12</f>
        <v>1.1421201640325147</v>
      </c>
      <c r="H11" s="240">
        <f>PTTC!G12</f>
        <v>1.1421201640325147</v>
      </c>
      <c r="I11" s="240">
        <f>(G11+H11)/2</f>
        <v>1.1421201640325147</v>
      </c>
      <c r="J11" s="240">
        <f t="shared" si="2"/>
        <v>0.55854480399544926</v>
      </c>
      <c r="K11" s="316"/>
      <c r="L11" s="244"/>
      <c r="Q11" s="242"/>
      <c r="R11" s="242"/>
      <c r="S11" s="242"/>
      <c r="T11" s="242"/>
      <c r="U11" s="242"/>
      <c r="V11" s="242"/>
      <c r="W11" s="242"/>
      <c r="X11" s="242"/>
    </row>
    <row r="12" spans="1:28" s="237" customFormat="1" ht="18" customHeight="1">
      <c r="A12" s="337" t="s">
        <v>5</v>
      </c>
      <c r="B12" s="466" t="str">
        <f>PTTC!B13</f>
        <v>CƠ CẤU VỐN, TÍNH ỔN ĐỊNH VÀ KHẢ NĂNG TRẢ NỢ</v>
      </c>
      <c r="C12" s="467"/>
      <c r="D12" s="467"/>
      <c r="E12" s="467"/>
      <c r="F12" s="467"/>
      <c r="G12" s="467"/>
      <c r="H12" s="467"/>
      <c r="I12" s="467"/>
      <c r="J12" s="468"/>
      <c r="K12" s="312"/>
      <c r="L12" s="313"/>
      <c r="M12" s="235"/>
      <c r="N12" s="235"/>
      <c r="O12" s="235"/>
      <c r="P12" s="235"/>
      <c r="Q12" s="245"/>
      <c r="R12" s="245"/>
      <c r="S12" s="245"/>
      <c r="T12" s="245"/>
      <c r="U12" s="245"/>
      <c r="V12" s="245"/>
      <c r="W12" s="245"/>
      <c r="X12" s="245"/>
      <c r="Y12" s="235"/>
      <c r="Z12" s="235"/>
      <c r="AA12" s="235"/>
      <c r="AB12" s="235"/>
    </row>
    <row r="13" spans="1:28">
      <c r="A13" s="238">
        <v>1</v>
      </c>
      <c r="B13" s="33" t="str">
        <f>PTTC!B14</f>
        <v>Hệ số nợ so với nguồn vốn chủ sở hữu - Ncsh</v>
      </c>
      <c r="C13" s="239" t="s">
        <v>3</v>
      </c>
      <c r="D13" s="240">
        <f>PTTC!D14</f>
        <v>154.9007584087513</v>
      </c>
      <c r="E13" s="240">
        <f>PTTC!E14</f>
        <v>154.9007584087513</v>
      </c>
      <c r="F13" s="240">
        <f t="shared" si="0"/>
        <v>154.9007584087513</v>
      </c>
      <c r="G13" s="240">
        <f>PTTC!F14</f>
        <v>97.165010382768486</v>
      </c>
      <c r="H13" s="240">
        <f>PTTC!G14</f>
        <v>97.165010382768486</v>
      </c>
      <c r="I13" s="240">
        <f>(G13+H13)/2</f>
        <v>97.165010382768486</v>
      </c>
      <c r="J13" s="240">
        <f>I13-F13</f>
        <v>-57.735748025982815</v>
      </c>
      <c r="K13" s="314">
        <f t="shared" si="3"/>
        <v>33</v>
      </c>
      <c r="L13" s="241">
        <f t="shared" si="3"/>
        <v>185</v>
      </c>
      <c r="Q13" s="242">
        <v>42</v>
      </c>
      <c r="R13" s="242">
        <v>233</v>
      </c>
      <c r="S13" s="242">
        <v>82</v>
      </c>
      <c r="T13" s="242">
        <v>233</v>
      </c>
      <c r="U13" s="242">
        <v>66</v>
      </c>
      <c r="V13" s="242">
        <v>233</v>
      </c>
      <c r="W13" s="242">
        <v>33</v>
      </c>
      <c r="X13" s="242">
        <v>185</v>
      </c>
    </row>
    <row r="14" spans="1:28">
      <c r="A14" s="238">
        <v>2</v>
      </c>
      <c r="B14" s="33" t="str">
        <f>PTTC!B15</f>
        <v>Hệ số nợ so với tài sản - Ntts</v>
      </c>
      <c r="C14" s="239" t="s">
        <v>3</v>
      </c>
      <c r="D14" s="240">
        <f>PTTC!D15</f>
        <v>60.769039492800445</v>
      </c>
      <c r="E14" s="240">
        <f>PTTC!E15</f>
        <v>60.769039492800445</v>
      </c>
      <c r="F14" s="240">
        <f t="shared" si="0"/>
        <v>60.769039492800445</v>
      </c>
      <c r="G14" s="240">
        <f>PTTC!F15</f>
        <v>49.281042933504111</v>
      </c>
      <c r="H14" s="240">
        <f>PTTC!G15</f>
        <v>49.281042933504111</v>
      </c>
      <c r="I14" s="240">
        <f t="shared" si="1"/>
        <v>49.281042933504111</v>
      </c>
      <c r="J14" s="240">
        <f t="shared" ref="J14:J18" si="4">I14-F14</f>
        <v>-11.487996559296334</v>
      </c>
      <c r="K14" s="314">
        <f t="shared" si="3"/>
        <v>0</v>
      </c>
      <c r="L14" s="241">
        <f t="shared" si="3"/>
        <v>3</v>
      </c>
      <c r="Q14" s="242">
        <v>0</v>
      </c>
      <c r="R14" s="242">
        <v>3</v>
      </c>
      <c r="S14" s="242">
        <v>0</v>
      </c>
      <c r="T14" s="242">
        <v>3</v>
      </c>
      <c r="U14" s="242">
        <v>0</v>
      </c>
      <c r="V14" s="242">
        <v>3</v>
      </c>
      <c r="W14" s="242">
        <v>0</v>
      </c>
      <c r="X14" s="242">
        <v>3</v>
      </c>
    </row>
    <row r="15" spans="1:28">
      <c r="A15" s="238">
        <v>3</v>
      </c>
      <c r="B15" s="33" t="str">
        <f>PTTC!B16</f>
        <v>Tỷ lệ nợ quá hạn trong tổng dư nợ vay - Nqh</v>
      </c>
      <c r="C15" s="239" t="s">
        <v>3</v>
      </c>
      <c r="D15" s="240">
        <f>PTTC!D16</f>
        <v>0</v>
      </c>
      <c r="E15" s="240">
        <f>PTTC!E16</f>
        <v>0</v>
      </c>
      <c r="F15" s="240">
        <f t="shared" si="0"/>
        <v>0</v>
      </c>
      <c r="G15" s="240">
        <f>PTTC!F16</f>
        <v>0</v>
      </c>
      <c r="H15" s="240">
        <f>PTTC!G16</f>
        <v>0</v>
      </c>
      <c r="I15" s="240">
        <f t="shared" si="1"/>
        <v>0</v>
      </c>
      <c r="J15" s="240">
        <f t="shared" si="4"/>
        <v>0</v>
      </c>
      <c r="K15" s="314">
        <f t="shared" si="3"/>
        <v>0</v>
      </c>
      <c r="L15" s="241">
        <f t="shared" si="3"/>
        <v>0</v>
      </c>
      <c r="Q15" s="242"/>
      <c r="R15" s="242"/>
      <c r="S15" s="242"/>
      <c r="T15" s="242"/>
      <c r="U15" s="242"/>
      <c r="V15" s="242"/>
      <c r="W15" s="242"/>
      <c r="X15" s="242"/>
    </row>
    <row r="16" spans="1:28">
      <c r="A16" s="238">
        <v>4</v>
      </c>
      <c r="B16" s="33" t="str">
        <f>PTTC!B17</f>
        <v>Hệ số thích ứng dài hạn của tài sản - Ktu</v>
      </c>
      <c r="C16" s="239" t="s">
        <v>94</v>
      </c>
      <c r="D16" s="240">
        <f>PTTC!D17</f>
        <v>0.8635034880224185</v>
      </c>
      <c r="E16" s="240">
        <f>PTTC!E17</f>
        <v>0.8635034880224185</v>
      </c>
      <c r="F16" s="240">
        <f t="shared" si="0"/>
        <v>0.8635034880224185</v>
      </c>
      <c r="G16" s="240">
        <f>PTTC!F17</f>
        <v>0.80403303650736868</v>
      </c>
      <c r="H16" s="240">
        <f>PTTC!G17</f>
        <v>0.80403303650736868</v>
      </c>
      <c r="I16" s="240">
        <f t="shared" si="1"/>
        <v>0.80403303650736868</v>
      </c>
      <c r="J16" s="240">
        <f t="shared" si="4"/>
        <v>-5.9470451515049816E-2</v>
      </c>
      <c r="K16" s="314">
        <f t="shared" si="3"/>
        <v>0</v>
      </c>
      <c r="L16" s="241">
        <f t="shared" si="3"/>
        <v>0</v>
      </c>
      <c r="Q16" s="242"/>
      <c r="R16" s="242"/>
      <c r="S16" s="242"/>
      <c r="T16" s="242"/>
      <c r="U16" s="242"/>
      <c r="V16" s="242"/>
      <c r="W16" s="242"/>
      <c r="X16" s="242"/>
    </row>
    <row r="17" spans="1:28">
      <c r="A17" s="238">
        <v>5</v>
      </c>
      <c r="B17" s="33" t="str">
        <f>PTTC!B18</f>
        <v>Hệ số tài sản dài hạn trên vốn chủ sở hữu - Kts</v>
      </c>
      <c r="C17" s="239" t="s">
        <v>94</v>
      </c>
      <c r="D17" s="240">
        <f>PTTC!D18</f>
        <v>1.0232025775246616</v>
      </c>
      <c r="E17" s="240">
        <f>PTTC!E18</f>
        <v>1.0232025775246616</v>
      </c>
      <c r="F17" s="240">
        <f t="shared" si="0"/>
        <v>1.0232025775246616</v>
      </c>
      <c r="G17" s="240">
        <f>PTTC!F18</f>
        <v>0.9397191839306499</v>
      </c>
      <c r="H17" s="240">
        <f>PTTC!G18</f>
        <v>0.9397191839306499</v>
      </c>
      <c r="I17" s="240">
        <f t="shared" si="1"/>
        <v>0.9397191839306499</v>
      </c>
      <c r="J17" s="240">
        <f t="shared" si="4"/>
        <v>-8.348339359401169E-2</v>
      </c>
      <c r="K17" s="315">
        <f t="shared" si="3"/>
        <v>0</v>
      </c>
      <c r="L17" s="243">
        <f t="shared" si="3"/>
        <v>0</v>
      </c>
      <c r="Q17" s="242"/>
      <c r="R17" s="242"/>
      <c r="S17" s="242"/>
      <c r="T17" s="242"/>
      <c r="U17" s="242"/>
      <c r="V17" s="242"/>
      <c r="W17" s="242"/>
      <c r="X17" s="242"/>
    </row>
    <row r="18" spans="1:28" ht="31.5">
      <c r="A18" s="238">
        <v>6</v>
      </c>
      <c r="B18" s="33" t="str">
        <f>PTTC!B19</f>
        <v>Hệ số nguồn vốn chủ sở hữu trên Tổng tài sản - Httt</v>
      </c>
      <c r="C18" s="239" t="s">
        <v>3</v>
      </c>
      <c r="D18" s="240">
        <f>PTTC!D19</f>
        <v>39.230950265875023</v>
      </c>
      <c r="E18" s="240">
        <f>PTTC!E19</f>
        <v>39.230950265875023</v>
      </c>
      <c r="F18" s="240">
        <f t="shared" si="0"/>
        <v>39.230950265875023</v>
      </c>
      <c r="G18" s="240">
        <f>PTTC!F19</f>
        <v>50.718919021742579</v>
      </c>
      <c r="H18" s="240">
        <f>PTTC!G19</f>
        <v>50.718919021742579</v>
      </c>
      <c r="I18" s="240">
        <f>(G18+H18)/2</f>
        <v>50.718919021742579</v>
      </c>
      <c r="J18" s="240">
        <f t="shared" si="4"/>
        <v>11.487968755867556</v>
      </c>
      <c r="K18" s="316"/>
      <c r="L18" s="244"/>
      <c r="Q18" s="242"/>
      <c r="R18" s="242"/>
      <c r="S18" s="242"/>
      <c r="T18" s="242"/>
      <c r="U18" s="242"/>
      <c r="V18" s="242"/>
      <c r="W18" s="242"/>
      <c r="X18" s="242"/>
    </row>
    <row r="19" spans="1:28" s="237" customFormat="1" ht="18.75" customHeight="1">
      <c r="A19" s="337" t="s">
        <v>8</v>
      </c>
      <c r="B19" s="466" t="str">
        <f>PTTC!B20</f>
        <v>HIỆU QUẢ SỬ DỤNG VỐN VÀ SINH LỜI</v>
      </c>
      <c r="C19" s="467"/>
      <c r="D19" s="467"/>
      <c r="E19" s="467"/>
      <c r="F19" s="467"/>
      <c r="G19" s="467"/>
      <c r="H19" s="467"/>
      <c r="I19" s="467"/>
      <c r="J19" s="468"/>
      <c r="K19" s="312"/>
      <c r="L19" s="313"/>
      <c r="M19" s="235"/>
      <c r="N19" s="235"/>
      <c r="O19" s="235"/>
      <c r="P19" s="235"/>
      <c r="Q19" s="245"/>
      <c r="R19" s="245"/>
      <c r="S19" s="245"/>
      <c r="T19" s="245"/>
      <c r="U19" s="245"/>
      <c r="V19" s="245"/>
      <c r="W19" s="245"/>
      <c r="X19" s="245"/>
      <c r="Y19" s="235"/>
      <c r="Z19" s="235"/>
      <c r="AA19" s="235"/>
      <c r="AB19" s="235"/>
    </row>
    <row r="20" spans="1:28">
      <c r="A20" s="238">
        <v>1</v>
      </c>
      <c r="B20" s="33" t="str">
        <f>PTTC!B21</f>
        <v>Hiệu quả sử dụng tài sản - L</v>
      </c>
      <c r="C20" s="239" t="s">
        <v>3</v>
      </c>
      <c r="D20" s="240">
        <f>PTTC!D21</f>
        <v>1.6543107475941592</v>
      </c>
      <c r="E20" s="240">
        <f>PTTC!E21</f>
        <v>1.6543107475941592</v>
      </c>
      <c r="F20" s="240">
        <f t="shared" si="0"/>
        <v>1.6543107475941592</v>
      </c>
      <c r="G20" s="240">
        <f>PTTC!F21</f>
        <v>1.2820670982632569</v>
      </c>
      <c r="H20" s="240">
        <f>PTTC!G21</f>
        <v>1.2820670982632569</v>
      </c>
      <c r="I20" s="240">
        <f t="shared" si="1"/>
        <v>1.2820670982632569</v>
      </c>
      <c r="J20" s="240">
        <f>I20-F20</f>
        <v>-0.37224364933090226</v>
      </c>
      <c r="K20" s="314">
        <f t="shared" si="3"/>
        <v>1.5</v>
      </c>
      <c r="L20" s="241">
        <f t="shared" si="3"/>
        <v>4</v>
      </c>
      <c r="Q20" s="242">
        <v>1.7</v>
      </c>
      <c r="R20" s="242">
        <v>5.5</v>
      </c>
      <c r="S20" s="242">
        <v>1.7</v>
      </c>
      <c r="T20" s="242">
        <v>4.2</v>
      </c>
      <c r="U20" s="242">
        <v>1.7</v>
      </c>
      <c r="V20" s="242">
        <v>5</v>
      </c>
      <c r="W20" s="242">
        <v>1.5</v>
      </c>
      <c r="X20" s="242">
        <v>4</v>
      </c>
    </row>
    <row r="21" spans="1:28">
      <c r="A21" s="238">
        <v>2</v>
      </c>
      <c r="B21" s="33" t="str">
        <f>PTTC!B22</f>
        <v>Vòng quay hàng tồn kho - V</v>
      </c>
      <c r="C21" s="239" t="s">
        <v>95</v>
      </c>
      <c r="D21" s="240">
        <f>PTTC!D22</f>
        <v>5.8738050349090924</v>
      </c>
      <c r="E21" s="240">
        <f>PTTC!E22</f>
        <v>5.8738050349090924</v>
      </c>
      <c r="F21" s="240">
        <f t="shared" si="0"/>
        <v>5.8738050349090924</v>
      </c>
      <c r="G21" s="240">
        <f>PTTC!F22</f>
        <v>3.2061628081604701</v>
      </c>
      <c r="H21" s="240">
        <f>PTTC!G22</f>
        <v>3.2061628081604701</v>
      </c>
      <c r="I21" s="240">
        <f t="shared" si="1"/>
        <v>3.2061628081604701</v>
      </c>
      <c r="J21" s="240">
        <f t="shared" ref="J21:J31" si="5">I21-F21</f>
        <v>-2.6676422267486224</v>
      </c>
      <c r="K21" s="314">
        <f t="shared" si="3"/>
        <v>3.5</v>
      </c>
      <c r="L21" s="241">
        <f t="shared" si="3"/>
        <v>7</v>
      </c>
      <c r="Q21" s="242">
        <v>2</v>
      </c>
      <c r="R21" s="242">
        <v>4.5</v>
      </c>
      <c r="S21" s="242">
        <v>2.5</v>
      </c>
      <c r="T21" s="242">
        <v>6</v>
      </c>
      <c r="U21" s="242">
        <v>2</v>
      </c>
      <c r="V21" s="242">
        <v>4</v>
      </c>
      <c r="W21" s="242">
        <v>3.5</v>
      </c>
      <c r="X21" s="242">
        <v>7</v>
      </c>
    </row>
    <row r="22" spans="1:28">
      <c r="A22" s="238">
        <v>3</v>
      </c>
      <c r="B22" s="33" t="str">
        <f>PTTC!B23</f>
        <v>Kỳ thu tiền bình quân - Nth</v>
      </c>
      <c r="C22" s="239" t="s">
        <v>96</v>
      </c>
      <c r="D22" s="240">
        <f>PTTC!D23</f>
        <v>31.480615495704932</v>
      </c>
      <c r="E22" s="240">
        <f>PTTC!E23</f>
        <v>31.480615495704932</v>
      </c>
      <c r="F22" s="240">
        <f t="shared" si="0"/>
        <v>31.480615495704932</v>
      </c>
      <c r="G22" s="240">
        <f>PTTC!F23</f>
        <v>33.418079867247968</v>
      </c>
      <c r="H22" s="240">
        <f>PTTC!G23</f>
        <v>33.418079867247968</v>
      </c>
      <c r="I22" s="240">
        <f t="shared" si="1"/>
        <v>33.418079867247968</v>
      </c>
      <c r="J22" s="240">
        <f t="shared" si="5"/>
        <v>1.9374643715430366</v>
      </c>
      <c r="K22" s="314">
        <f t="shared" si="3"/>
        <v>32</v>
      </c>
      <c r="L22" s="241">
        <f t="shared" si="3"/>
        <v>60</v>
      </c>
      <c r="Q22" s="242">
        <v>34</v>
      </c>
      <c r="R22" s="242">
        <v>70</v>
      </c>
      <c r="S22" s="242">
        <v>30</v>
      </c>
      <c r="T22" s="242">
        <v>65</v>
      </c>
      <c r="U22" s="242">
        <v>40</v>
      </c>
      <c r="V22" s="242">
        <v>150</v>
      </c>
      <c r="W22" s="242">
        <v>32</v>
      </c>
      <c r="X22" s="242">
        <v>60</v>
      </c>
    </row>
    <row r="23" spans="1:28">
      <c r="A23" s="238">
        <v>4</v>
      </c>
      <c r="B23" s="33" t="str">
        <f>PTTC!B24</f>
        <v>Vòng quay tài sản ngắn hạn - Vvlđ</v>
      </c>
      <c r="C23" s="239" t="s">
        <v>95</v>
      </c>
      <c r="D23" s="240">
        <f>PTTC!D24</f>
        <v>2.6778906619851495</v>
      </c>
      <c r="E23" s="240">
        <f>PTTC!E24</f>
        <v>2.6778906619851495</v>
      </c>
      <c r="F23" s="240">
        <f t="shared" si="0"/>
        <v>2.6778906619851495</v>
      </c>
      <c r="G23" s="240">
        <f>PTTC!F24</f>
        <v>1.9958800443483884</v>
      </c>
      <c r="H23" s="240">
        <f>PTTC!G24</f>
        <v>1.9958800443483884</v>
      </c>
      <c r="I23" s="240">
        <f>(G23+H23)/2</f>
        <v>1.9958800443483884</v>
      </c>
      <c r="J23" s="240">
        <f t="shared" si="5"/>
        <v>-0.68201061763676107</v>
      </c>
      <c r="K23" s="314"/>
      <c r="L23" s="241"/>
      <c r="Q23" s="242"/>
      <c r="R23" s="242"/>
      <c r="S23" s="242"/>
      <c r="T23" s="242"/>
      <c r="U23" s="242"/>
      <c r="V23" s="242"/>
      <c r="W23" s="242"/>
      <c r="X23" s="242"/>
    </row>
    <row r="24" spans="1:28">
      <c r="A24" s="238">
        <v>5</v>
      </c>
      <c r="B24" s="33" t="str">
        <f>PTTC!B25</f>
        <v>Vòng quay các khoản phải thu - Vkpt</v>
      </c>
      <c r="C24" s="239" t="s">
        <v>95</v>
      </c>
      <c r="D24" s="240">
        <f>PTTC!D25</f>
        <v>11.0805922368381</v>
      </c>
      <c r="E24" s="240">
        <f>PTTC!E25</f>
        <v>11.0805922368381</v>
      </c>
      <c r="F24" s="240">
        <f t="shared" si="0"/>
        <v>11.0805922368381</v>
      </c>
      <c r="G24" s="240">
        <f>PTTC!F25</f>
        <v>10.603967559653517</v>
      </c>
      <c r="H24" s="240">
        <f>PTTC!G25</f>
        <v>10.603967559653517</v>
      </c>
      <c r="I24" s="240">
        <f>(G24+H24)/2</f>
        <v>10.603967559653517</v>
      </c>
      <c r="J24" s="240">
        <f t="shared" si="5"/>
        <v>-0.47662467718458323</v>
      </c>
      <c r="K24" s="314"/>
      <c r="L24" s="241"/>
      <c r="Q24" s="242"/>
      <c r="R24" s="242"/>
      <c r="S24" s="242"/>
      <c r="T24" s="242"/>
      <c r="U24" s="242"/>
      <c r="V24" s="242"/>
      <c r="W24" s="242"/>
      <c r="X24" s="242"/>
    </row>
    <row r="25" spans="1:28">
      <c r="A25" s="238">
        <v>6</v>
      </c>
      <c r="B25" s="33" t="str">
        <f>PTTC!B26</f>
        <v>Vòng quay khoản phải trả - Vkptr</v>
      </c>
      <c r="C25" s="239" t="s">
        <v>95</v>
      </c>
      <c r="D25" s="240">
        <f>PTTC!D26</f>
        <v>24.939601183093217</v>
      </c>
      <c r="E25" s="240">
        <f>PTTC!E26</f>
        <v>24.939601183093217</v>
      </c>
      <c r="F25" s="240">
        <f t="shared" si="0"/>
        <v>24.939601183093217</v>
      </c>
      <c r="G25" s="240">
        <f>PTTC!F26</f>
        <v>96.506429869562211</v>
      </c>
      <c r="H25" s="240">
        <f>PTTC!G26</f>
        <v>96.506429869562211</v>
      </c>
      <c r="I25" s="240">
        <f>(G25+H25)/2</f>
        <v>96.506429869562211</v>
      </c>
      <c r="J25" s="240">
        <f t="shared" si="5"/>
        <v>71.566828686468995</v>
      </c>
      <c r="K25" s="314"/>
      <c r="L25" s="241"/>
      <c r="Q25" s="242"/>
      <c r="R25" s="242"/>
      <c r="S25" s="242"/>
      <c r="T25" s="242"/>
      <c r="U25" s="242"/>
      <c r="V25" s="242"/>
      <c r="W25" s="242"/>
      <c r="X25" s="242"/>
    </row>
    <row r="26" spans="1:28">
      <c r="A26" s="238">
        <v>7</v>
      </c>
      <c r="B26" s="33" t="str">
        <f>PTTC!B27</f>
        <v>Số ngày phải hoàn trả nợ - Ntr</v>
      </c>
      <c r="C26" s="239" t="s">
        <v>96</v>
      </c>
      <c r="D26" s="240">
        <f>PTTC!D27</f>
        <v>0.4811624657468424</v>
      </c>
      <c r="E26" s="240">
        <f>PTTC!E27</f>
        <v>0.4811624657468424</v>
      </c>
      <c r="F26" s="240">
        <f t="shared" si="0"/>
        <v>0.4811624657468424</v>
      </c>
      <c r="G26" s="240">
        <f>PTTC!G27</f>
        <v>0.12434404646632521</v>
      </c>
      <c r="H26" s="240">
        <f>PTTC!G27</f>
        <v>0.12434404646632521</v>
      </c>
      <c r="I26" s="240">
        <f>(G26+H26)/2</f>
        <v>0.12434404646632521</v>
      </c>
      <c r="J26" s="240">
        <f t="shared" si="5"/>
        <v>-0.35681841928051716</v>
      </c>
      <c r="K26" s="314"/>
      <c r="L26" s="241"/>
      <c r="Q26" s="242"/>
      <c r="R26" s="242"/>
      <c r="S26" s="242"/>
      <c r="T26" s="242"/>
      <c r="U26" s="242"/>
      <c r="V26" s="242"/>
      <c r="W26" s="242"/>
      <c r="X26" s="242"/>
    </row>
    <row r="27" spans="1:28" ht="31.5">
      <c r="A27" s="238">
        <v>8</v>
      </c>
      <c r="B27" s="33" t="str">
        <f>PTTC!B28</f>
        <v>Tỷ suất lợi nhuận trước thuế trên doanh thu - LNdt</v>
      </c>
      <c r="C27" s="239" t="s">
        <v>3</v>
      </c>
      <c r="D27" s="240">
        <f>PTTC!D28</f>
        <v>0.96448469410780679</v>
      </c>
      <c r="E27" s="240">
        <f>PTTC!E28</f>
        <v>0.96448469410780679</v>
      </c>
      <c r="F27" s="240">
        <f t="shared" si="0"/>
        <v>0.96448469410780679</v>
      </c>
      <c r="G27" s="240">
        <f>PTTC!F28</f>
        <v>1.59628261083738</v>
      </c>
      <c r="H27" s="240">
        <f>PTTC!G28</f>
        <v>1.59628261083738</v>
      </c>
      <c r="I27" s="240">
        <f t="shared" si="1"/>
        <v>1.59628261083738</v>
      </c>
      <c r="J27" s="240">
        <f t="shared" si="5"/>
        <v>0.63179791672957319</v>
      </c>
      <c r="K27" s="314">
        <f t="shared" si="3"/>
        <v>5.5</v>
      </c>
      <c r="L27" s="241">
        <f t="shared" si="3"/>
        <v>8</v>
      </c>
      <c r="Q27" s="242">
        <v>1.5</v>
      </c>
      <c r="R27" s="242">
        <v>5</v>
      </c>
      <c r="S27" s="242">
        <v>3</v>
      </c>
      <c r="T27" s="242">
        <v>6.5</v>
      </c>
      <c r="U27" s="242">
        <v>5</v>
      </c>
      <c r="V27" s="242">
        <v>10</v>
      </c>
      <c r="W27" s="242">
        <v>5.5</v>
      </c>
      <c r="X27" s="242">
        <v>8</v>
      </c>
    </row>
    <row r="28" spans="1:28" ht="31.5">
      <c r="A28" s="238">
        <v>9</v>
      </c>
      <c r="B28" s="33" t="str">
        <f>PTTC!B29</f>
        <v>Tỷ suất lợi nhuận trước thuế trên vốn chủ sở hữu - LNvsh</v>
      </c>
      <c r="C28" s="239" t="s">
        <v>3</v>
      </c>
      <c r="D28" s="240">
        <f>PTTC!D29</f>
        <v>4.0670883181244344</v>
      </c>
      <c r="E28" s="240">
        <f>PTTC!E29</f>
        <v>4.0670883181244344</v>
      </c>
      <c r="F28" s="240">
        <f t="shared" si="0"/>
        <v>4.0670883181244344</v>
      </c>
      <c r="G28" s="240">
        <f>PTTC!F29</f>
        <v>4.0350651282750105</v>
      </c>
      <c r="H28" s="240">
        <f>PTTC!G29</f>
        <v>4.0350651282750105</v>
      </c>
      <c r="I28" s="240">
        <f t="shared" si="1"/>
        <v>4.0350651282750105</v>
      </c>
      <c r="J28" s="240">
        <f t="shared" si="5"/>
        <v>-3.2023189849423872E-2</v>
      </c>
      <c r="K28" s="314">
        <f t="shared" si="3"/>
        <v>9.6</v>
      </c>
      <c r="L28" s="241">
        <f t="shared" si="3"/>
        <v>14.2</v>
      </c>
      <c r="Q28" s="242">
        <v>7</v>
      </c>
      <c r="R28" s="242">
        <v>10</v>
      </c>
      <c r="S28" s="242">
        <v>12.2</v>
      </c>
      <c r="T28" s="242">
        <v>14.2</v>
      </c>
      <c r="U28" s="242">
        <v>8.3000000000000007</v>
      </c>
      <c r="V28" s="242">
        <v>11.5</v>
      </c>
      <c r="W28" s="242">
        <v>9.6</v>
      </c>
      <c r="X28" s="242">
        <v>14.2</v>
      </c>
    </row>
    <row r="29" spans="1:28" ht="31.5">
      <c r="A29" s="238">
        <v>10</v>
      </c>
      <c r="B29" s="33" t="str">
        <f>PTTC!B30</f>
        <v>Tỷ suất lợi nhuận sau thuế trên vốn chủ sở hữu (ROE) - LNvsh</v>
      </c>
      <c r="C29" s="239" t="s">
        <v>3</v>
      </c>
      <c r="D29" s="240">
        <f>PTTC!D30</f>
        <v>3.5511448181667244</v>
      </c>
      <c r="E29" s="240">
        <f>PTTC!E30</f>
        <v>3.5511448181667244</v>
      </c>
      <c r="F29" s="240">
        <f t="shared" si="0"/>
        <v>3.5511448181667244</v>
      </c>
      <c r="G29" s="240">
        <f>PTTC!F30</f>
        <v>3.9136473709279982</v>
      </c>
      <c r="H29" s="240">
        <f>PTTC!G30</f>
        <v>3.9136473709279982</v>
      </c>
      <c r="I29" s="240">
        <f>(G29+H29)/2</f>
        <v>3.9136473709279982</v>
      </c>
      <c r="J29" s="240">
        <f t="shared" si="5"/>
        <v>0.36250255276127374</v>
      </c>
      <c r="K29" s="315"/>
      <c r="L29" s="243"/>
      <c r="Q29" s="246"/>
      <c r="R29" s="246"/>
      <c r="S29" s="246"/>
      <c r="T29" s="246"/>
      <c r="U29" s="246"/>
      <c r="V29" s="246"/>
      <c r="W29" s="246"/>
      <c r="X29" s="246"/>
    </row>
    <row r="30" spans="1:28" ht="31.5">
      <c r="A30" s="238">
        <v>11</v>
      </c>
      <c r="B30" s="33" t="str">
        <f>PTTC!B31</f>
        <v>Tỷ suất lợi nhuận sau thuế trên tổng Tài sản (ROA) - LNnv</v>
      </c>
      <c r="C30" s="239" t="s">
        <v>3</v>
      </c>
      <c r="D30" s="240">
        <f>PTTC!D31</f>
        <v>1.3931480001609935</v>
      </c>
      <c r="E30" s="240">
        <f>PTTC!E31</f>
        <v>1.3931480001609935</v>
      </c>
      <c r="F30" s="240">
        <f t="shared" si="0"/>
        <v>1.3931480001609935</v>
      </c>
      <c r="G30" s="240">
        <f>PTTC!F31</f>
        <v>1.9849603960308146</v>
      </c>
      <c r="H30" s="240">
        <f>PTTC!G31</f>
        <v>1.9849603960308146</v>
      </c>
      <c r="I30" s="240">
        <f t="shared" si="1"/>
        <v>1.9849603960308146</v>
      </c>
      <c r="J30" s="240">
        <f t="shared" si="5"/>
        <v>0.59181239586982115</v>
      </c>
      <c r="K30" s="315">
        <f t="shared" si="3"/>
        <v>5</v>
      </c>
      <c r="L30" s="243">
        <f t="shared" si="3"/>
        <v>7.5</v>
      </c>
      <c r="Q30" s="247">
        <v>3</v>
      </c>
      <c r="R30" s="247">
        <v>6</v>
      </c>
      <c r="S30" s="247">
        <v>4</v>
      </c>
      <c r="T30" s="247">
        <v>7</v>
      </c>
      <c r="U30" s="247">
        <v>2.5</v>
      </c>
      <c r="V30" s="247">
        <v>7.5</v>
      </c>
      <c r="W30" s="247">
        <v>5</v>
      </c>
      <c r="X30" s="247">
        <v>7.5</v>
      </c>
    </row>
    <row r="31" spans="1:28">
      <c r="A31" s="238">
        <v>12</v>
      </c>
      <c r="B31" s="33" t="str">
        <f>PTTC!B32</f>
        <v>Tỷ suất sinh lời của tiền vay - Tlntv</v>
      </c>
      <c r="C31" s="239" t="s">
        <v>3</v>
      </c>
      <c r="D31" s="240">
        <f>PTTC!D32</f>
        <v>8.112604576981207</v>
      </c>
      <c r="E31" s="240">
        <f>PTTC!E32</f>
        <v>8.112604576981207</v>
      </c>
      <c r="F31" s="240">
        <f t="shared" si="0"/>
        <v>8.112604576981207</v>
      </c>
      <c r="G31" s="240">
        <f>PTTC!F32</f>
        <v>10.026222570126079</v>
      </c>
      <c r="H31" s="240">
        <f>PTTC!G32</f>
        <v>10.026222570126079</v>
      </c>
      <c r="I31" s="240">
        <f>(G31+H31)/2</f>
        <v>10.026222570126079</v>
      </c>
      <c r="J31" s="240">
        <f t="shared" si="5"/>
        <v>1.9136179931448716</v>
      </c>
      <c r="K31" s="317"/>
      <c r="L31" s="250"/>
      <c r="Q31" s="251"/>
      <c r="R31" s="251"/>
      <c r="S31" s="251"/>
      <c r="T31" s="251"/>
      <c r="U31" s="251"/>
      <c r="V31" s="251"/>
      <c r="W31" s="251"/>
      <c r="X31" s="251"/>
    </row>
    <row r="32" spans="1:28" s="237" customFormat="1">
      <c r="A32" s="337" t="s">
        <v>9</v>
      </c>
      <c r="B32" s="466" t="str">
        <f>PTTC!B33</f>
        <v>SỨC TĂNG TRƯỞNG</v>
      </c>
      <c r="C32" s="467"/>
      <c r="D32" s="467"/>
      <c r="E32" s="467"/>
      <c r="F32" s="467"/>
      <c r="G32" s="467"/>
      <c r="H32" s="467"/>
      <c r="I32" s="467"/>
      <c r="J32" s="468"/>
      <c r="K32" s="312"/>
      <c r="L32" s="313"/>
      <c r="M32" s="252"/>
      <c r="N32" s="252"/>
      <c r="O32" s="252"/>
      <c r="P32" s="252"/>
      <c r="Q32" s="252"/>
      <c r="R32" s="235"/>
      <c r="S32" s="235"/>
      <c r="T32" s="235"/>
      <c r="U32" s="235"/>
      <c r="V32" s="235"/>
      <c r="W32" s="235"/>
      <c r="X32" s="235"/>
      <c r="Y32" s="235"/>
      <c r="Z32" s="235"/>
      <c r="AA32" s="235"/>
      <c r="AB32" s="235"/>
    </row>
    <row r="33" spans="1:17" ht="19.149999999999999" customHeight="1">
      <c r="A33" s="238">
        <v>1</v>
      </c>
      <c r="B33" s="33" t="str">
        <f>PTTC!B34</f>
        <v>Sức tăng trưởng doanh thu - TTdt</v>
      </c>
      <c r="C33" s="253"/>
      <c r="D33" s="240">
        <f>PTTC!D34</f>
        <v>0</v>
      </c>
      <c r="E33" s="240">
        <f>PTTC!E34</f>
        <v>1</v>
      </c>
      <c r="F33" s="240">
        <f t="shared" si="0"/>
        <v>0.5</v>
      </c>
      <c r="G33" s="240">
        <f>PTTC!F34</f>
        <v>0</v>
      </c>
      <c r="H33" s="240">
        <f>PTTC!G34</f>
        <v>1</v>
      </c>
      <c r="I33" s="240">
        <f t="shared" si="1"/>
        <v>0.5</v>
      </c>
      <c r="J33" s="254">
        <f>I33-F33</f>
        <v>0</v>
      </c>
      <c r="K33" s="314">
        <f t="shared" si="3"/>
        <v>0</v>
      </c>
      <c r="L33" s="241">
        <f t="shared" si="3"/>
        <v>0</v>
      </c>
      <c r="M33" s="251"/>
      <c r="N33" s="251"/>
      <c r="O33" s="251"/>
      <c r="P33" s="251"/>
      <c r="Q33" s="251"/>
    </row>
    <row r="34" spans="1:17" ht="33" customHeight="1">
      <c r="A34" s="238">
        <v>2</v>
      </c>
      <c r="B34" s="33" t="str">
        <f>PTTC!B35</f>
        <v>Tỷ lệ tăng trưởng doanh thu từ HĐKD chính - TTdtc</v>
      </c>
      <c r="C34" s="253"/>
      <c r="D34" s="240">
        <f>PTTC!D35</f>
        <v>0</v>
      </c>
      <c r="E34" s="240">
        <f>PTTC!E35</f>
        <v>1</v>
      </c>
      <c r="F34" s="240">
        <f t="shared" si="0"/>
        <v>0.5</v>
      </c>
      <c r="G34" s="240">
        <f>PTTC!F35</f>
        <v>0</v>
      </c>
      <c r="H34" s="240">
        <f>PTTC!G35</f>
        <v>1</v>
      </c>
      <c r="I34" s="240">
        <f t="shared" si="1"/>
        <v>0.5</v>
      </c>
      <c r="J34" s="240"/>
      <c r="K34" s="314">
        <f t="shared" si="3"/>
        <v>0</v>
      </c>
      <c r="L34" s="241">
        <f t="shared" si="3"/>
        <v>0</v>
      </c>
      <c r="M34" s="255"/>
      <c r="N34" s="255"/>
      <c r="O34" s="255"/>
      <c r="P34" s="255"/>
      <c r="Q34" s="255"/>
    </row>
    <row r="35" spans="1:17" ht="28.15" customHeight="1">
      <c r="A35" s="238">
        <v>3</v>
      </c>
      <c r="B35" s="33" t="str">
        <f>PTTC!B36</f>
        <v>Tỷ lệ tăng trưởng lợi nhuận - TTln</v>
      </c>
      <c r="C35" s="253"/>
      <c r="D35" s="240">
        <f>PTTC!D36</f>
        <v>0</v>
      </c>
      <c r="E35" s="240">
        <f>PTTC!E36</f>
        <v>1</v>
      </c>
      <c r="F35" s="240">
        <f t="shared" si="0"/>
        <v>0.5</v>
      </c>
      <c r="G35" s="240">
        <f>PTTC!F36</f>
        <v>0</v>
      </c>
      <c r="H35" s="240">
        <f>PTTC!G36</f>
        <v>1</v>
      </c>
      <c r="I35" s="240">
        <f t="shared" si="1"/>
        <v>0.5</v>
      </c>
      <c r="J35" s="240"/>
      <c r="K35" s="314">
        <f t="shared" si="3"/>
        <v>0</v>
      </c>
      <c r="L35" s="241">
        <f t="shared" si="3"/>
        <v>0</v>
      </c>
      <c r="M35" s="251"/>
      <c r="N35" s="251"/>
      <c r="O35" s="251"/>
      <c r="P35" s="256"/>
      <c r="Q35" s="257"/>
    </row>
    <row r="36" spans="1:17" ht="35.450000000000003" customHeight="1">
      <c r="A36" s="248">
        <v>4</v>
      </c>
      <c r="B36" s="89" t="str">
        <f>PTTC!B37</f>
        <v>Tỷ lệ tăng trưởng lợi nhuận từ hoạt động kinh doanh chính -TTln</v>
      </c>
      <c r="C36" s="258"/>
      <c r="D36" s="249">
        <f>PTTC!D37</f>
        <v>0</v>
      </c>
      <c r="E36" s="249">
        <f>PTTC!E37</f>
        <v>1</v>
      </c>
      <c r="F36" s="249">
        <f t="shared" si="0"/>
        <v>0.5</v>
      </c>
      <c r="G36" s="249">
        <f>PTTC!F37</f>
        <v>0</v>
      </c>
      <c r="H36" s="249">
        <f>PTTC!G37</f>
        <v>1</v>
      </c>
      <c r="I36" s="249">
        <f t="shared" si="1"/>
        <v>0.5</v>
      </c>
      <c r="J36" s="249"/>
      <c r="K36" s="317">
        <f t="shared" si="3"/>
        <v>0</v>
      </c>
      <c r="L36" s="250">
        <f t="shared" si="3"/>
        <v>0</v>
      </c>
      <c r="M36" s="251"/>
      <c r="N36" s="251"/>
      <c r="O36" s="251"/>
      <c r="P36" s="256"/>
      <c r="Q36" s="257"/>
    </row>
    <row r="37" spans="1:17">
      <c r="B37" s="260"/>
      <c r="G37" s="262"/>
      <c r="I37" s="263"/>
      <c r="J37" s="263"/>
      <c r="K37" s="251"/>
      <c r="L37" s="251"/>
      <c r="M37" s="251"/>
      <c r="N37" s="251"/>
      <c r="O37" s="251"/>
      <c r="P37" s="256"/>
      <c r="Q37" s="257"/>
    </row>
    <row r="38" spans="1:17">
      <c r="B38" s="260"/>
      <c r="G38" s="262"/>
      <c r="I38" s="263"/>
      <c r="J38" s="263"/>
      <c r="K38" s="251"/>
      <c r="L38" s="251"/>
      <c r="M38" s="251"/>
      <c r="N38" s="251"/>
      <c r="O38" s="251"/>
      <c r="P38" s="256"/>
      <c r="Q38" s="257"/>
    </row>
    <row r="39" spans="1:17">
      <c r="B39" s="260"/>
      <c r="G39" s="262"/>
      <c r="I39" s="263"/>
      <c r="J39" s="263"/>
      <c r="K39" s="251"/>
      <c r="L39" s="251"/>
      <c r="M39" s="251"/>
      <c r="N39" s="251"/>
      <c r="O39" s="251"/>
      <c r="P39" s="251"/>
      <c r="Q39" s="251"/>
    </row>
    <row r="40" spans="1:17">
      <c r="G40" s="262"/>
      <c r="I40" s="263"/>
      <c r="J40" s="263"/>
      <c r="K40" s="251"/>
      <c r="L40" s="251"/>
      <c r="M40" s="251"/>
      <c r="N40" s="251"/>
      <c r="O40" s="251"/>
      <c r="P40" s="251"/>
      <c r="Q40" s="251"/>
    </row>
    <row r="41" spans="1:17">
      <c r="G41" s="262"/>
      <c r="I41" s="263"/>
      <c r="J41" s="263"/>
      <c r="K41" s="251"/>
      <c r="L41" s="251"/>
      <c r="M41" s="251"/>
      <c r="N41" s="251"/>
      <c r="O41" s="251"/>
      <c r="P41" s="251"/>
      <c r="Q41" s="251"/>
    </row>
    <row r="42" spans="1:17">
      <c r="G42" s="262"/>
    </row>
    <row r="43" spans="1:17">
      <c r="G43" s="262"/>
    </row>
    <row r="44" spans="1:17">
      <c r="G44" s="262"/>
    </row>
    <row r="45" spans="1:17">
      <c r="G45" s="262"/>
    </row>
    <row r="46" spans="1:17">
      <c r="G46" s="262"/>
    </row>
    <row r="47" spans="1:17">
      <c r="G47" s="262"/>
    </row>
    <row r="48" spans="1:17">
      <c r="G48" s="262"/>
    </row>
    <row r="49" spans="7:7">
      <c r="G49" s="262"/>
    </row>
    <row r="50" spans="7:7">
      <c r="G50" s="262"/>
    </row>
    <row r="51" spans="7:7">
      <c r="G51" s="262"/>
    </row>
    <row r="52" spans="7:7">
      <c r="G52" s="262"/>
    </row>
    <row r="53" spans="7:7">
      <c r="G53" s="262"/>
    </row>
    <row r="54" spans="7:7">
      <c r="G54" s="262"/>
    </row>
    <row r="55" spans="7:7">
      <c r="G55" s="262"/>
    </row>
    <row r="56" spans="7:7">
      <c r="G56" s="262"/>
    </row>
    <row r="57" spans="7:7">
      <c r="G57" s="262"/>
    </row>
  </sheetData>
  <dataConsolidate/>
  <mergeCells count="17">
    <mergeCell ref="B5:J5"/>
    <mergeCell ref="B12:J12"/>
    <mergeCell ref="B19:J19"/>
    <mergeCell ref="B32:J32"/>
    <mergeCell ref="Q4:R4"/>
    <mergeCell ref="S4:T4"/>
    <mergeCell ref="U4:V4"/>
    <mergeCell ref="W4:X4"/>
    <mergeCell ref="D3:F4"/>
    <mergeCell ref="G3:I4"/>
    <mergeCell ref="J3:J4"/>
    <mergeCell ref="A1:B1"/>
    <mergeCell ref="K1:M1"/>
    <mergeCell ref="A3:A4"/>
    <mergeCell ref="B3:B4"/>
    <mergeCell ref="C3:C4"/>
    <mergeCell ref="K3:L3"/>
  </mergeCells>
  <dataValidations count="26">
    <dataValidation allowBlank="1" showInputMessage="1" showErrorMessage="1" promptTitle="Cách tính" prompt="Vkptr = Giá vốn / Khoản phải trả bình quân" sqref="B25"/>
    <dataValidation allowBlank="1" showInputMessage="1" showErrorMessage="1" promptTitle="Cách tính" prompt="Ntr = 12 tháng / Vòng quay khoản phải trả" sqref="B26"/>
    <dataValidation allowBlank="1" showInputMessage="1" showErrorMessage="1" promptTitle="Cách tính" prompt="Kdh = Tài sản cố định và đầu tư dài hạn/nợ dài hạn đến hạn" sqref="B10:B11"/>
    <dataValidation allowBlank="1" showInputMessage="1" showErrorMessage="1" promptTitle="Cách tính" prompt="LNvn = (Lợi nhuận sau thuế+lãi vay) / (Nợ vay TCTD ngắn hạn + Nợ vay TCTD dài hạn) *100" sqref="B31"/>
    <dataValidation allowBlank="1" showInputMessage="1" showErrorMessage="1" promptTitle="Cách tính" prompt="Vkpt = Doanh thu thuần / Các khoản phải thu bình quân" sqref="B24"/>
    <dataValidation allowBlank="1" showInputMessage="1" showErrorMessage="1" promptTitle="Cách tính" prompt="Vvlđ = Doanh thu thuần / Tài sản ngắn hạn bình quân" sqref="B23"/>
    <dataValidation allowBlank="1" showInputMessage="1" showErrorMessage="1" promptTitle="Cách tính" prompt="TTlnt = (Tổng lợi nhuận thuần năm sau/Tổng lợi nhuận thuần năm trước)-1" sqref="B36"/>
    <dataValidation allowBlank="1" showInputMessage="1" showErrorMessage="1" promptTitle="Cách tính" prompt="TTln = (Tổng lợi nhuận năm sau/Tổng lợi nhuận năm trước)-1" sqref="B35"/>
    <dataValidation allowBlank="1" showInputMessage="1" showErrorMessage="1" promptTitle="Cách tính" prompt="TTdtc = (Doanh thu từ HĐKD chính năm sau/Doanh thu HĐKD năm trước)-1" sqref="B34"/>
    <dataValidation allowBlank="1" showInputMessage="1" showErrorMessage="1" promptTitle="Cách tính" prompt="TTdt = (Doanh thu năm sau/Doanh thu năm trước)-1" sqref="B33"/>
    <dataValidation allowBlank="1" showInputMessage="1" showErrorMessage="1" promptTitle="Cách tính" prompt="LNvn = (Lợi nhuận trước thuế/Tổng Tài sản)*100%" sqref="B30"/>
    <dataValidation allowBlank="1" showInputMessage="1" showErrorMessage="1" promptTitle="Cách tính" prompt="LNvsh = (Lợi nhuận trước thuế/Tổng nguồn vốn)*100%" sqref="B28:B29"/>
    <dataValidation allowBlank="1" showInputMessage="1" showErrorMessage="1" promptTitle="Cách tính" prompt="LNdt = (Lợi nhuận trước thuế/Doanh thu)*100%" sqref="B27"/>
    <dataValidation allowBlank="1" showInputMessage="1" showErrorMessage="1" promptTitle="Cách tính" prompt="N = (Các khoản phải thu bình quân/Doanh thu) *360 ngày" sqref="B22"/>
    <dataValidation allowBlank="1" showInputMessage="1" showErrorMessage="1" promptTitle="Cách tính" prompt="V = Giá vốn hàng bán /Hàng tồn kho bình quân" sqref="B21"/>
    <dataValidation allowBlank="1" showInputMessage="1" showErrorMessage="1" promptTitle="Cách tính" prompt="L = Doanh thu/Tổng tài sản" sqref="B20"/>
    <dataValidation allowBlank="1" showInputMessage="1" showErrorMessage="1" promptTitle="Cách tính" prompt="Kts = Tài sản dài hạn / Vốn chủ sở hứu" sqref="B17:B18"/>
    <dataValidation allowBlank="1" showInputMessage="1" showErrorMessage="1" promptTitle="Cách tính" prompt="Ktu = Tài sản dài hạn/(Vốn chủ sở hữu + Nợ dài hạn)" sqref="B16"/>
    <dataValidation allowBlank="1" showInputMessage="1" showErrorMessage="1" promptTitle="Cách tính" prompt="Nqh = (Nợ quá hạn)/Tổng dư nợ vay)*100%" sqref="B15"/>
    <dataValidation allowBlank="1" showInputMessage="1" showErrorMessage="1" promptTitle="Cách tính" prompt="Ntts =  (Nợ phải trả/Tổng tài sản)*100%" sqref="B14"/>
    <dataValidation allowBlank="1" showInputMessage="1" showErrorMessage="1" promptTitle="Cách tính" prompt="Ncsh = (Nợ phải trả/Nguồn vốn chủ sở hữu)*100%" sqref="B13"/>
    <dataValidation allowBlank="1" showInputMessage="1" showErrorMessage="1" promptTitle="Cách tính" prompt="Kdh = Tài sản cố định và đầu tư dài hạn/nợ dài hạn" sqref="B9"/>
    <dataValidation allowBlank="1" showInputMessage="1" showErrorMessage="1" promptTitle="Cách tính" prompt="Knh = Vốn bằng tiền và các khoản đầu tư tài chính ngắn hạn có thể bán ngay trên thị trường/Nợ ngắn hạn" sqref="B8"/>
    <dataValidation allowBlank="1" showInputMessage="1" showErrorMessage="1" promptTitle="Cách tính" prompt="Kng=Tài sản ngắn hạn (Tổng tài sản lưu động và ngắn hạn)/nợ ngắn hạn" sqref="B7"/>
    <dataValidation allowBlank="1" showInputMessage="1" showErrorMessage="1" promptTitle="Cách tính" prompt="Ktq = Tổng tài sản/nợ tài sản (Nợ phải trả)" sqref="B6"/>
    <dataValidation type="list" allowBlank="1" showInputMessage="1" showErrorMessage="1" sqref="K1">
      <formula1>$Q$4:$X$4</formula1>
    </dataValidation>
  </dataValidations>
  <pageMargins left="1.08" right="0.25" top="0.5" bottom="0.5" header="0.25" footer="0.25"/>
  <pageSetup paperSize="9" scale="82"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sheetPr>
    <tabColor rgb="FFFF0000"/>
  </sheetPr>
  <dimension ref="A1:I83"/>
  <sheetViews>
    <sheetView topLeftCell="A24" workbookViewId="0">
      <selection activeCell="C35" sqref="A1:XFD1048576"/>
    </sheetView>
  </sheetViews>
  <sheetFormatPr defaultColWidth="8.85546875" defaultRowHeight="15.75"/>
  <cols>
    <col min="1" max="1" width="27" style="338" customWidth="1"/>
    <col min="2" max="9" width="9" style="338" customWidth="1"/>
    <col min="10" max="16384" width="8.85546875" style="338"/>
  </cols>
  <sheetData>
    <row r="1" spans="1:9" ht="34.15" customHeight="1">
      <c r="A1" s="491" t="s">
        <v>409</v>
      </c>
      <c r="B1" s="491"/>
      <c r="C1" s="491"/>
      <c r="D1" s="491"/>
      <c r="E1" s="491"/>
      <c r="F1" s="491"/>
      <c r="G1" s="491"/>
      <c r="H1" s="491"/>
      <c r="I1" s="491"/>
    </row>
    <row r="2" spans="1:9">
      <c r="A2" s="339" t="s">
        <v>376</v>
      </c>
      <c r="B2" s="501" t="s">
        <v>377</v>
      </c>
      <c r="C2" s="494"/>
      <c r="D2" s="494" t="s">
        <v>378</v>
      </c>
      <c r="E2" s="495"/>
    </row>
    <row r="3" spans="1:9">
      <c r="A3" s="340" t="s">
        <v>415</v>
      </c>
      <c r="B3" s="502">
        <f>B4+B6</f>
        <v>0</v>
      </c>
      <c r="C3" s="496"/>
      <c r="D3" s="496">
        <f>E4+E6</f>
        <v>0</v>
      </c>
      <c r="E3" s="497"/>
    </row>
    <row r="4" spans="1:9" ht="16.149999999999999" customHeight="1">
      <c r="A4" s="359" t="s">
        <v>416</v>
      </c>
      <c r="B4" s="503"/>
      <c r="C4" s="504"/>
      <c r="D4" s="498"/>
      <c r="E4" s="499"/>
    </row>
    <row r="5" spans="1:9" ht="16.149999999999999" customHeight="1">
      <c r="A5" s="359" t="s">
        <v>417</v>
      </c>
      <c r="B5" s="503"/>
      <c r="C5" s="504"/>
      <c r="D5" s="498"/>
      <c r="E5" s="499"/>
    </row>
    <row r="6" spans="1:9" ht="30" customHeight="1">
      <c r="A6" s="359" t="s">
        <v>418</v>
      </c>
      <c r="B6" s="503"/>
      <c r="C6" s="504"/>
      <c r="D6" s="498"/>
      <c r="E6" s="499"/>
    </row>
    <row r="7" spans="1:9" ht="16.149999999999999" customHeight="1">
      <c r="A7" s="359" t="s">
        <v>417</v>
      </c>
      <c r="B7" s="503"/>
      <c r="C7" s="504"/>
      <c r="D7" s="498"/>
      <c r="E7" s="499"/>
    </row>
    <row r="8" spans="1:9" ht="16.149999999999999" customHeight="1">
      <c r="A8" s="341" t="s">
        <v>419</v>
      </c>
      <c r="B8" s="502">
        <f>B9+B11</f>
        <v>0</v>
      </c>
      <c r="C8" s="496"/>
      <c r="D8" s="496">
        <f>E9+E11</f>
        <v>0</v>
      </c>
      <c r="E8" s="497"/>
    </row>
    <row r="9" spans="1:9" ht="16.149999999999999" customHeight="1">
      <c r="A9" s="359" t="s">
        <v>416</v>
      </c>
      <c r="B9" s="505"/>
      <c r="C9" s="506"/>
      <c r="D9" s="498"/>
      <c r="E9" s="499"/>
    </row>
    <row r="10" spans="1:9" ht="16.149999999999999" customHeight="1">
      <c r="A10" s="359" t="s">
        <v>417</v>
      </c>
      <c r="B10" s="505"/>
      <c r="C10" s="506"/>
      <c r="D10" s="498"/>
      <c r="E10" s="499"/>
    </row>
    <row r="11" spans="1:9" ht="31.9" customHeight="1">
      <c r="A11" s="359" t="s">
        <v>418</v>
      </c>
      <c r="B11" s="505"/>
      <c r="C11" s="506"/>
      <c r="D11" s="498"/>
      <c r="E11" s="499"/>
    </row>
    <row r="12" spans="1:9" ht="16.149999999999999" customHeight="1">
      <c r="A12" s="359" t="s">
        <v>417</v>
      </c>
      <c r="B12" s="505"/>
      <c r="C12" s="506"/>
      <c r="D12" s="498"/>
      <c r="E12" s="499"/>
    </row>
    <row r="13" spans="1:9" ht="16.149999999999999" customHeight="1">
      <c r="A13" s="343" t="s">
        <v>379</v>
      </c>
      <c r="B13" s="492">
        <f>B3+B8</f>
        <v>0</v>
      </c>
      <c r="C13" s="493"/>
      <c r="D13" s="493">
        <f>D3+D8</f>
        <v>0</v>
      </c>
      <c r="E13" s="500"/>
    </row>
    <row r="15" spans="1:9" ht="33" customHeight="1">
      <c r="A15" s="491" t="s">
        <v>410</v>
      </c>
      <c r="B15" s="491"/>
      <c r="C15" s="491"/>
      <c r="D15" s="491"/>
      <c r="E15" s="491"/>
      <c r="F15" s="491"/>
      <c r="G15" s="491"/>
      <c r="H15" s="491"/>
      <c r="I15" s="491"/>
    </row>
    <row r="16" spans="1:9" ht="26.45" customHeight="1">
      <c r="A16" s="508" t="s">
        <v>27</v>
      </c>
      <c r="B16" s="508" t="s">
        <v>380</v>
      </c>
      <c r="C16" s="507" t="s">
        <v>381</v>
      </c>
      <c r="D16" s="507"/>
      <c r="E16" s="507" t="s">
        <v>382</v>
      </c>
      <c r="F16" s="507"/>
      <c r="G16" s="507" t="s">
        <v>383</v>
      </c>
      <c r="H16" s="507"/>
      <c r="I16" s="508" t="s">
        <v>384</v>
      </c>
    </row>
    <row r="17" spans="1:9" ht="18" customHeight="1">
      <c r="A17" s="509"/>
      <c r="B17" s="509"/>
      <c r="C17" s="361" t="s">
        <v>385</v>
      </c>
      <c r="D17" s="361" t="s">
        <v>386</v>
      </c>
      <c r="E17" s="361" t="s">
        <v>385</v>
      </c>
      <c r="F17" s="361" t="s">
        <v>386</v>
      </c>
      <c r="G17" s="361" t="s">
        <v>385</v>
      </c>
      <c r="H17" s="361" t="s">
        <v>386</v>
      </c>
      <c r="I17" s="509"/>
    </row>
    <row r="18" spans="1:9" ht="15.6" customHeight="1">
      <c r="A18" s="340" t="s">
        <v>420</v>
      </c>
      <c r="B18" s="363">
        <f>B19+B23</f>
        <v>0</v>
      </c>
      <c r="C18" s="363">
        <f t="shared" ref="C18:I18" si="0">C19+C23</f>
        <v>0</v>
      </c>
      <c r="D18" s="363">
        <f t="shared" si="0"/>
        <v>0</v>
      </c>
      <c r="E18" s="363">
        <f t="shared" si="0"/>
        <v>0</v>
      </c>
      <c r="F18" s="363">
        <f t="shared" si="0"/>
        <v>0</v>
      </c>
      <c r="G18" s="363">
        <f t="shared" si="0"/>
        <v>0</v>
      </c>
      <c r="H18" s="363">
        <f t="shared" si="0"/>
        <v>0</v>
      </c>
      <c r="I18" s="363">
        <f t="shared" si="0"/>
        <v>0</v>
      </c>
    </row>
    <row r="19" spans="1:9">
      <c r="A19" s="345" t="s">
        <v>421</v>
      </c>
      <c r="B19" s="362">
        <f>B20+B21+B22</f>
        <v>0</v>
      </c>
      <c r="C19" s="362">
        <f t="shared" ref="C19:I19" si="1">C20+C21+C22</f>
        <v>0</v>
      </c>
      <c r="D19" s="362">
        <f t="shared" si="1"/>
        <v>0</v>
      </c>
      <c r="E19" s="362">
        <f t="shared" si="1"/>
        <v>0</v>
      </c>
      <c r="F19" s="362">
        <f t="shared" si="1"/>
        <v>0</v>
      </c>
      <c r="G19" s="362">
        <f t="shared" si="1"/>
        <v>0</v>
      </c>
      <c r="H19" s="362">
        <f t="shared" si="1"/>
        <v>0</v>
      </c>
      <c r="I19" s="362">
        <f t="shared" si="1"/>
        <v>0</v>
      </c>
    </row>
    <row r="20" spans="1:9">
      <c r="A20" s="360" t="s">
        <v>422</v>
      </c>
      <c r="B20" s="362"/>
      <c r="C20" s="362"/>
      <c r="D20" s="362"/>
      <c r="E20" s="362"/>
      <c r="F20" s="362"/>
      <c r="G20" s="362"/>
      <c r="H20" s="362"/>
      <c r="I20" s="362"/>
    </row>
    <row r="21" spans="1:9">
      <c r="A21" s="360" t="s">
        <v>423</v>
      </c>
      <c r="B21" s="364"/>
      <c r="C21" s="364"/>
      <c r="D21" s="364"/>
      <c r="E21" s="364"/>
      <c r="F21" s="364"/>
      <c r="G21" s="364"/>
      <c r="H21" s="364"/>
      <c r="I21" s="364"/>
    </row>
    <row r="22" spans="1:9">
      <c r="A22" s="360" t="s">
        <v>427</v>
      </c>
      <c r="B22" s="362"/>
      <c r="C22" s="362"/>
      <c r="D22" s="362"/>
      <c r="E22" s="362"/>
      <c r="F22" s="362"/>
      <c r="G22" s="362"/>
      <c r="H22" s="362"/>
      <c r="I22" s="362"/>
    </row>
    <row r="23" spans="1:9">
      <c r="A23" s="345" t="s">
        <v>425</v>
      </c>
      <c r="B23" s="362"/>
      <c r="C23" s="362"/>
      <c r="D23" s="362"/>
      <c r="E23" s="362"/>
      <c r="F23" s="362"/>
      <c r="G23" s="362"/>
      <c r="H23" s="362"/>
      <c r="I23" s="362"/>
    </row>
    <row r="24" spans="1:9">
      <c r="A24" s="341" t="s">
        <v>426</v>
      </c>
      <c r="B24" s="365">
        <f>B25+B29</f>
        <v>0</v>
      </c>
      <c r="C24" s="365">
        <f t="shared" ref="C24:I24" si="2">C25+C29</f>
        <v>0</v>
      </c>
      <c r="D24" s="365">
        <f t="shared" si="2"/>
        <v>0</v>
      </c>
      <c r="E24" s="365">
        <f t="shared" si="2"/>
        <v>0</v>
      </c>
      <c r="F24" s="365">
        <f t="shared" si="2"/>
        <v>0</v>
      </c>
      <c r="G24" s="365">
        <f t="shared" si="2"/>
        <v>0</v>
      </c>
      <c r="H24" s="365">
        <f t="shared" si="2"/>
        <v>0</v>
      </c>
      <c r="I24" s="365">
        <f t="shared" si="2"/>
        <v>0</v>
      </c>
    </row>
    <row r="25" spans="1:9">
      <c r="A25" s="345" t="s">
        <v>421</v>
      </c>
      <c r="B25" s="362">
        <f>B26+B27+B28</f>
        <v>0</v>
      </c>
      <c r="C25" s="362">
        <f t="shared" ref="C25:I25" si="3">C26+C27+C28</f>
        <v>0</v>
      </c>
      <c r="D25" s="362">
        <f t="shared" si="3"/>
        <v>0</v>
      </c>
      <c r="E25" s="362">
        <f t="shared" si="3"/>
        <v>0</v>
      </c>
      <c r="F25" s="362">
        <f t="shared" si="3"/>
        <v>0</v>
      </c>
      <c r="G25" s="362">
        <f t="shared" si="3"/>
        <v>0</v>
      </c>
      <c r="H25" s="362">
        <f t="shared" si="3"/>
        <v>0</v>
      </c>
      <c r="I25" s="362">
        <f t="shared" si="3"/>
        <v>0</v>
      </c>
    </row>
    <row r="26" spans="1:9">
      <c r="A26" s="360" t="s">
        <v>422</v>
      </c>
      <c r="B26" s="362"/>
      <c r="C26" s="362"/>
      <c r="D26" s="362"/>
      <c r="E26" s="362"/>
      <c r="F26" s="362"/>
      <c r="G26" s="362"/>
      <c r="H26" s="362"/>
      <c r="I26" s="362"/>
    </row>
    <row r="27" spans="1:9">
      <c r="A27" s="360" t="s">
        <v>423</v>
      </c>
      <c r="B27" s="364"/>
      <c r="C27" s="364"/>
      <c r="D27" s="364"/>
      <c r="E27" s="364"/>
      <c r="F27" s="364"/>
      <c r="G27" s="364"/>
      <c r="H27" s="364"/>
      <c r="I27" s="364"/>
    </row>
    <row r="28" spans="1:9">
      <c r="A28" s="360" t="s">
        <v>424</v>
      </c>
      <c r="B28" s="362"/>
      <c r="C28" s="362"/>
      <c r="D28" s="362"/>
      <c r="E28" s="362"/>
      <c r="F28" s="362"/>
      <c r="G28" s="362"/>
      <c r="H28" s="362"/>
      <c r="I28" s="362"/>
    </row>
    <row r="29" spans="1:9">
      <c r="A29" s="347" t="s">
        <v>425</v>
      </c>
      <c r="B29" s="362"/>
      <c r="C29" s="362"/>
      <c r="D29" s="362"/>
      <c r="E29" s="362"/>
      <c r="F29" s="362"/>
      <c r="G29" s="362"/>
      <c r="H29" s="362"/>
      <c r="I29" s="362"/>
    </row>
    <row r="30" spans="1:9">
      <c r="A30" s="367" t="s">
        <v>379</v>
      </c>
      <c r="B30" s="366">
        <f>B18+B24</f>
        <v>0</v>
      </c>
      <c r="C30" s="366">
        <f t="shared" ref="C30:I30" si="4">C18+C24</f>
        <v>0</v>
      </c>
      <c r="D30" s="366">
        <f t="shared" si="4"/>
        <v>0</v>
      </c>
      <c r="E30" s="366">
        <f t="shared" si="4"/>
        <v>0</v>
      </c>
      <c r="F30" s="366">
        <f t="shared" si="4"/>
        <v>0</v>
      </c>
      <c r="G30" s="366">
        <f t="shared" si="4"/>
        <v>0</v>
      </c>
      <c r="H30" s="366">
        <f t="shared" si="4"/>
        <v>0</v>
      </c>
      <c r="I30" s="366">
        <f t="shared" si="4"/>
        <v>0</v>
      </c>
    </row>
    <row r="32" spans="1:9" ht="18.600000000000001" customHeight="1">
      <c r="A32" s="477" t="s">
        <v>411</v>
      </c>
      <c r="B32" s="477"/>
      <c r="C32" s="477"/>
      <c r="D32" s="477"/>
      <c r="E32" s="477"/>
      <c r="F32" s="477"/>
      <c r="G32" s="477"/>
      <c r="H32" s="477"/>
      <c r="I32" s="477"/>
    </row>
    <row r="33" spans="1:9" ht="30.6" customHeight="1">
      <c r="A33" s="510" t="s">
        <v>387</v>
      </c>
      <c r="B33" s="510" t="s">
        <v>391</v>
      </c>
      <c r="C33" s="510" t="s">
        <v>392</v>
      </c>
      <c r="D33" s="510" t="s">
        <v>393</v>
      </c>
      <c r="E33" s="510" t="s">
        <v>394</v>
      </c>
      <c r="F33" s="510"/>
      <c r="G33" s="510"/>
    </row>
    <row r="34" spans="1:9" ht="29.45" customHeight="1">
      <c r="A34" s="484"/>
      <c r="B34" s="484"/>
      <c r="C34" s="484"/>
      <c r="D34" s="484"/>
      <c r="E34" s="351" t="s">
        <v>388</v>
      </c>
      <c r="F34" s="352" t="s">
        <v>389</v>
      </c>
      <c r="G34" s="352" t="s">
        <v>390</v>
      </c>
    </row>
    <row r="35" spans="1:9">
      <c r="A35" s="353" t="s">
        <v>428</v>
      </c>
      <c r="B35" s="354"/>
      <c r="C35" s="354"/>
      <c r="D35" s="354"/>
      <c r="E35" s="355">
        <f>F35+G35</f>
        <v>0</v>
      </c>
      <c r="F35" s="354"/>
      <c r="G35" s="354"/>
    </row>
    <row r="36" spans="1:9">
      <c r="A36" s="350" t="s">
        <v>429</v>
      </c>
      <c r="B36" s="346"/>
      <c r="C36" s="346"/>
      <c r="D36" s="346"/>
      <c r="E36" s="342">
        <f>F36+G36</f>
        <v>0</v>
      </c>
      <c r="F36" s="346"/>
      <c r="G36" s="346"/>
    </row>
    <row r="37" spans="1:9" ht="15.6" customHeight="1">
      <c r="A37" s="344" t="s">
        <v>379</v>
      </c>
      <c r="B37" s="348"/>
      <c r="C37" s="349">
        <f>C35+C36</f>
        <v>0</v>
      </c>
      <c r="D37" s="349"/>
      <c r="E37" s="349">
        <f t="shared" ref="E37:G37" si="5">E35+E36</f>
        <v>0</v>
      </c>
      <c r="F37" s="349">
        <f t="shared" si="5"/>
        <v>0</v>
      </c>
      <c r="G37" s="349">
        <f t="shared" si="5"/>
        <v>0</v>
      </c>
    </row>
    <row r="39" spans="1:9" ht="32.450000000000003" customHeight="1">
      <c r="A39" s="491" t="s">
        <v>412</v>
      </c>
      <c r="B39" s="491"/>
      <c r="C39" s="491"/>
      <c r="D39" s="491"/>
      <c r="E39" s="491"/>
      <c r="F39" s="491"/>
      <c r="G39" s="491"/>
      <c r="H39" s="491"/>
      <c r="I39" s="491"/>
    </row>
    <row r="40" spans="1:9" ht="47.25">
      <c r="A40" s="339" t="s">
        <v>395</v>
      </c>
      <c r="B40" s="339" t="s">
        <v>396</v>
      </c>
      <c r="C40" s="339" t="s">
        <v>397</v>
      </c>
      <c r="D40" s="339" t="s">
        <v>398</v>
      </c>
      <c r="E40" s="339" t="s">
        <v>399</v>
      </c>
      <c r="F40" s="501" t="s">
        <v>400</v>
      </c>
      <c r="G40" s="495"/>
    </row>
    <row r="41" spans="1:9">
      <c r="A41" s="357" t="s">
        <v>430</v>
      </c>
      <c r="B41" s="358"/>
      <c r="C41" s="358"/>
      <c r="D41" s="358"/>
      <c r="E41" s="358"/>
      <c r="F41" s="511"/>
      <c r="G41" s="512"/>
    </row>
    <row r="43" spans="1:9" ht="32.450000000000003" customHeight="1">
      <c r="A43" s="491" t="s">
        <v>413</v>
      </c>
      <c r="B43" s="491"/>
      <c r="C43" s="491"/>
      <c r="D43" s="491"/>
      <c r="E43" s="491"/>
      <c r="F43" s="491"/>
      <c r="G43" s="491"/>
      <c r="H43" s="491"/>
      <c r="I43" s="491"/>
    </row>
    <row r="44" spans="1:9" ht="24.6" customHeight="1">
      <c r="A44" s="351" t="s">
        <v>401</v>
      </c>
      <c r="B44" s="480" t="s">
        <v>402</v>
      </c>
      <c r="C44" s="481"/>
      <c r="D44" s="482"/>
      <c r="E44" s="484" t="s">
        <v>403</v>
      </c>
      <c r="F44" s="484"/>
      <c r="G44" s="484"/>
      <c r="H44" s="484" t="s">
        <v>404</v>
      </c>
      <c r="I44" s="484"/>
    </row>
    <row r="45" spans="1:9" ht="29.45" customHeight="1">
      <c r="A45" s="368" t="s">
        <v>428</v>
      </c>
      <c r="B45" s="483"/>
      <c r="C45" s="483"/>
      <c r="D45" s="483"/>
      <c r="E45" s="483"/>
      <c r="F45" s="483"/>
      <c r="G45" s="483"/>
      <c r="H45" s="485" t="s">
        <v>405</v>
      </c>
      <c r="I45" s="485"/>
    </row>
    <row r="46" spans="1:9" ht="29.45" customHeight="1">
      <c r="A46" s="356" t="s">
        <v>429</v>
      </c>
      <c r="B46" s="478"/>
      <c r="C46" s="478"/>
      <c r="D46" s="478"/>
      <c r="E46" s="478"/>
      <c r="F46" s="478"/>
      <c r="G46" s="478"/>
      <c r="H46" s="479" t="s">
        <v>405</v>
      </c>
      <c r="I46" s="479"/>
    </row>
    <row r="48" spans="1:9" ht="31.9" customHeight="1">
      <c r="A48" s="491" t="s">
        <v>449</v>
      </c>
      <c r="B48" s="491"/>
      <c r="C48" s="491"/>
      <c r="D48" s="491"/>
      <c r="E48" s="491"/>
      <c r="F48" s="491"/>
      <c r="G48" s="491"/>
      <c r="H48" s="491"/>
      <c r="I48" s="491"/>
    </row>
    <row r="49" spans="1:6" ht="30.75" customHeight="1">
      <c r="A49" s="339" t="s">
        <v>406</v>
      </c>
      <c r="B49" s="484" t="s">
        <v>451</v>
      </c>
      <c r="C49" s="484"/>
      <c r="D49" s="501" t="s">
        <v>452</v>
      </c>
      <c r="E49" s="494"/>
      <c r="F49" s="398"/>
    </row>
    <row r="50" spans="1:6" ht="29.25" customHeight="1">
      <c r="A50" s="394" t="s">
        <v>450</v>
      </c>
      <c r="B50" s="513"/>
      <c r="C50" s="513"/>
      <c r="D50" s="514"/>
      <c r="E50" s="515"/>
      <c r="F50" s="399"/>
    </row>
    <row r="51" spans="1:6" ht="20.25" customHeight="1">
      <c r="A51" s="395" t="s">
        <v>453</v>
      </c>
      <c r="B51" s="486"/>
      <c r="C51" s="486"/>
      <c r="D51" s="488"/>
      <c r="E51" s="489"/>
      <c r="F51" s="399"/>
    </row>
    <row r="52" spans="1:6" ht="20.25" customHeight="1">
      <c r="A52" s="395" t="s">
        <v>454</v>
      </c>
      <c r="B52" s="486"/>
      <c r="C52" s="486"/>
      <c r="D52" s="488"/>
      <c r="E52" s="489"/>
      <c r="F52" s="399"/>
    </row>
    <row r="53" spans="1:6" ht="20.25" customHeight="1">
      <c r="A53" s="395" t="s">
        <v>455</v>
      </c>
      <c r="B53" s="486"/>
      <c r="C53" s="486"/>
      <c r="D53" s="488"/>
      <c r="E53" s="489"/>
      <c r="F53" s="399"/>
    </row>
    <row r="54" spans="1:6" ht="20.25" customHeight="1">
      <c r="A54" s="395" t="s">
        <v>456</v>
      </c>
      <c r="B54" s="486"/>
      <c r="C54" s="486"/>
      <c r="D54" s="488"/>
      <c r="E54" s="489"/>
      <c r="F54" s="399"/>
    </row>
    <row r="55" spans="1:6" ht="30.75" customHeight="1">
      <c r="A55" s="396" t="s">
        <v>457</v>
      </c>
      <c r="B55" s="490"/>
      <c r="C55" s="490"/>
      <c r="D55" s="488"/>
      <c r="E55" s="489"/>
      <c r="F55" s="399"/>
    </row>
    <row r="56" spans="1:6" ht="20.25" customHeight="1">
      <c r="A56" s="395" t="s">
        <v>453</v>
      </c>
      <c r="B56" s="486"/>
      <c r="C56" s="486"/>
      <c r="D56" s="488"/>
      <c r="E56" s="489"/>
      <c r="F56" s="399"/>
    </row>
    <row r="57" spans="1:6" ht="20.25" customHeight="1">
      <c r="A57" s="395" t="s">
        <v>454</v>
      </c>
      <c r="B57" s="486"/>
      <c r="C57" s="486"/>
      <c r="D57" s="488"/>
      <c r="E57" s="489"/>
      <c r="F57" s="399"/>
    </row>
    <row r="58" spans="1:6" ht="20.25" customHeight="1">
      <c r="A58" s="395" t="s">
        <v>455</v>
      </c>
      <c r="B58" s="486"/>
      <c r="C58" s="486"/>
      <c r="D58" s="488"/>
      <c r="E58" s="489"/>
      <c r="F58" s="399"/>
    </row>
    <row r="59" spans="1:6" ht="20.25" customHeight="1">
      <c r="A59" s="395" t="s">
        <v>456</v>
      </c>
      <c r="B59" s="486"/>
      <c r="C59" s="486"/>
      <c r="D59" s="488"/>
      <c r="E59" s="489"/>
      <c r="F59" s="399"/>
    </row>
    <row r="60" spans="1:6" ht="30" customHeight="1">
      <c r="A60" s="396" t="s">
        <v>458</v>
      </c>
      <c r="B60" s="490"/>
      <c r="C60" s="490"/>
      <c r="D60" s="488"/>
      <c r="E60" s="489"/>
      <c r="F60" s="399"/>
    </row>
    <row r="61" spans="1:6" ht="20.25" customHeight="1">
      <c r="A61" s="395" t="s">
        <v>459</v>
      </c>
      <c r="B61" s="486"/>
      <c r="C61" s="486"/>
      <c r="D61" s="488"/>
      <c r="E61" s="489"/>
      <c r="F61" s="399"/>
    </row>
    <row r="62" spans="1:6" ht="20.25" customHeight="1">
      <c r="A62" s="395" t="s">
        <v>460</v>
      </c>
      <c r="B62" s="486"/>
      <c r="C62" s="486"/>
      <c r="D62" s="488"/>
      <c r="E62" s="489"/>
      <c r="F62" s="399"/>
    </row>
    <row r="63" spans="1:6" ht="20.25" customHeight="1">
      <c r="A63" s="395" t="s">
        <v>461</v>
      </c>
      <c r="B63" s="486"/>
      <c r="C63" s="486"/>
      <c r="D63" s="488"/>
      <c r="E63" s="489"/>
      <c r="F63" s="399"/>
    </row>
    <row r="64" spans="1:6" ht="33" customHeight="1">
      <c r="A64" s="396" t="s">
        <v>462</v>
      </c>
      <c r="B64" s="490"/>
      <c r="C64" s="490"/>
      <c r="D64" s="488"/>
      <c r="E64" s="489"/>
      <c r="F64" s="399"/>
    </row>
    <row r="65" spans="1:9" ht="20.25" customHeight="1">
      <c r="A65" s="395" t="s">
        <v>463</v>
      </c>
      <c r="B65" s="486"/>
      <c r="C65" s="486"/>
      <c r="D65" s="488"/>
      <c r="E65" s="489"/>
      <c r="F65" s="399"/>
    </row>
    <row r="66" spans="1:9" ht="20.25" customHeight="1">
      <c r="A66" s="395" t="s">
        <v>464</v>
      </c>
      <c r="B66" s="486"/>
      <c r="C66" s="486"/>
      <c r="D66" s="488"/>
      <c r="E66" s="489"/>
      <c r="F66" s="399"/>
    </row>
    <row r="67" spans="1:9" ht="20.25" customHeight="1">
      <c r="A67" s="395" t="s">
        <v>461</v>
      </c>
      <c r="B67" s="486"/>
      <c r="C67" s="486"/>
      <c r="D67" s="488"/>
      <c r="E67" s="489"/>
      <c r="F67" s="399"/>
    </row>
    <row r="68" spans="1:9" ht="20.25" customHeight="1">
      <c r="A68" s="396" t="s">
        <v>465</v>
      </c>
      <c r="B68" s="486"/>
      <c r="C68" s="486"/>
      <c r="D68" s="488"/>
      <c r="E68" s="489"/>
      <c r="F68" s="399"/>
    </row>
    <row r="69" spans="1:9" ht="20.25" customHeight="1">
      <c r="A69" s="397" t="s">
        <v>466</v>
      </c>
      <c r="B69" s="487"/>
      <c r="C69" s="487"/>
      <c r="D69" s="516"/>
      <c r="E69" s="517"/>
      <c r="F69" s="399"/>
    </row>
    <row r="70" spans="1:9" ht="20.25" customHeight="1">
      <c r="A70" s="403"/>
      <c r="B70" s="393"/>
      <c r="C70" s="393"/>
      <c r="D70" s="404"/>
      <c r="E70" s="404"/>
      <c r="F70" s="405"/>
    </row>
    <row r="71" spans="1:9">
      <c r="A71" s="477" t="s">
        <v>414</v>
      </c>
      <c r="B71" s="477"/>
      <c r="C71" s="477"/>
      <c r="D71" s="477"/>
      <c r="E71" s="477"/>
      <c r="F71" s="477"/>
      <c r="G71" s="477"/>
      <c r="H71" s="477"/>
      <c r="I71" s="477"/>
    </row>
    <row r="72" spans="1:9">
      <c r="A72" s="400" t="s">
        <v>406</v>
      </c>
      <c r="B72" s="473" t="s">
        <v>407</v>
      </c>
      <c r="C72" s="474"/>
      <c r="D72" s="473" t="s">
        <v>408</v>
      </c>
      <c r="E72" s="474"/>
    </row>
    <row r="73" spans="1:9">
      <c r="A73" s="401" t="s">
        <v>467</v>
      </c>
      <c r="B73" s="469">
        <v>0</v>
      </c>
      <c r="C73" s="470"/>
      <c r="D73" s="469"/>
      <c r="E73" s="470"/>
    </row>
    <row r="74" spans="1:9">
      <c r="A74" s="401" t="s">
        <v>468</v>
      </c>
      <c r="B74" s="475"/>
      <c r="C74" s="476"/>
      <c r="D74" s="469"/>
      <c r="E74" s="470"/>
    </row>
    <row r="75" spans="1:9">
      <c r="A75" s="401" t="s">
        <v>469</v>
      </c>
      <c r="B75" s="475"/>
      <c r="C75" s="476"/>
      <c r="D75" s="469"/>
      <c r="E75" s="470"/>
    </row>
    <row r="76" spans="1:9">
      <c r="A76" s="401" t="s">
        <v>470</v>
      </c>
      <c r="B76" s="475"/>
      <c r="C76" s="476"/>
      <c r="D76" s="469"/>
      <c r="E76" s="470"/>
    </row>
    <row r="77" spans="1:9">
      <c r="A77" s="401" t="s">
        <v>471</v>
      </c>
      <c r="B77" s="469">
        <v>0</v>
      </c>
      <c r="C77" s="470"/>
      <c r="D77" s="469"/>
      <c r="E77" s="470"/>
    </row>
    <row r="78" spans="1:9">
      <c r="A78" s="401" t="s">
        <v>472</v>
      </c>
      <c r="B78" s="469"/>
      <c r="C78" s="470"/>
      <c r="D78" s="469"/>
      <c r="E78" s="470"/>
    </row>
    <row r="79" spans="1:9">
      <c r="A79" s="401" t="s">
        <v>473</v>
      </c>
      <c r="B79" s="469"/>
      <c r="C79" s="470"/>
      <c r="D79" s="469"/>
      <c r="E79" s="470"/>
    </row>
    <row r="80" spans="1:9">
      <c r="A80" s="401" t="s">
        <v>474</v>
      </c>
      <c r="B80" s="469"/>
      <c r="C80" s="470"/>
      <c r="D80" s="469"/>
      <c r="E80" s="470"/>
    </row>
    <row r="81" spans="1:5">
      <c r="A81" s="401" t="s">
        <v>475</v>
      </c>
      <c r="B81" s="469"/>
      <c r="C81" s="470"/>
      <c r="D81" s="469"/>
      <c r="E81" s="470"/>
    </row>
    <row r="82" spans="1:5">
      <c r="A82" s="401" t="s">
        <v>476</v>
      </c>
      <c r="B82" s="469"/>
      <c r="C82" s="470"/>
      <c r="D82" s="469"/>
      <c r="E82" s="470"/>
    </row>
    <row r="83" spans="1:5">
      <c r="A83" s="402" t="s">
        <v>477</v>
      </c>
      <c r="B83" s="471">
        <v>0</v>
      </c>
      <c r="C83" s="472"/>
      <c r="D83" s="471"/>
      <c r="E83" s="472"/>
    </row>
  </sheetData>
  <mergeCells count="119">
    <mergeCell ref="D69:E69"/>
    <mergeCell ref="D59:E59"/>
    <mergeCell ref="D60:E60"/>
    <mergeCell ref="D61:E61"/>
    <mergeCell ref="D62:E62"/>
    <mergeCell ref="D63:E63"/>
    <mergeCell ref="D65:E65"/>
    <mergeCell ref="D66:E66"/>
    <mergeCell ref="D67:E67"/>
    <mergeCell ref="D58:E58"/>
    <mergeCell ref="F40:G40"/>
    <mergeCell ref="F41:G41"/>
    <mergeCell ref="B49:C49"/>
    <mergeCell ref="B50:C50"/>
    <mergeCell ref="B51:C51"/>
    <mergeCell ref="A48:I48"/>
    <mergeCell ref="B61:C61"/>
    <mergeCell ref="B62:C62"/>
    <mergeCell ref="B55:C55"/>
    <mergeCell ref="B56:C56"/>
    <mergeCell ref="B57:C57"/>
    <mergeCell ref="B60:C60"/>
    <mergeCell ref="D49:E49"/>
    <mergeCell ref="D50:E50"/>
    <mergeCell ref="D51:E51"/>
    <mergeCell ref="D52:E52"/>
    <mergeCell ref="D53:E53"/>
    <mergeCell ref="D54:E54"/>
    <mergeCell ref="D55:E55"/>
    <mergeCell ref="D56:E56"/>
    <mergeCell ref="D57:E57"/>
    <mergeCell ref="B9:C9"/>
    <mergeCell ref="B10:C10"/>
    <mergeCell ref="B11:C11"/>
    <mergeCell ref="B12:C12"/>
    <mergeCell ref="G16:H16"/>
    <mergeCell ref="I16:I17"/>
    <mergeCell ref="E33:G33"/>
    <mergeCell ref="A16:A17"/>
    <mergeCell ref="B16:B17"/>
    <mergeCell ref="C16:D16"/>
    <mergeCell ref="E16:F16"/>
    <mergeCell ref="A33:A34"/>
    <mergeCell ref="B33:B34"/>
    <mergeCell ref="C33:C34"/>
    <mergeCell ref="D33:D34"/>
    <mergeCell ref="A15:I15"/>
    <mergeCell ref="A1:I1"/>
    <mergeCell ref="A32:I32"/>
    <mergeCell ref="A39:I39"/>
    <mergeCell ref="A43:I43"/>
    <mergeCell ref="B13:C13"/>
    <mergeCell ref="D2:E2"/>
    <mergeCell ref="D3:E3"/>
    <mergeCell ref="D4:E4"/>
    <mergeCell ref="D5:E5"/>
    <mergeCell ref="D6:E6"/>
    <mergeCell ref="D7:E7"/>
    <mergeCell ref="D8:E8"/>
    <mergeCell ref="D9:E9"/>
    <mergeCell ref="D10:E10"/>
    <mergeCell ref="D11:E11"/>
    <mergeCell ref="D12:E12"/>
    <mergeCell ref="D13:E13"/>
    <mergeCell ref="B2:C2"/>
    <mergeCell ref="B3:C3"/>
    <mergeCell ref="B4:C4"/>
    <mergeCell ref="B5:C5"/>
    <mergeCell ref="B6:C6"/>
    <mergeCell ref="B7:C7"/>
    <mergeCell ref="B8:C8"/>
    <mergeCell ref="A71:I71"/>
    <mergeCell ref="E46:G46"/>
    <mergeCell ref="H46:I46"/>
    <mergeCell ref="B44:D44"/>
    <mergeCell ref="B45:D45"/>
    <mergeCell ref="B46:D46"/>
    <mergeCell ref="E44:G44"/>
    <mergeCell ref="H44:I44"/>
    <mergeCell ref="E45:G45"/>
    <mergeCell ref="H45:I45"/>
    <mergeCell ref="B52:C52"/>
    <mergeCell ref="B53:C53"/>
    <mergeCell ref="B54:C54"/>
    <mergeCell ref="B58:C58"/>
    <mergeCell ref="B59:C59"/>
    <mergeCell ref="B68:C68"/>
    <mergeCell ref="B69:C69"/>
    <mergeCell ref="D68:E68"/>
    <mergeCell ref="B63:C63"/>
    <mergeCell ref="B64:C64"/>
    <mergeCell ref="B65:C65"/>
    <mergeCell ref="B66:C66"/>
    <mergeCell ref="B67:C67"/>
    <mergeCell ref="D64:E64"/>
    <mergeCell ref="B82:C82"/>
    <mergeCell ref="B83:C83"/>
    <mergeCell ref="D72:E72"/>
    <mergeCell ref="D73:E73"/>
    <mergeCell ref="D74:E74"/>
    <mergeCell ref="D75:E75"/>
    <mergeCell ref="D76:E76"/>
    <mergeCell ref="D77:E77"/>
    <mergeCell ref="D78:E78"/>
    <mergeCell ref="D79:E79"/>
    <mergeCell ref="D80:E80"/>
    <mergeCell ref="D81:E81"/>
    <mergeCell ref="D82:E82"/>
    <mergeCell ref="D83:E83"/>
    <mergeCell ref="B77:C77"/>
    <mergeCell ref="B78:C78"/>
    <mergeCell ref="B79:C79"/>
    <mergeCell ref="B80:C80"/>
    <mergeCell ref="B81:C81"/>
    <mergeCell ref="B72:C72"/>
    <mergeCell ref="B73:C73"/>
    <mergeCell ref="B74:C74"/>
    <mergeCell ref="B75:C75"/>
    <mergeCell ref="B76:C76"/>
  </mergeCells>
  <dataValidations count="7">
    <dataValidation allowBlank="1" showInputMessage="1" showErrorMessage="1" promptTitle="Lưu ý" prompt="Nhập và bổ sung thông tin khách háng liên quan, chính sủa lại công thức tính toán, nếu cần trước khi sao chép sang nội dung tương úng của báo cáo thẩm định." sqref="A32"/>
    <dataValidation allowBlank="1" showInputMessage="1" showErrorMessage="1" promptTitle="Lưu ý" prompt="Nhập và bổ sung dữ liệu liên quan tại các chi nhánh (nếu có), chính sủa lại công thức tính toán, (nếu cần) trước khi sao chép sang nội dung điểm tương ứng báo cáo thẩm định." sqref="A1"/>
    <dataValidation allowBlank="1" showInputMessage="1" showErrorMessage="1" promptTitle="Lưu ý" prompt="Nhập và bổ sung dữ liệu liên quan tại các chi nhánh (nếu phát sịnh), chính sửa lại công thức tính toán, (nếu cần) trước khi sao chép sang nội dung điểm tương ứng báo cáo thẩm định. Trường hợp lề trang bị tràn có thể chỉnh sửa trong Word đễ dàng." sqref="A15"/>
    <dataValidation allowBlank="1" showInputMessage="1" showErrorMessage="1" promptTitle="Lưu ý" prompt="Nhập thông tin theo đúng nội dung chấm điểm kỳ trước liền kề, bổ sung nếu có đánh giá từ 02 Chi nhánh." sqref="A39"/>
    <dataValidation allowBlank="1" showInputMessage="1" showErrorMessage="1" promptTitle="Lưu ý" prompt="Nhập thông tin theo đúng tình hình thực hiện nội dung cấp tín dụng theo các thông báo, kết quả phê duyệt vượt quyền trước đó (nếu có), chỉnh sửa lại nội dụng cho đúng (nếu cần) trước khi sao chép sang báo cáo thẩm định." sqref="A43"/>
    <dataValidation allowBlank="1" showInputMessage="1" showErrorMessage="1" promptTitle="Lưu ý" prompt="Nhập dữ liệu theo đúng thực trạng khách hàng phát sinh trong kỳ trên hệ thống quản lý IPCAS, Lập lại công thức cho đúng (nếu cần) trước khi sao chép sang báo cáo thẩm định." sqref="A48"/>
    <dataValidation allowBlank="1" showInputMessage="1" showErrorMessage="1" promptTitle="Lưu ý" prompt="Nhập dữ liệu theo đúng PASDV; Thêm các nội dung, đội tượng vay nếu thiếu, Lập lại công thức cho đúng (Nếu cần)" sqref="A71"/>
  </dataValidations>
  <pageMargins left="0.55000000000000004" right="0.22" top="0.56000000000000005" bottom="0.61" header="0.33" footer="0.3"/>
  <pageSetup orientation="portrait" r:id="rId1"/>
  <drawing r:id="rId2"/>
</worksheet>
</file>

<file path=xl/worksheets/sheet11.xml><?xml version="1.0" encoding="utf-8"?>
<worksheet xmlns="http://schemas.openxmlformats.org/spreadsheetml/2006/main" xmlns:r="http://schemas.openxmlformats.org/officeDocument/2006/relationships">
  <sheetPr codeName="Trang_tính5">
    <tabColor rgb="FFFF0000"/>
  </sheetPr>
  <dimension ref="A1:D34"/>
  <sheetViews>
    <sheetView workbookViewId="0"/>
  </sheetViews>
  <sheetFormatPr defaultRowHeight="12.75"/>
  <cols>
    <col min="1" max="1" width="4.85546875" customWidth="1"/>
    <col min="2" max="2" width="39.28515625" customWidth="1"/>
    <col min="3" max="3" width="17.42578125" customWidth="1"/>
    <col min="4" max="4" width="17.85546875" customWidth="1"/>
  </cols>
  <sheetData>
    <row r="1" spans="1:4" ht="31.5">
      <c r="A1" s="369" t="s">
        <v>0</v>
      </c>
      <c r="B1" s="369" t="s">
        <v>185</v>
      </c>
      <c r="C1" s="369" t="s">
        <v>72</v>
      </c>
      <c r="D1" s="369" t="s">
        <v>186</v>
      </c>
    </row>
    <row r="2" spans="1:4" ht="15.75">
      <c r="A2" s="181" t="s">
        <v>4</v>
      </c>
      <c r="B2" s="182" t="s">
        <v>187</v>
      </c>
      <c r="C2" s="183"/>
      <c r="D2" s="184"/>
    </row>
    <row r="3" spans="1:4" ht="15.75">
      <c r="A3" s="185" t="s">
        <v>1</v>
      </c>
      <c r="B3" s="186" t="s">
        <v>188</v>
      </c>
      <c r="C3" s="201">
        <f>CĐKT!G69</f>
        <v>7885450</v>
      </c>
      <c r="D3" s="187"/>
    </row>
    <row r="4" spans="1:4" ht="15.75">
      <c r="A4" s="185">
        <v>1</v>
      </c>
      <c r="B4" s="186" t="s">
        <v>189</v>
      </c>
      <c r="C4" s="201">
        <f>CĐKT!G7</f>
        <v>4127123</v>
      </c>
      <c r="D4" s="187"/>
    </row>
    <row r="5" spans="1:4" ht="15.75">
      <c r="A5" s="188" t="s">
        <v>190</v>
      </c>
      <c r="B5" s="189" t="s">
        <v>191</v>
      </c>
      <c r="C5" s="202">
        <f>CĐKT!G8</f>
        <v>396214</v>
      </c>
      <c r="D5" s="187"/>
    </row>
    <row r="6" spans="1:4" ht="15.75">
      <c r="A6" s="188" t="s">
        <v>190</v>
      </c>
      <c r="B6" s="189" t="s">
        <v>34</v>
      </c>
      <c r="C6" s="202">
        <f>CĐKT!G15</f>
        <v>938461</v>
      </c>
      <c r="D6" s="187"/>
    </row>
    <row r="7" spans="1:4" ht="15.75">
      <c r="A7" s="188" t="s">
        <v>190</v>
      </c>
      <c r="B7" s="189" t="s">
        <v>35</v>
      </c>
      <c r="C7" s="202">
        <f>CĐKT!G24</f>
        <v>2616859</v>
      </c>
      <c r="D7" s="187"/>
    </row>
    <row r="8" spans="1:4" ht="15.75">
      <c r="A8" s="188" t="s">
        <v>190</v>
      </c>
      <c r="B8" s="189" t="s">
        <v>33</v>
      </c>
      <c r="C8" s="202">
        <f>CĐKT!G11</f>
        <v>0</v>
      </c>
      <c r="D8" s="187"/>
    </row>
    <row r="9" spans="1:4" ht="15.75">
      <c r="A9" s="188" t="s">
        <v>190</v>
      </c>
      <c r="B9" s="189" t="s">
        <v>36</v>
      </c>
      <c r="C9" s="202">
        <f>CĐKT!G27</f>
        <v>175589</v>
      </c>
      <c r="D9" s="187"/>
    </row>
    <row r="10" spans="1:4" ht="15.75">
      <c r="A10" s="185">
        <v>2</v>
      </c>
      <c r="B10" s="186" t="s">
        <v>192</v>
      </c>
      <c r="C10" s="201">
        <f>CĐKT!G33</f>
        <v>3758327</v>
      </c>
      <c r="D10" s="187"/>
    </row>
    <row r="11" spans="1:4" ht="15.75">
      <c r="A11" s="188" t="s">
        <v>190</v>
      </c>
      <c r="B11" s="189" t="s">
        <v>37</v>
      </c>
      <c r="C11" s="202">
        <f>CĐKT!G42</f>
        <v>2130366</v>
      </c>
      <c r="D11" s="187"/>
    </row>
    <row r="12" spans="1:4" ht="15.75">
      <c r="A12" s="188" t="s">
        <v>190</v>
      </c>
      <c r="B12" s="189" t="s">
        <v>193</v>
      </c>
      <c r="C12" s="202">
        <f>CĐKT!G34+CĐKT!G52+CĐKT!G55+CĐKT!G58+CĐKT!G64</f>
        <v>1627961</v>
      </c>
      <c r="D12" s="187"/>
    </row>
    <row r="13" spans="1:4" ht="15.75">
      <c r="A13" s="185" t="s">
        <v>2</v>
      </c>
      <c r="B13" s="186" t="s">
        <v>194</v>
      </c>
      <c r="C13" s="201">
        <f>CĐKT!G120</f>
        <v>7885447</v>
      </c>
      <c r="D13" s="187"/>
    </row>
    <row r="14" spans="1:4" ht="15.75">
      <c r="A14" s="185">
        <v>1</v>
      </c>
      <c r="B14" s="186" t="s">
        <v>195</v>
      </c>
      <c r="C14" s="201">
        <f>CĐKT!G71</f>
        <v>3886032</v>
      </c>
      <c r="D14" s="187"/>
    </row>
    <row r="15" spans="1:4" ht="15.75">
      <c r="A15" s="185">
        <v>1.1000000000000001</v>
      </c>
      <c r="B15" s="186" t="s">
        <v>196</v>
      </c>
      <c r="C15" s="201">
        <f>CĐKT!G72</f>
        <v>3211103</v>
      </c>
      <c r="D15" s="187"/>
    </row>
    <row r="16" spans="1:4" ht="15.75">
      <c r="A16" s="188" t="s">
        <v>190</v>
      </c>
      <c r="B16" s="189" t="s">
        <v>197</v>
      </c>
      <c r="C16" s="202">
        <f>CĐKT!G82</f>
        <v>2837818</v>
      </c>
      <c r="D16" s="187"/>
    </row>
    <row r="17" spans="1:4" ht="15.75">
      <c r="A17" s="188" t="s">
        <v>198</v>
      </c>
      <c r="B17" s="189" t="s">
        <v>199</v>
      </c>
      <c r="C17" s="190"/>
      <c r="D17" s="187"/>
    </row>
    <row r="18" spans="1:4" ht="15.75">
      <c r="A18" s="188" t="s">
        <v>198</v>
      </c>
      <c r="B18" s="189" t="s">
        <v>200</v>
      </c>
      <c r="C18" s="190"/>
      <c r="D18" s="187"/>
    </row>
    <row r="19" spans="1:4" ht="15.75">
      <c r="A19" s="188" t="s">
        <v>201</v>
      </c>
      <c r="B19" s="189" t="s">
        <v>202</v>
      </c>
      <c r="C19" s="202">
        <v>373285</v>
      </c>
      <c r="D19" s="187"/>
    </row>
    <row r="20" spans="1:4" ht="15.75">
      <c r="A20" s="188" t="s">
        <v>198</v>
      </c>
      <c r="B20" s="189" t="s">
        <v>203</v>
      </c>
      <c r="C20" s="190"/>
      <c r="D20" s="187"/>
    </row>
    <row r="21" spans="1:4" ht="15.75">
      <c r="A21" s="188" t="s">
        <v>198</v>
      </c>
      <c r="B21" s="189" t="s">
        <v>204</v>
      </c>
      <c r="C21" s="190"/>
      <c r="D21" s="187"/>
    </row>
    <row r="22" spans="1:4" ht="15.75">
      <c r="A22" s="185">
        <v>1.2</v>
      </c>
      <c r="B22" s="186" t="s">
        <v>205</v>
      </c>
      <c r="C22" s="201">
        <f>CĐKT!G87</f>
        <v>674929</v>
      </c>
      <c r="D22" s="187"/>
    </row>
    <row r="23" spans="1:4" ht="15.75">
      <c r="A23" s="188" t="s">
        <v>190</v>
      </c>
      <c r="B23" s="189" t="s">
        <v>206</v>
      </c>
      <c r="C23" s="202">
        <f>CĐKT!G95</f>
        <v>90194</v>
      </c>
      <c r="D23" s="187"/>
    </row>
    <row r="24" spans="1:4" ht="15.75">
      <c r="A24" s="188" t="s">
        <v>198</v>
      </c>
      <c r="B24" s="189" t="s">
        <v>207</v>
      </c>
      <c r="C24" s="190"/>
      <c r="D24" s="187"/>
    </row>
    <row r="25" spans="1:4" ht="15.75">
      <c r="A25" s="188" t="s">
        <v>198</v>
      </c>
      <c r="B25" s="189" t="s">
        <v>208</v>
      </c>
      <c r="C25" s="190"/>
      <c r="D25" s="187"/>
    </row>
    <row r="26" spans="1:4" ht="15.75">
      <c r="A26" s="188" t="s">
        <v>190</v>
      </c>
      <c r="B26" s="189" t="s">
        <v>209</v>
      </c>
      <c r="C26" s="202">
        <v>584735</v>
      </c>
      <c r="D26" s="187"/>
    </row>
    <row r="27" spans="1:4" ht="15.75">
      <c r="A27" s="185">
        <v>2</v>
      </c>
      <c r="B27" s="186" t="s">
        <v>210</v>
      </c>
      <c r="C27" s="201">
        <f>CĐKT!G101</f>
        <v>3999415</v>
      </c>
      <c r="D27" s="187"/>
    </row>
    <row r="28" spans="1:4" ht="15.75">
      <c r="A28" s="188" t="s">
        <v>198</v>
      </c>
      <c r="B28" s="189" t="s">
        <v>211</v>
      </c>
      <c r="C28" s="202">
        <f>CĐKT!G103</f>
        <v>2831177</v>
      </c>
      <c r="D28" s="187"/>
    </row>
    <row r="29" spans="1:4" ht="15.75">
      <c r="A29" s="188" t="s">
        <v>198</v>
      </c>
      <c r="B29" s="189" t="s">
        <v>212</v>
      </c>
      <c r="C29" s="202">
        <f>CĐKT!G113</f>
        <v>-798479</v>
      </c>
      <c r="D29" s="187"/>
    </row>
    <row r="30" spans="1:4" ht="15.75">
      <c r="A30" s="188" t="s">
        <v>198</v>
      </c>
      <c r="B30" s="189" t="s">
        <v>213</v>
      </c>
      <c r="C30" s="202">
        <v>1966717</v>
      </c>
      <c r="D30" s="187"/>
    </row>
    <row r="31" spans="1:4" ht="15.75">
      <c r="A31" s="185" t="s">
        <v>5</v>
      </c>
      <c r="B31" s="191" t="s">
        <v>214</v>
      </c>
      <c r="C31" s="189"/>
      <c r="D31" s="187"/>
    </row>
    <row r="32" spans="1:4" ht="15.75">
      <c r="A32" s="188">
        <v>1</v>
      </c>
      <c r="B32" s="189" t="s">
        <v>215</v>
      </c>
      <c r="C32" s="202">
        <f>'KQKD-Word'!G8</f>
        <v>9951410</v>
      </c>
      <c r="D32" s="187"/>
    </row>
    <row r="33" spans="1:4" ht="15.75">
      <c r="A33" s="188">
        <v>2</v>
      </c>
      <c r="B33" s="189" t="s">
        <v>216</v>
      </c>
      <c r="C33" s="202">
        <v>9790031</v>
      </c>
      <c r="D33" s="187"/>
    </row>
    <row r="34" spans="1:4" ht="15.75">
      <c r="A34" s="192">
        <v>3</v>
      </c>
      <c r="B34" s="193" t="s">
        <v>217</v>
      </c>
      <c r="C34" s="203">
        <f>'KQKD-Word'!G20</f>
        <v>161379</v>
      </c>
      <c r="D34" s="194"/>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sheetPr codeName="Trang_tính6">
    <tabColor rgb="FFFFC000"/>
  </sheetPr>
  <dimension ref="A1:I60"/>
  <sheetViews>
    <sheetView topLeftCell="A10" workbookViewId="0">
      <selection activeCell="B25" sqref="B25"/>
    </sheetView>
  </sheetViews>
  <sheetFormatPr defaultRowHeight="12.75"/>
  <cols>
    <col min="1" max="1" width="48.85546875" customWidth="1"/>
    <col min="2" max="2" width="20" customWidth="1"/>
    <col min="3" max="3" width="19.140625" customWidth="1"/>
    <col min="4" max="4" width="19" customWidth="1"/>
    <col min="5" max="6" width="19.28515625" customWidth="1"/>
  </cols>
  <sheetData>
    <row r="1" spans="1:3" ht="15">
      <c r="A1" s="520" t="s">
        <v>184</v>
      </c>
      <c r="B1" s="520"/>
      <c r="C1" s="116"/>
    </row>
    <row r="2" spans="1:3">
      <c r="A2" s="143"/>
      <c r="B2" s="143"/>
      <c r="C2" s="116"/>
    </row>
    <row r="3" spans="1:3" ht="14.25">
      <c r="A3" s="130" t="s">
        <v>126</v>
      </c>
      <c r="B3" s="124" t="s">
        <v>127</v>
      </c>
      <c r="C3" s="155"/>
    </row>
    <row r="4" spans="1:3" ht="15">
      <c r="A4" s="132" t="s">
        <v>447</v>
      </c>
      <c r="B4" s="163">
        <f>KQKD!G6*1000000*0.8</f>
        <v>7975241600000</v>
      </c>
      <c r="C4" s="155"/>
    </row>
    <row r="5" spans="1:3" ht="15">
      <c r="A5" s="132" t="s">
        <v>448</v>
      </c>
      <c r="B5" s="157">
        <v>0.82</v>
      </c>
      <c r="C5" s="155"/>
    </row>
    <row r="6" spans="1:3" ht="15">
      <c r="A6" s="132" t="s">
        <v>128</v>
      </c>
      <c r="B6" s="157">
        <v>0.11</v>
      </c>
      <c r="C6" s="155">
        <v>14000000000.000002</v>
      </c>
    </row>
    <row r="7" spans="1:3" ht="15">
      <c r="A7" s="132" t="s">
        <v>129</v>
      </c>
      <c r="B7" s="147">
        <v>11</v>
      </c>
      <c r="C7" s="155"/>
    </row>
    <row r="8" spans="1:3" ht="15">
      <c r="A8" s="125" t="s">
        <v>130</v>
      </c>
      <c r="B8" s="133">
        <v>35</v>
      </c>
      <c r="C8" s="155"/>
    </row>
    <row r="9" spans="1:3" ht="15">
      <c r="A9" s="125" t="s">
        <v>131</v>
      </c>
      <c r="B9" s="133">
        <v>60</v>
      </c>
      <c r="C9" s="155"/>
    </row>
    <row r="10" spans="1:3" ht="15">
      <c r="A10" s="125" t="s">
        <v>132</v>
      </c>
      <c r="B10" s="133">
        <v>60</v>
      </c>
      <c r="C10" s="155"/>
    </row>
    <row r="11" spans="1:3" ht="15">
      <c r="A11" s="125" t="s">
        <v>133</v>
      </c>
      <c r="B11" s="133">
        <v>2</v>
      </c>
      <c r="C11" s="155"/>
    </row>
    <row r="12" spans="1:3" ht="15">
      <c r="A12" s="125" t="s">
        <v>134</v>
      </c>
      <c r="B12" s="156">
        <v>5.0000000000000001E-3</v>
      </c>
      <c r="C12" s="155"/>
    </row>
    <row r="13" spans="1:3" ht="14.25">
      <c r="A13" s="127" t="s">
        <v>135</v>
      </c>
      <c r="B13" s="127"/>
      <c r="C13" s="148"/>
    </row>
    <row r="14" spans="1:3" ht="15">
      <c r="A14" s="132" t="s">
        <v>136</v>
      </c>
      <c r="B14" s="152">
        <f>B4*(B5+B6)</f>
        <v>7416974687999.999</v>
      </c>
      <c r="C14" s="155"/>
    </row>
    <row r="15" spans="1:3" ht="28.15" customHeight="1">
      <c r="A15" s="125" t="s">
        <v>182</v>
      </c>
      <c r="B15" s="171">
        <f>((B7+B8)+B9)+B10</f>
        <v>166</v>
      </c>
      <c r="C15" s="119">
        <v>1.3518518518518519</v>
      </c>
    </row>
    <row r="16" spans="1:3" ht="15">
      <c r="A16" s="115" t="s">
        <v>137</v>
      </c>
      <c r="B16" s="172">
        <f>365/B15</f>
        <v>2.1987951807228914</v>
      </c>
      <c r="C16" s="155">
        <v>270</v>
      </c>
    </row>
    <row r="17" spans="1:3" ht="27" customHeight="1">
      <c r="A17" s="170" t="s">
        <v>138</v>
      </c>
      <c r="B17" s="169">
        <f>B14/B16</f>
        <v>3373199447145.2056</v>
      </c>
      <c r="C17" s="155">
        <v>9</v>
      </c>
    </row>
    <row r="18" spans="1:3" ht="14.25">
      <c r="A18" s="159" t="s">
        <v>139</v>
      </c>
      <c r="B18" s="159"/>
      <c r="C18" s="148"/>
    </row>
    <row r="19" spans="1:3" ht="14.25">
      <c r="A19" s="166"/>
      <c r="B19" s="166"/>
      <c r="C19" s="148"/>
    </row>
    <row r="20" spans="1:3" ht="15">
      <c r="A20" s="173" t="s">
        <v>140</v>
      </c>
      <c r="B20" s="152">
        <f>CĐKT!F101*1000000</f>
        <v>3999415000000</v>
      </c>
      <c r="C20" s="155"/>
    </row>
    <row r="21" spans="1:3" ht="15">
      <c r="A21" s="173" t="s">
        <v>141</v>
      </c>
      <c r="B21" s="152">
        <f>CĐKT!G95*1000000</f>
        <v>90194000000</v>
      </c>
      <c r="C21" s="136"/>
    </row>
    <row r="22" spans="1:3" ht="15">
      <c r="A22" s="173" t="s">
        <v>142</v>
      </c>
      <c r="B22" s="152">
        <v>0</v>
      </c>
      <c r="C22" s="141"/>
    </row>
    <row r="23" spans="1:3" ht="15">
      <c r="A23" s="173" t="s">
        <v>143</v>
      </c>
      <c r="B23" s="152">
        <f>CĐKT!G33*1000000</f>
        <v>3758327000000</v>
      </c>
      <c r="C23" s="128"/>
    </row>
    <row r="24" spans="1:3" ht="15">
      <c r="A24" s="173" t="s">
        <v>144</v>
      </c>
      <c r="B24" s="152"/>
      <c r="C24" s="155"/>
    </row>
    <row r="25" spans="1:3" ht="30">
      <c r="A25" s="162" t="s">
        <v>145</v>
      </c>
      <c r="B25" s="152">
        <f>B20+B21-B23</f>
        <v>331282000000</v>
      </c>
      <c r="C25" s="151"/>
    </row>
    <row r="26" spans="1:3" ht="45">
      <c r="A26" s="162" t="s">
        <v>146</v>
      </c>
      <c r="B26" s="171">
        <f>'KQKD-Word'!G9/360*B11</f>
        <v>46611.533333333333</v>
      </c>
      <c r="C26" s="153"/>
    </row>
    <row r="27" spans="1:3" ht="15">
      <c r="A27" s="129" t="s">
        <v>147</v>
      </c>
      <c r="B27" s="152">
        <v>2837818000000</v>
      </c>
      <c r="C27" s="155">
        <v>200200000000</v>
      </c>
    </row>
    <row r="28" spans="1:3" ht="15">
      <c r="A28" s="129" t="s">
        <v>148</v>
      </c>
      <c r="B28" s="152">
        <v>35182000000</v>
      </c>
      <c r="C28" s="151"/>
    </row>
    <row r="29" spans="1:3" ht="28.15" customHeight="1">
      <c r="A29" s="174" t="s">
        <v>149</v>
      </c>
      <c r="B29" s="175">
        <f>B12*B17</f>
        <v>16865997235.726028</v>
      </c>
      <c r="C29" s="151"/>
    </row>
    <row r="30" spans="1:3" ht="14.25">
      <c r="A30" s="142" t="s">
        <v>150</v>
      </c>
      <c r="B30" s="146">
        <f>B17-B25-B26-B27-B28-B29</f>
        <v>152051403297.94635</v>
      </c>
      <c r="C30" s="155">
        <v>50000000000</v>
      </c>
    </row>
    <row r="31" spans="1:3">
      <c r="A31" s="518" t="s">
        <v>151</v>
      </c>
      <c r="B31" s="519"/>
      <c r="C31" s="148">
        <v>38000000000</v>
      </c>
    </row>
    <row r="32" spans="1:3" ht="14.25">
      <c r="A32" s="130" t="s">
        <v>152</v>
      </c>
      <c r="B32" s="130" t="s">
        <v>153</v>
      </c>
      <c r="C32" s="151"/>
    </row>
    <row r="33" spans="1:9" ht="15">
      <c r="A33" s="132" t="s">
        <v>154</v>
      </c>
      <c r="B33" s="160">
        <f>B4*B5</f>
        <v>6539698112000</v>
      </c>
      <c r="C33" s="155">
        <v>167400000000</v>
      </c>
      <c r="D33" s="116"/>
      <c r="E33" s="116"/>
      <c r="F33" s="116"/>
      <c r="G33" s="116"/>
      <c r="H33" s="116"/>
      <c r="I33" s="116"/>
    </row>
    <row r="34" spans="1:9" ht="15">
      <c r="A34" s="132" t="s">
        <v>155</v>
      </c>
      <c r="B34" s="157">
        <v>0.05</v>
      </c>
      <c r="C34" s="151"/>
      <c r="D34" s="116"/>
      <c r="E34" s="116"/>
      <c r="F34" s="116"/>
      <c r="G34" s="116"/>
      <c r="H34" s="116"/>
      <c r="I34" s="116"/>
    </row>
    <row r="35" spans="1:9" ht="15">
      <c r="A35" s="132" t="s">
        <v>156</v>
      </c>
      <c r="B35" s="160">
        <f>B33*B34</f>
        <v>326984905600</v>
      </c>
      <c r="C35" s="151"/>
      <c r="D35" s="116"/>
      <c r="E35" s="116"/>
      <c r="F35" s="116"/>
      <c r="G35" s="116"/>
      <c r="H35" s="116"/>
      <c r="I35" s="116"/>
    </row>
    <row r="36" spans="1:9" ht="15">
      <c r="A36" s="132" t="s">
        <v>157</v>
      </c>
      <c r="B36" s="160">
        <v>90</v>
      </c>
      <c r="C36" s="151"/>
      <c r="D36" s="116"/>
      <c r="E36" s="116"/>
      <c r="F36" s="116"/>
      <c r="G36" s="116"/>
      <c r="H36" s="116"/>
      <c r="I36" s="116"/>
    </row>
    <row r="37" spans="1:9" ht="30" customHeight="1">
      <c r="A37" s="177" t="s">
        <v>158</v>
      </c>
      <c r="B37" s="176">
        <f>B35/365*B36</f>
        <v>80626415079.452057</v>
      </c>
      <c r="C37" s="155"/>
      <c r="D37" s="116"/>
      <c r="E37" s="116"/>
      <c r="F37" s="116"/>
      <c r="G37" s="116"/>
      <c r="H37" s="116"/>
      <c r="I37" s="116"/>
    </row>
    <row r="38" spans="1:9" ht="28.5">
      <c r="A38" s="142" t="s">
        <v>159</v>
      </c>
      <c r="B38" s="146">
        <f>B37*1.5</f>
        <v>120939622619.17809</v>
      </c>
      <c r="C38" s="155">
        <v>3934995.3203437426</v>
      </c>
      <c r="D38" s="121">
        <v>50682739726.027405</v>
      </c>
      <c r="E38" s="116"/>
      <c r="F38" s="116"/>
      <c r="G38" s="116"/>
      <c r="H38" s="116"/>
      <c r="I38" s="116"/>
    </row>
    <row r="39" spans="1:9" ht="15">
      <c r="A39" s="138"/>
      <c r="B39" s="138"/>
      <c r="C39" s="116"/>
      <c r="D39" s="116"/>
      <c r="E39" s="116"/>
      <c r="F39" s="116"/>
      <c r="G39" s="116"/>
      <c r="H39" s="116"/>
      <c r="I39" s="116"/>
    </row>
    <row r="40" spans="1:9" ht="14.25">
      <c r="A40" s="131" t="s">
        <v>160</v>
      </c>
      <c r="B40" s="131" t="s">
        <v>161</v>
      </c>
      <c r="C40" s="149">
        <f>B4*0.5</f>
        <v>3987620800000</v>
      </c>
      <c r="D40" s="145" t="s">
        <v>183</v>
      </c>
      <c r="E40" s="143"/>
      <c r="F40" s="143"/>
      <c r="G40" s="143"/>
      <c r="H40" s="143"/>
      <c r="I40" s="143"/>
    </row>
    <row r="41" spans="1:9" ht="28.5">
      <c r="A41" s="123" t="s">
        <v>162</v>
      </c>
      <c r="B41" s="120" t="s">
        <v>163</v>
      </c>
      <c r="C41" s="134" t="s">
        <v>164</v>
      </c>
      <c r="D41" s="168" t="s">
        <v>165</v>
      </c>
      <c r="E41" s="150" t="s">
        <v>166</v>
      </c>
      <c r="F41" s="150" t="s">
        <v>167</v>
      </c>
      <c r="G41" s="168" t="s">
        <v>168</v>
      </c>
      <c r="H41" s="168" t="s">
        <v>167</v>
      </c>
      <c r="I41" s="168" t="s">
        <v>169</v>
      </c>
    </row>
    <row r="42" spans="1:9" ht="15">
      <c r="A42" s="158" t="s">
        <v>170</v>
      </c>
      <c r="B42" s="161">
        <v>90</v>
      </c>
      <c r="C42" s="178">
        <v>0.05</v>
      </c>
      <c r="D42" s="126">
        <f>C40*C42*B42/365</f>
        <v>49162448219.178085</v>
      </c>
      <c r="E42" s="179">
        <f>D42*G42</f>
        <v>4916244821.9178085</v>
      </c>
      <c r="F42" s="126">
        <f>D42*H42</f>
        <v>0</v>
      </c>
      <c r="G42" s="140">
        <v>0.1</v>
      </c>
      <c r="H42" s="140">
        <v>0</v>
      </c>
      <c r="I42" s="140">
        <v>0.9</v>
      </c>
    </row>
    <row r="43" spans="1:9">
      <c r="A43" s="158" t="s">
        <v>171</v>
      </c>
      <c r="B43" s="158">
        <v>120</v>
      </c>
      <c r="C43" s="178">
        <v>0.1</v>
      </c>
      <c r="D43" s="126">
        <f>C40*C43*B43/365</f>
        <v>131099861917.80821</v>
      </c>
      <c r="E43" s="179">
        <f>D43*G43</f>
        <v>26219972383.561646</v>
      </c>
      <c r="F43" s="126">
        <f t="shared" ref="F43:F45" si="0">D43*H43</f>
        <v>65549930958.904106</v>
      </c>
      <c r="G43" s="140">
        <v>0.2</v>
      </c>
      <c r="H43" s="140">
        <v>0.5</v>
      </c>
      <c r="I43" s="140">
        <v>0.3</v>
      </c>
    </row>
    <row r="44" spans="1:9">
      <c r="A44" s="158" t="s">
        <v>172</v>
      </c>
      <c r="B44" s="158">
        <v>360</v>
      </c>
      <c r="C44" s="178">
        <v>0.03</v>
      </c>
      <c r="D44" s="126">
        <f>C40*C44*B44/365</f>
        <v>117989875726.0274</v>
      </c>
      <c r="E44" s="179">
        <f>D44*G44</f>
        <v>23597975145.205482</v>
      </c>
      <c r="F44" s="126">
        <f t="shared" si="0"/>
        <v>94391900580.82193</v>
      </c>
      <c r="G44" s="140">
        <v>0.2</v>
      </c>
      <c r="H44" s="140">
        <v>0.8</v>
      </c>
      <c r="I44" s="140">
        <v>0</v>
      </c>
    </row>
    <row r="45" spans="1:9">
      <c r="A45" s="158" t="s">
        <v>173</v>
      </c>
      <c r="B45" s="158">
        <v>60</v>
      </c>
      <c r="C45" s="178">
        <v>0.15</v>
      </c>
      <c r="D45" s="126">
        <f>C40*C45*B45/365</f>
        <v>98324896438.356171</v>
      </c>
      <c r="E45" s="179">
        <f>D45*G45</f>
        <v>19664979287.671234</v>
      </c>
      <c r="F45" s="126">
        <f t="shared" si="0"/>
        <v>78659917150.684937</v>
      </c>
      <c r="G45" s="140">
        <v>0.2</v>
      </c>
      <c r="H45" s="140">
        <v>0.8</v>
      </c>
      <c r="I45" s="140">
        <v>0</v>
      </c>
    </row>
    <row r="46" spans="1:9">
      <c r="A46" s="116"/>
      <c r="B46" s="116"/>
      <c r="C46" s="116"/>
      <c r="D46" s="139">
        <f>SUM(D42:D45)</f>
        <v>396577082301.36987</v>
      </c>
      <c r="E46" s="139">
        <f>SUM(E42:E45)</f>
        <v>74399171638.356171</v>
      </c>
      <c r="F46" s="139">
        <f>SUM(F42:F45)</f>
        <v>238601748690.41098</v>
      </c>
      <c r="G46" s="116"/>
      <c r="H46" s="116"/>
      <c r="I46" s="116"/>
    </row>
    <row r="47" spans="1:9">
      <c r="A47" s="143"/>
      <c r="B47" s="143"/>
      <c r="C47" s="116"/>
      <c r="D47" s="116"/>
      <c r="E47" s="116"/>
      <c r="F47" s="148">
        <v>3574136986.3013697</v>
      </c>
      <c r="G47" s="116"/>
      <c r="H47" s="116"/>
      <c r="I47" s="116"/>
    </row>
    <row r="48" spans="1:9" ht="14.25">
      <c r="A48" s="118" t="s">
        <v>174</v>
      </c>
      <c r="B48" s="135">
        <f>SUM(B50:B52)</f>
        <v>7417111937097</v>
      </c>
      <c r="C48" s="151"/>
      <c r="D48" s="116"/>
      <c r="E48" s="116"/>
      <c r="F48" s="116"/>
      <c r="G48" s="116"/>
      <c r="H48" s="116"/>
      <c r="I48" s="116"/>
    </row>
    <row r="49" spans="1:3" ht="15">
      <c r="A49" s="164" t="s">
        <v>175</v>
      </c>
      <c r="B49" s="132"/>
      <c r="C49" s="151"/>
    </row>
    <row r="50" spans="1:3" ht="15">
      <c r="A50" s="165" t="s">
        <v>176</v>
      </c>
      <c r="B50" s="154">
        <f>B4*B5</f>
        <v>6539698112000</v>
      </c>
      <c r="C50" s="151"/>
    </row>
    <row r="51" spans="1:3" ht="15">
      <c r="A51" s="165" t="s">
        <v>177</v>
      </c>
      <c r="B51" s="154">
        <f>B4*B6</f>
        <v>877276576000</v>
      </c>
      <c r="C51" s="151"/>
    </row>
    <row r="52" spans="1:3" ht="15">
      <c r="A52" s="165" t="s">
        <v>178</v>
      </c>
      <c r="B52" s="180">
        <v>137249097</v>
      </c>
      <c r="C52" s="151"/>
    </row>
    <row r="53" spans="1:3" ht="14.25">
      <c r="A53" s="118" t="s">
        <v>179</v>
      </c>
      <c r="B53" s="167">
        <f>B4-B48</f>
        <v>558129662903</v>
      </c>
      <c r="C53" s="151"/>
    </row>
    <row r="54" spans="1:3" ht="15">
      <c r="A54" s="117" t="s">
        <v>180</v>
      </c>
      <c r="B54" s="154">
        <f>B53*0.28</f>
        <v>156276305612.84003</v>
      </c>
      <c r="C54" s="151"/>
    </row>
    <row r="55" spans="1:3" ht="14.25">
      <c r="A55" s="118" t="s">
        <v>181</v>
      </c>
      <c r="B55" s="137">
        <f>B53-B54</f>
        <v>401853357290.15997</v>
      </c>
      <c r="C55" s="151"/>
    </row>
    <row r="56" spans="1:3">
      <c r="A56" s="122"/>
      <c r="B56" s="122"/>
      <c r="C56" s="116"/>
    </row>
    <row r="58" spans="1:3">
      <c r="A58" s="116"/>
      <c r="B58" s="144">
        <v>44</v>
      </c>
      <c r="C58" s="116"/>
    </row>
    <row r="60" spans="1:3">
      <c r="A60" s="116"/>
      <c r="B60" s="144">
        <v>41.85</v>
      </c>
      <c r="C60" s="116"/>
    </row>
  </sheetData>
  <mergeCells count="2">
    <mergeCell ref="A31:B31"/>
    <mergeCell ref="A1:B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sheetPr>
    <tabColor rgb="FFFFC000"/>
  </sheetPr>
  <dimension ref="A1:E51"/>
  <sheetViews>
    <sheetView workbookViewId="0">
      <selection activeCell="H14" sqref="H14"/>
    </sheetView>
  </sheetViews>
  <sheetFormatPr defaultRowHeight="12.75"/>
  <cols>
    <col min="1" max="1" width="5.140625" customWidth="1"/>
    <col min="2" max="2" width="26.42578125" customWidth="1"/>
    <col min="3" max="5" width="13" customWidth="1"/>
  </cols>
  <sheetData>
    <row r="1" spans="1:5" ht="15">
      <c r="A1" s="521" t="s">
        <v>445</v>
      </c>
      <c r="B1" s="521"/>
      <c r="C1" s="521"/>
      <c r="D1" s="521"/>
    </row>
    <row r="2" spans="1:5" ht="16.5">
      <c r="A2" s="374"/>
    </row>
    <row r="3" spans="1:5" ht="25.5">
      <c r="A3" s="374"/>
      <c r="B3" s="386" t="s">
        <v>447</v>
      </c>
      <c r="C3" s="383" t="s">
        <v>443</v>
      </c>
      <c r="D3" s="388">
        <f>KQKD!G6*0.8</f>
        <v>7975241.6000000006</v>
      </c>
    </row>
    <row r="4" spans="1:5" ht="25.5">
      <c r="A4" s="374"/>
      <c r="B4" s="386" t="s">
        <v>448</v>
      </c>
      <c r="C4" s="387">
        <v>0.82</v>
      </c>
      <c r="D4">
        <v>0.82</v>
      </c>
    </row>
    <row r="5" spans="1:5" ht="16.5">
      <c r="A5" s="374"/>
    </row>
    <row r="6" spans="1:5" ht="17.45" customHeight="1">
      <c r="A6" s="382" t="s">
        <v>0</v>
      </c>
      <c r="B6" s="382" t="s">
        <v>27</v>
      </c>
      <c r="C6" s="382" t="s">
        <v>59</v>
      </c>
      <c r="D6" s="382" t="s">
        <v>407</v>
      </c>
      <c r="E6" s="382" t="s">
        <v>408</v>
      </c>
    </row>
    <row r="7" spans="1:5" ht="46.9" customHeight="1">
      <c r="A7" s="383">
        <v>1</v>
      </c>
      <c r="B7" s="384" t="s">
        <v>446</v>
      </c>
      <c r="C7" s="383" t="s">
        <v>443</v>
      </c>
      <c r="D7" s="389">
        <f>D3*D4</f>
        <v>6539698.1119999997</v>
      </c>
      <c r="E7" s="385"/>
    </row>
    <row r="8" spans="1:5" ht="15.75">
      <c r="A8" s="375">
        <v>2</v>
      </c>
      <c r="B8" s="376" t="s">
        <v>433</v>
      </c>
      <c r="C8" s="375" t="s">
        <v>444</v>
      </c>
      <c r="D8" s="390">
        <v>2</v>
      </c>
      <c r="E8" s="377"/>
    </row>
    <row r="9" spans="1:5" ht="31.5">
      <c r="A9" s="375">
        <v>3</v>
      </c>
      <c r="B9" s="376" t="s">
        <v>434</v>
      </c>
      <c r="C9" s="375" t="s">
        <v>443</v>
      </c>
      <c r="D9" s="390">
        <f>D7/D8</f>
        <v>3269849.0559999999</v>
      </c>
      <c r="E9" s="377"/>
    </row>
    <row r="10" spans="1:5" ht="15.75">
      <c r="A10" s="375">
        <v>4</v>
      </c>
      <c r="B10" s="376" t="s">
        <v>435</v>
      </c>
      <c r="C10" s="375" t="s">
        <v>443</v>
      </c>
      <c r="D10" s="390">
        <f>D11+D12+D13</f>
        <v>373508</v>
      </c>
      <c r="E10" s="377"/>
    </row>
    <row r="11" spans="1:5" ht="15.6" customHeight="1">
      <c r="A11" s="375">
        <v>4.0999999999999996</v>
      </c>
      <c r="B11" s="376" t="s">
        <v>436</v>
      </c>
      <c r="C11" s="375" t="s">
        <v>443</v>
      </c>
      <c r="D11" s="390">
        <f>CĐKT!G101+CĐKT!G95-CĐKT!G33</f>
        <v>331282</v>
      </c>
      <c r="E11" s="377"/>
    </row>
    <row r="12" spans="1:5" ht="15.6" customHeight="1">
      <c r="A12" s="375">
        <v>4.2</v>
      </c>
      <c r="B12" s="376" t="s">
        <v>437</v>
      </c>
      <c r="C12" s="375" t="s">
        <v>443</v>
      </c>
      <c r="D12" s="390">
        <f>CĐKT!G73+CĐKT!G74-CĐKT!G16+400000</f>
        <v>42226</v>
      </c>
      <c r="E12" s="377"/>
    </row>
    <row r="13" spans="1:5" ht="15.6" customHeight="1">
      <c r="A13" s="375">
        <v>4.3</v>
      </c>
      <c r="B13" s="376" t="s">
        <v>438</v>
      </c>
      <c r="C13" s="375" t="s">
        <v>443</v>
      </c>
      <c r="D13" s="390">
        <v>0</v>
      </c>
      <c r="E13" s="377"/>
    </row>
    <row r="14" spans="1:5" ht="34.9" customHeight="1">
      <c r="A14" s="375">
        <v>5</v>
      </c>
      <c r="B14" s="376" t="s">
        <v>439</v>
      </c>
      <c r="C14" s="375" t="s">
        <v>3</v>
      </c>
      <c r="D14" s="392">
        <f>D10/D9*100</f>
        <v>11.42279027573559</v>
      </c>
      <c r="E14" s="378"/>
    </row>
    <row r="15" spans="1:5" ht="15.75">
      <c r="A15" s="375">
        <v>6</v>
      </c>
      <c r="B15" s="376" t="s">
        <v>440</v>
      </c>
      <c r="C15" s="375" t="s">
        <v>443</v>
      </c>
      <c r="D15" s="390">
        <f>D9-D10</f>
        <v>2896341.0559999999</v>
      </c>
      <c r="E15" s="377"/>
    </row>
    <row r="16" spans="1:5" ht="31.5">
      <c r="A16" s="375">
        <v>7</v>
      </c>
      <c r="B16" s="376" t="s">
        <v>441</v>
      </c>
      <c r="C16" s="375" t="s">
        <v>443</v>
      </c>
      <c r="D16" s="390">
        <v>2837818</v>
      </c>
      <c r="E16" s="377"/>
    </row>
    <row r="17" spans="1:5" ht="15.75">
      <c r="A17" s="379">
        <v>8</v>
      </c>
      <c r="B17" s="380" t="s">
        <v>442</v>
      </c>
      <c r="C17" s="379" t="s">
        <v>443</v>
      </c>
      <c r="D17" s="391">
        <f>D15-D16</f>
        <v>58523.055999999866</v>
      </c>
      <c r="E17" s="381"/>
    </row>
    <row r="18" spans="1:5" ht="28.15" customHeight="1"/>
    <row r="20" spans="1:5" ht="27" customHeight="1"/>
    <row r="32" spans="1:5" ht="28.15" customHeight="1"/>
    <row r="34" spans="1:5" ht="13.15" customHeight="1"/>
    <row r="36" spans="1:5">
      <c r="A36" s="116"/>
      <c r="B36" s="116"/>
      <c r="C36" s="116"/>
      <c r="D36" s="116"/>
      <c r="E36" s="116"/>
    </row>
    <row r="37" spans="1:5">
      <c r="A37" s="116"/>
      <c r="B37" s="116"/>
      <c r="C37" s="116"/>
      <c r="D37" s="116"/>
      <c r="E37" s="116"/>
    </row>
    <row r="38" spans="1:5">
      <c r="A38" s="116"/>
      <c r="B38" s="116"/>
      <c r="C38" s="116"/>
      <c r="D38" s="116"/>
      <c r="E38" s="116"/>
    </row>
    <row r="39" spans="1:5">
      <c r="A39" s="116"/>
      <c r="B39" s="116"/>
      <c r="C39" s="116"/>
      <c r="D39" s="116"/>
      <c r="E39" s="116"/>
    </row>
    <row r="40" spans="1:5" ht="30" customHeight="1">
      <c r="A40" s="116"/>
      <c r="B40" s="116"/>
      <c r="C40" s="116"/>
      <c r="D40" s="116"/>
      <c r="E40" s="116"/>
    </row>
    <row r="41" spans="1:5">
      <c r="A41" s="116"/>
      <c r="B41" s="116"/>
      <c r="C41" s="116"/>
      <c r="D41" s="116"/>
      <c r="E41" s="116"/>
    </row>
    <row r="42" spans="1:5">
      <c r="A42" s="116"/>
      <c r="B42" s="116"/>
      <c r="C42" s="116"/>
      <c r="D42" s="116"/>
      <c r="E42" s="116"/>
    </row>
    <row r="43" spans="1:5">
      <c r="A43" s="143"/>
      <c r="B43" s="143"/>
      <c r="C43" s="143"/>
      <c r="D43" s="143"/>
      <c r="E43" s="143"/>
    </row>
    <row r="44" spans="1:5">
      <c r="A44" s="150" t="s">
        <v>166</v>
      </c>
      <c r="B44" s="150" t="s">
        <v>167</v>
      </c>
      <c r="C44" s="168" t="s">
        <v>168</v>
      </c>
      <c r="D44" s="168" t="s">
        <v>167</v>
      </c>
      <c r="E44" s="168" t="s">
        <v>169</v>
      </c>
    </row>
    <row r="45" spans="1:5">
      <c r="A45" s="179" t="e">
        <f>#REF!*C45</f>
        <v>#REF!</v>
      </c>
      <c r="B45" s="126" t="e">
        <f>#REF!*D45</f>
        <v>#REF!</v>
      </c>
      <c r="C45" s="140">
        <v>0.1</v>
      </c>
      <c r="D45" s="140">
        <v>0</v>
      </c>
      <c r="E45" s="140">
        <v>0.9</v>
      </c>
    </row>
    <row r="46" spans="1:5">
      <c r="A46" s="179" t="e">
        <f>#REF!*C46</f>
        <v>#REF!</v>
      </c>
      <c r="B46" s="126" t="e">
        <f>#REF!*D46</f>
        <v>#REF!</v>
      </c>
      <c r="C46" s="140">
        <v>0.2</v>
      </c>
      <c r="D46" s="140">
        <v>0.5</v>
      </c>
      <c r="E46" s="140">
        <v>0.3</v>
      </c>
    </row>
    <row r="47" spans="1:5">
      <c r="A47" s="179" t="e">
        <f>#REF!*C47</f>
        <v>#REF!</v>
      </c>
      <c r="B47" s="126" t="e">
        <f>#REF!*D47</f>
        <v>#REF!</v>
      </c>
      <c r="C47" s="140">
        <v>0.2</v>
      </c>
      <c r="D47" s="140">
        <v>0.8</v>
      </c>
      <c r="E47" s="140">
        <v>0</v>
      </c>
    </row>
    <row r="48" spans="1:5">
      <c r="A48" s="179" t="e">
        <f>#REF!*C48</f>
        <v>#REF!</v>
      </c>
      <c r="B48" s="126" t="e">
        <f>#REF!*D48</f>
        <v>#REF!</v>
      </c>
      <c r="C48" s="140">
        <v>0.2</v>
      </c>
      <c r="D48" s="140">
        <v>0.8</v>
      </c>
      <c r="E48" s="140">
        <v>0</v>
      </c>
    </row>
    <row r="49" spans="1:5">
      <c r="A49" s="139" t="e">
        <f>SUM(A45:A48)</f>
        <v>#REF!</v>
      </c>
      <c r="B49" s="139" t="e">
        <f>SUM(B45:B48)</f>
        <v>#REF!</v>
      </c>
      <c r="C49" s="116"/>
      <c r="D49" s="116"/>
      <c r="E49" s="116"/>
    </row>
    <row r="50" spans="1:5">
      <c r="A50" s="116"/>
      <c r="B50" s="148">
        <v>3574136986.3013697</v>
      </c>
      <c r="C50" s="116"/>
      <c r="D50" s="116"/>
      <c r="E50" s="116"/>
    </row>
    <row r="51" spans="1:5">
      <c r="A51" s="116"/>
      <c r="B51" s="116"/>
      <c r="C51" s="116"/>
      <c r="D51" s="116"/>
      <c r="E51" s="116"/>
    </row>
  </sheetData>
  <mergeCells count="1">
    <mergeCell ref="A1:D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sheetPr codeName="Sheet1"/>
  <dimension ref="A1:L62"/>
  <sheetViews>
    <sheetView zoomScaleNormal="100" workbookViewId="0"/>
  </sheetViews>
  <sheetFormatPr defaultColWidth="9.140625" defaultRowHeight="15"/>
  <cols>
    <col min="1" max="1" width="9.140625" style="59"/>
    <col min="2" max="2" width="27.85546875" style="69" customWidth="1"/>
    <col min="3" max="3" width="22.42578125" style="69" customWidth="1"/>
    <col min="4" max="4" width="28" style="69" customWidth="1"/>
    <col min="5" max="5" width="26.140625" style="69" customWidth="1"/>
    <col min="6" max="6" width="27.42578125" style="61" customWidth="1"/>
    <col min="7" max="7" width="27.140625" style="61" customWidth="1"/>
    <col min="8" max="12" width="9.140625" style="61"/>
    <col min="13" max="16384" width="9.140625" style="59"/>
  </cols>
  <sheetData>
    <row r="1" spans="1:12">
      <c r="B1" s="60"/>
      <c r="C1" s="60"/>
      <c r="D1" s="60"/>
      <c r="E1" s="60"/>
    </row>
    <row r="3" spans="1:12" ht="25.5">
      <c r="B3" s="523" t="s">
        <v>69</v>
      </c>
      <c r="C3" s="524"/>
      <c r="D3" s="524"/>
      <c r="E3" s="524"/>
    </row>
    <row r="4" spans="1:12">
      <c r="B4" s="57" t="s">
        <v>88</v>
      </c>
      <c r="C4" s="57" t="s">
        <v>89</v>
      </c>
      <c r="D4" s="57" t="s">
        <v>90</v>
      </c>
      <c r="E4" s="57" t="s">
        <v>91</v>
      </c>
      <c r="F4" s="74" t="s">
        <v>90</v>
      </c>
      <c r="G4" s="74" t="s">
        <v>91</v>
      </c>
    </row>
    <row r="5" spans="1:12" s="64" customFormat="1">
      <c r="B5" s="73">
        <f>CĐKT!D7</f>
        <v>5844829</v>
      </c>
      <c r="C5" s="73">
        <f>CĐKT!D71</f>
        <v>5933709</v>
      </c>
      <c r="D5" s="73">
        <f>CĐKT!E7</f>
        <v>5844829</v>
      </c>
      <c r="E5" s="73">
        <f>CĐKT!E71</f>
        <v>5933709</v>
      </c>
      <c r="F5" s="73">
        <f>CĐKT!G7</f>
        <v>4127123</v>
      </c>
      <c r="G5" s="73">
        <f>CĐKT!G71</f>
        <v>3886032</v>
      </c>
      <c r="H5" s="66"/>
      <c r="I5" s="66"/>
      <c r="J5" s="66"/>
      <c r="K5" s="66"/>
      <c r="L5" s="66"/>
    </row>
    <row r="6" spans="1:12">
      <c r="B6" s="73">
        <f>CĐKT!D33</f>
        <v>3919533</v>
      </c>
      <c r="C6" s="73">
        <f>CĐKT!D101</f>
        <v>3830652</v>
      </c>
      <c r="D6" s="73">
        <f>CĐKT!E33</f>
        <v>3919533</v>
      </c>
      <c r="E6" s="73">
        <f>CĐKT!E101</f>
        <v>3830652</v>
      </c>
      <c r="F6" s="73">
        <f>CĐKT!G33</f>
        <v>3758327</v>
      </c>
      <c r="G6" s="73">
        <f>CĐKT!G101</f>
        <v>3999415</v>
      </c>
    </row>
    <row r="7" spans="1:12">
      <c r="A7" s="59" t="s">
        <v>68</v>
      </c>
      <c r="B7" s="72" t="s">
        <v>57</v>
      </c>
      <c r="C7" s="72" t="s">
        <v>58</v>
      </c>
      <c r="D7" s="72" t="s">
        <v>57</v>
      </c>
      <c r="E7" s="72" t="s">
        <v>58</v>
      </c>
      <c r="F7" s="72" t="s">
        <v>57</v>
      </c>
      <c r="G7" s="72" t="s">
        <v>58</v>
      </c>
    </row>
    <row r="8" spans="1:12">
      <c r="B8" s="59"/>
      <c r="D8" s="59"/>
      <c r="E8" s="59"/>
    </row>
    <row r="9" spans="1:12">
      <c r="B9" s="59"/>
      <c r="D9" s="59"/>
      <c r="E9" s="59"/>
    </row>
    <row r="11" spans="1:12" s="64" customFormat="1" ht="14.25">
      <c r="B11" s="65"/>
      <c r="C11" s="65"/>
      <c r="D11" s="65"/>
      <c r="E11" s="65"/>
      <c r="F11" s="66"/>
      <c r="G11" s="66"/>
      <c r="H11" s="66"/>
      <c r="I11" s="66"/>
      <c r="J11" s="66"/>
      <c r="K11" s="66"/>
      <c r="L11" s="66"/>
    </row>
    <row r="15" spans="1:12" s="64" customFormat="1" ht="14.25">
      <c r="B15" s="65"/>
      <c r="C15" s="65"/>
      <c r="D15" s="65"/>
      <c r="E15" s="65"/>
      <c r="F15" s="66"/>
      <c r="G15" s="66"/>
      <c r="H15" s="66"/>
      <c r="I15" s="66"/>
      <c r="J15" s="66"/>
      <c r="K15" s="66"/>
      <c r="L15" s="66"/>
    </row>
    <row r="16" spans="1:12" s="64" customFormat="1" ht="14.25">
      <c r="B16" s="65"/>
      <c r="C16" s="65"/>
      <c r="D16" s="65"/>
      <c r="E16" s="65"/>
      <c r="F16" s="66"/>
      <c r="G16" s="66"/>
      <c r="H16" s="66"/>
      <c r="I16" s="66"/>
      <c r="J16" s="66"/>
      <c r="K16" s="66"/>
      <c r="L16" s="66"/>
    </row>
    <row r="19" spans="2:12" s="64" customFormat="1" ht="14.25">
      <c r="B19" s="65"/>
      <c r="C19" s="65"/>
      <c r="D19" s="65"/>
      <c r="E19" s="65"/>
      <c r="F19" s="66"/>
      <c r="G19" s="66"/>
      <c r="H19" s="66"/>
      <c r="I19" s="66"/>
      <c r="J19" s="66"/>
      <c r="K19" s="66"/>
      <c r="L19" s="66"/>
    </row>
    <row r="20" spans="2:12" s="64" customFormat="1" ht="14.25">
      <c r="B20" s="65"/>
      <c r="C20" s="65"/>
      <c r="D20" s="65"/>
      <c r="E20" s="65"/>
      <c r="F20" s="66"/>
      <c r="G20" s="66"/>
      <c r="H20" s="66"/>
      <c r="I20" s="66"/>
      <c r="J20" s="66"/>
      <c r="K20" s="66"/>
      <c r="L20" s="66"/>
    </row>
    <row r="22" spans="2:12">
      <c r="B22" s="60"/>
      <c r="C22" s="60"/>
      <c r="D22" s="60"/>
      <c r="E22" s="60"/>
    </row>
    <row r="24" spans="2:12" s="67" customFormat="1" ht="14.25">
      <c r="B24" s="522"/>
      <c r="C24" s="522"/>
      <c r="D24" s="522"/>
      <c r="E24" s="62"/>
      <c r="F24" s="68"/>
      <c r="G24" s="68"/>
      <c r="H24" s="68"/>
      <c r="I24" s="68"/>
      <c r="J24" s="68"/>
      <c r="K24" s="68"/>
      <c r="L24" s="68"/>
    </row>
    <row r="25" spans="2:12" s="67" customFormat="1" ht="14.25">
      <c r="B25" s="63"/>
      <c r="C25" s="63"/>
      <c r="D25" s="63"/>
      <c r="E25" s="63"/>
      <c r="F25" s="68"/>
      <c r="G25" s="68"/>
      <c r="H25" s="68"/>
      <c r="I25" s="68"/>
      <c r="J25" s="68"/>
      <c r="K25" s="68"/>
      <c r="L25" s="68"/>
    </row>
    <row r="36" spans="2:12">
      <c r="B36" s="60"/>
      <c r="C36" s="60"/>
      <c r="D36" s="60"/>
      <c r="E36" s="60"/>
    </row>
    <row r="38" spans="2:12" s="64" customFormat="1" ht="14.25">
      <c r="B38" s="522"/>
      <c r="C38" s="522"/>
      <c r="D38" s="522"/>
      <c r="E38" s="62"/>
      <c r="F38" s="66"/>
      <c r="G38" s="66"/>
      <c r="H38" s="66"/>
      <c r="I38" s="66"/>
      <c r="J38" s="66"/>
      <c r="K38" s="66"/>
      <c r="L38" s="66"/>
    </row>
    <row r="39" spans="2:12" s="64" customFormat="1" ht="14.25">
      <c r="B39" s="63"/>
      <c r="C39" s="63"/>
      <c r="D39" s="63"/>
      <c r="E39" s="63"/>
      <c r="F39" s="66"/>
      <c r="G39" s="66"/>
      <c r="H39" s="66"/>
      <c r="I39" s="66"/>
      <c r="J39" s="66"/>
      <c r="K39" s="66"/>
      <c r="L39" s="66"/>
    </row>
    <row r="40" spans="2:12">
      <c r="B40" s="60"/>
      <c r="C40" s="60"/>
      <c r="D40" s="60"/>
    </row>
    <row r="41" spans="2:12">
      <c r="B41" s="70"/>
      <c r="C41" s="70"/>
      <c r="D41" s="70"/>
      <c r="E41" s="70"/>
    </row>
    <row r="42" spans="2:12">
      <c r="B42" s="70"/>
      <c r="C42" s="70"/>
      <c r="D42" s="70"/>
      <c r="E42" s="70"/>
    </row>
    <row r="43" spans="2:12">
      <c r="B43" s="70"/>
      <c r="C43" s="70"/>
      <c r="D43" s="70"/>
      <c r="E43" s="70"/>
    </row>
    <row r="44" spans="2:12">
      <c r="B44" s="70"/>
      <c r="C44" s="70"/>
      <c r="D44" s="70"/>
      <c r="E44" s="70"/>
    </row>
    <row r="45" spans="2:12">
      <c r="B45" s="70"/>
      <c r="C45" s="70"/>
      <c r="D45" s="70"/>
      <c r="E45" s="70"/>
    </row>
    <row r="46" spans="2:12">
      <c r="B46" s="70"/>
      <c r="C46" s="70"/>
      <c r="D46" s="70"/>
      <c r="E46" s="70"/>
    </row>
    <row r="47" spans="2:12">
      <c r="B47" s="70"/>
      <c r="C47" s="70"/>
      <c r="D47" s="70"/>
      <c r="E47" s="70"/>
    </row>
    <row r="48" spans="2:12">
      <c r="B48" s="70"/>
      <c r="C48" s="70"/>
      <c r="D48" s="70"/>
      <c r="E48" s="70"/>
    </row>
    <row r="49" spans="2:5">
      <c r="B49" s="70"/>
      <c r="C49" s="70"/>
      <c r="D49" s="70"/>
      <c r="E49" s="70"/>
    </row>
    <row r="50" spans="2:5">
      <c r="B50" s="70"/>
      <c r="C50" s="70"/>
      <c r="D50" s="70"/>
      <c r="E50" s="70"/>
    </row>
    <row r="51" spans="2:5">
      <c r="B51" s="70"/>
      <c r="C51" s="70"/>
      <c r="D51" s="70"/>
      <c r="E51" s="70"/>
    </row>
    <row r="52" spans="2:5">
      <c r="B52" s="70"/>
      <c r="C52" s="70"/>
      <c r="D52" s="70"/>
      <c r="E52" s="70"/>
    </row>
    <row r="53" spans="2:5">
      <c r="B53" s="70"/>
      <c r="C53" s="70"/>
      <c r="D53" s="70"/>
      <c r="E53" s="70"/>
    </row>
    <row r="54" spans="2:5">
      <c r="B54" s="70"/>
      <c r="C54" s="70"/>
      <c r="D54" s="70"/>
      <c r="E54" s="70"/>
    </row>
    <row r="55" spans="2:5">
      <c r="B55" s="70"/>
      <c r="C55" s="70"/>
      <c r="D55" s="70"/>
      <c r="E55" s="70"/>
    </row>
    <row r="56" spans="2:5" ht="56.25" customHeight="1">
      <c r="B56" s="70"/>
      <c r="C56" s="70"/>
      <c r="D56" s="70"/>
      <c r="E56" s="70"/>
    </row>
    <row r="57" spans="2:5">
      <c r="B57" s="70"/>
      <c r="C57" s="70"/>
      <c r="D57" s="70"/>
      <c r="E57" s="70"/>
    </row>
    <row r="58" spans="2:5">
      <c r="B58" s="70"/>
      <c r="C58" s="70"/>
      <c r="D58" s="70"/>
      <c r="E58" s="70"/>
    </row>
    <row r="59" spans="2:5">
      <c r="B59" s="71"/>
      <c r="C59" s="71"/>
      <c r="D59" s="70"/>
      <c r="E59" s="71"/>
    </row>
    <row r="60" spans="2:5">
      <c r="B60" s="71"/>
      <c r="C60" s="71"/>
      <c r="D60" s="70"/>
      <c r="E60" s="71"/>
    </row>
    <row r="61" spans="2:5">
      <c r="B61" s="71"/>
      <c r="C61" s="71"/>
      <c r="D61" s="70"/>
      <c r="E61" s="71"/>
    </row>
    <row r="62" spans="2:5">
      <c r="B62" s="71"/>
      <c r="C62" s="71"/>
      <c r="D62" s="70"/>
      <c r="E62" s="71"/>
    </row>
  </sheetData>
  <mergeCells count="3">
    <mergeCell ref="B38:D38"/>
    <mergeCell ref="B24:D24"/>
    <mergeCell ref="B3:E3"/>
  </mergeCells>
  <phoneticPr fontId="0" type="noConversion"/>
  <pageMargins left="0.5" right="0.25" top="0.5" bottom="0.5" header="0.5" footer="0.5"/>
  <pageSetup paperSize="9" scale="8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sheetPr codeName="Trang_tính51"/>
  <dimension ref="A1"/>
  <sheetViews>
    <sheetView workbookViewId="0"/>
  </sheetViews>
  <sheetFormatPr defaultColWidth="9.140625" defaultRowHeight="12.75"/>
  <cols>
    <col min="1" max="16384" width="9.140625" style="75"/>
  </cols>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sheetPr codeName="Sheet5"/>
  <dimension ref="A1:C41"/>
  <sheetViews>
    <sheetView workbookViewId="0">
      <selection activeCell="C1" sqref="C1"/>
    </sheetView>
  </sheetViews>
  <sheetFormatPr defaultColWidth="9.140625" defaultRowHeight="12.75"/>
  <cols>
    <col min="1" max="1" width="29.85546875" style="1" customWidth="1"/>
    <col min="2" max="2" width="1.28515625" style="1" customWidth="1"/>
    <col min="3" max="3" width="32.140625" style="1" customWidth="1"/>
    <col min="4" max="16384" width="9.140625" style="1"/>
  </cols>
  <sheetData>
    <row r="1" spans="1:3">
      <c r="A1"/>
      <c r="C1"/>
    </row>
    <row r="2" spans="1:3" ht="13.5" thickBot="1">
      <c r="A2"/>
    </row>
    <row r="3" spans="1:3" ht="13.5" thickBot="1">
      <c r="A3"/>
      <c r="C3"/>
    </row>
    <row r="4" spans="1:3">
      <c r="A4"/>
      <c r="C4"/>
    </row>
    <row r="5" spans="1:3">
      <c r="C5"/>
    </row>
    <row r="6" spans="1:3" ht="13.5" thickBot="1">
      <c r="C6"/>
    </row>
    <row r="7" spans="1:3">
      <c r="A7"/>
      <c r="C7"/>
    </row>
    <row r="8" spans="1:3">
      <c r="A8"/>
      <c r="C8"/>
    </row>
    <row r="9" spans="1:3">
      <c r="A9"/>
      <c r="C9"/>
    </row>
    <row r="10" spans="1:3">
      <c r="A10"/>
      <c r="C10"/>
    </row>
    <row r="11" spans="1:3" ht="13.5" thickBot="1">
      <c r="A11"/>
      <c r="C11"/>
    </row>
    <row r="12" spans="1:3">
      <c r="C12"/>
    </row>
    <row r="13" spans="1:3" ht="13.5" thickBot="1">
      <c r="C13"/>
    </row>
    <row r="14" spans="1:3" ht="13.5" thickBot="1">
      <c r="A14"/>
      <c r="C14"/>
    </row>
    <row r="15" spans="1:3">
      <c r="A15"/>
    </row>
    <row r="16" spans="1:3" ht="13.5" thickBot="1">
      <c r="A16"/>
    </row>
    <row r="17" spans="1:3" ht="13.5" thickBot="1">
      <c r="A17"/>
      <c r="C17"/>
    </row>
    <row r="18" spans="1:3">
      <c r="C18"/>
    </row>
    <row r="19" spans="1:3">
      <c r="C19"/>
    </row>
    <row r="20" spans="1:3">
      <c r="A20"/>
      <c r="C20"/>
    </row>
    <row r="21" spans="1:3">
      <c r="A21"/>
      <c r="C21"/>
    </row>
    <row r="22" spans="1:3">
      <c r="A22"/>
      <c r="C22"/>
    </row>
    <row r="23" spans="1:3">
      <c r="A23"/>
      <c r="C23"/>
    </row>
    <row r="24" spans="1:3">
      <c r="A24"/>
    </row>
    <row r="25" spans="1:3">
      <c r="A25"/>
    </row>
    <row r="26" spans="1:3" ht="13.5" thickBot="1">
      <c r="A26"/>
      <c r="C26"/>
    </row>
    <row r="27" spans="1:3">
      <c r="A27"/>
      <c r="C27"/>
    </row>
    <row r="28" spans="1:3">
      <c r="A28"/>
      <c r="C28"/>
    </row>
    <row r="29" spans="1:3">
      <c r="A29"/>
      <c r="C29"/>
    </row>
    <row r="30" spans="1:3">
      <c r="A30"/>
      <c r="C30"/>
    </row>
    <row r="31" spans="1:3">
      <c r="A31"/>
      <c r="C31"/>
    </row>
    <row r="32" spans="1:3">
      <c r="A32"/>
      <c r="C32"/>
    </row>
    <row r="33" spans="1:3">
      <c r="A33"/>
      <c r="C33"/>
    </row>
    <row r="34" spans="1:3">
      <c r="A34"/>
      <c r="C34"/>
    </row>
    <row r="35" spans="1:3">
      <c r="A35"/>
      <c r="C35"/>
    </row>
    <row r="36" spans="1:3">
      <c r="A36"/>
      <c r="C36"/>
    </row>
    <row r="37" spans="1:3">
      <c r="A37"/>
    </row>
    <row r="38" spans="1:3">
      <c r="A38"/>
    </row>
    <row r="39" spans="1:3">
      <c r="A39"/>
      <c r="C39"/>
    </row>
    <row r="40" spans="1:3">
      <c r="A40"/>
      <c r="C40"/>
    </row>
    <row r="41" spans="1:3">
      <c r="A41"/>
      <c r="C41"/>
    </row>
  </sheetData>
  <sheetProtection password="8863" sheet="1" objects="1"/>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MENU</vt:lpstr>
      <vt:lpstr>CĐKT</vt:lpstr>
      <vt:lpstr>CĐKT-Word</vt:lpstr>
      <vt:lpstr>KQKD</vt:lpstr>
      <vt:lpstr>KQKD-Word</vt:lpstr>
      <vt:lpstr>KQKD-Word dự báo</vt:lpstr>
      <vt:lpstr>PTTC</vt:lpstr>
      <vt:lpstr>SSKQ</vt:lpstr>
      <vt:lpstr>SSKQ-Word</vt:lpstr>
      <vt:lpstr>DN-CIC-NCV</vt:lpstr>
      <vt:lpstr>BCNHANH</vt:lpstr>
      <vt:lpstr>HMTD-DN</vt:lpstr>
      <vt:lpstr>HMTD-NH</vt:lpstr>
      <vt:lpstr>PTBD</vt:lpstr>
      <vt:lpstr>Bieudo</vt:lpstr>
      <vt:lpstr>BCNHANH!_Hlk501003162</vt:lpstr>
      <vt:lpstr>SSKQ!Print_Area</vt:lpstr>
      <vt:lpstr>'SSKQ-Word'!Print_Area</vt:lpstr>
    </vt:vector>
  </TitlesOfParts>
  <Company>cmc co.ltd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Hoang Thach</cp:lastModifiedBy>
  <cp:lastPrinted>2017-12-11T01:53:55Z</cp:lastPrinted>
  <dcterms:created xsi:type="dcterms:W3CDTF">2003-06-30T07:35:25Z</dcterms:created>
  <dcterms:modified xsi:type="dcterms:W3CDTF">2019-07-15T12:40:26Z</dcterms:modified>
</cp:coreProperties>
</file>