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defaultThemeVersion="124226"/>
  <bookViews>
    <workbookView xWindow="-105" yWindow="-105" windowWidth="19425" windowHeight="10305" tabRatio="657"/>
  </bookViews>
  <sheets>
    <sheet name="BBKQATM" sheetId="1" r:id="rId1"/>
  </sheets>
  <functionGroups builtInGroupCount="17"/>
  <definedNames>
    <definedName name="_ftn1" localSheetId="0">BBKQATM!#REF!</definedName>
    <definedName name="_ftnref1" localSheetId="0">BBKQATM!#REF!</definedName>
    <definedName name="_xlnm.Print_Area" localSheetId="0">BBKQATM!$A$1:$J$47</definedName>
  </definedNames>
  <calcPr calcId="144525"/>
</workbook>
</file>

<file path=xl/calcChain.xml><?xml version="1.0" encoding="utf-8"?>
<calcChain xmlns="http://schemas.openxmlformats.org/spreadsheetml/2006/main">
  <c r="A11" i="1" l="1"/>
  <c r="A10" i="1"/>
  <c r="A7" i="1"/>
  <c r="A8" i="1"/>
  <c r="A6" i="1"/>
  <c r="A3" i="1"/>
  <c r="G2" i="1"/>
  <c r="J35" i="1" l="1"/>
  <c r="J36" i="1"/>
  <c r="J37" i="1"/>
  <c r="J34" i="1"/>
  <c r="J24" i="1"/>
  <c r="J25" i="1"/>
  <c r="J26" i="1"/>
  <c r="J23" i="1"/>
  <c r="J27" i="1" s="1"/>
  <c r="F24" i="1"/>
  <c r="F25" i="1"/>
  <c r="F26" i="1"/>
  <c r="F23" i="1"/>
  <c r="D24" i="1"/>
  <c r="D25" i="1"/>
  <c r="D26" i="1"/>
  <c r="D23" i="1"/>
  <c r="J38" i="1" l="1"/>
  <c r="A41" i="1" s="1"/>
  <c r="H24" i="1"/>
  <c r="H25" i="1"/>
  <c r="H26" i="1"/>
  <c r="H23" i="1"/>
  <c r="A39" i="1"/>
</calcChain>
</file>

<file path=xl/sharedStrings.xml><?xml version="1.0" encoding="utf-8"?>
<sst xmlns="http://schemas.openxmlformats.org/spreadsheetml/2006/main" count="73" uniqueCount="62">
  <si>
    <t>STT</t>
  </si>
  <si>
    <t>Hộp tiền</t>
  </si>
  <si>
    <t>Tổng số tiền gửi vào tại CDM</t>
  </si>
  <si>
    <t>Hộp tiền mệnh giá chung (MIX)</t>
  </si>
  <si>
    <t>Increase (tiền gửi vào các hộp)</t>
  </si>
  <si>
    <t>Số tờ</t>
  </si>
  <si>
    <t>Thành tiền</t>
  </si>
  <si>
    <t>Tổng cộng</t>
  </si>
  <si>
    <t>Số tờ tiền thực tế</t>
  </si>
  <si>
    <t>Tiền ở Băng chuyền, khoang máy, khay nhớ tạm,cửa nộp/rút tiền, v.v… (G)</t>
  </si>
  <si>
    <t>Ngăn chính</t>
  </si>
  <si>
    <t>Ngăn thu hồi (nếu có)</t>
  </si>
  <si>
    <t>Tiền loại (Reject)</t>
  </si>
  <si>
    <t>Tổng cộng:</t>
  </si>
  <si>
    <t>Đơn vị: VND</t>
  </si>
  <si>
    <t>Mẫu 47/THE</t>
  </si>
  <si>
    <t>CHI NHÁNH: ...............................................</t>
  </si>
  <si>
    <t>(Chu kỳ kiểm quỹ kể từ ...... h ...... ngày ....../....../20........ đến ...... h ...... ngày ....../....../20........)</t>
  </si>
  <si>
    <t>1. Thành phần kiểm quỹ</t>
  </si>
  <si>
    <t>2. Giao dịch thẻ nội địa/quốc tế/NAPAS kỳ này chưa hạch toán:</t>
  </si>
  <si>
    <t>4. Số dư trên hệ thống FIMI</t>
  </si>
  <si>
    <t>Nội dung</t>
  </si>
  <si>
    <t>Số dư</t>
  </si>
  <si>
    <t>Ghi chú</t>
  </si>
  <si>
    <t>Số dư trước Cross Out</t>
  </si>
  <si>
    <t>Cross Out</t>
  </si>
  <si>
    <t>Cross In</t>
  </si>
  <si>
    <t>3. Số dư trên hệ thống IPCAS</t>
  </si>
  <si>
    <t>6. Kết luận, xử lý</t>
  </si>
  <si>
    <t>(Ký, ghi rõ họ tên từng thành viên)</t>
  </si>
  <si>
    <t>TRƯỞNG BAN QUẢN LÝ ATM</t>
  </si>
  <si>
    <t>(Ký, đóng dấu)</t>
  </si>
  <si>
    <t>Hộp tiền (A)</t>
  </si>
  <si>
    <t>Tổng số tiền thực tế (E)
E = A(B+C/D+G)</t>
  </si>
  <si>
    <t>Hộp tiền chính (B)</t>
  </si>
  <si>
    <t>Hộp tiền loại (C )</t>
  </si>
  <si>
    <t>Hộp tiền tại CDM (D)</t>
  </si>
  <si>
    <t>Tiền thu hồi (Retract)</t>
  </si>
  <si>
    <t>Cash End 
(thời gian...h…’)</t>
  </si>
  <si>
    <r>
      <t>Starting Cash</t>
    </r>
    <r>
      <rPr>
        <b/>
        <vertAlign val="superscript"/>
        <sz val="12"/>
        <color theme="1"/>
        <rFont val="Times New Roman"/>
        <family val="1"/>
      </rPr>
      <t xml:space="preserve">1
</t>
    </r>
    <r>
      <rPr>
        <b/>
        <sz val="12"/>
        <color theme="1"/>
        <rFont val="Times New Roman"/>
        <family val="1"/>
      </rPr>
      <t>(thời gian....h..’)</t>
    </r>
  </si>
  <si>
    <t>5. Kết quả kiểm đếm thực tế</t>
  </si>
  <si>
    <r>
      <t xml:space="preserve"> </t>
    </r>
    <r>
      <rPr>
        <i/>
        <vertAlign val="superscript"/>
        <sz val="11"/>
        <color theme="1"/>
        <rFont val="Times New Roman"/>
        <family val="1"/>
      </rPr>
      <t>2</t>
    </r>
    <r>
      <rPr>
        <i/>
        <sz val="11"/>
        <color theme="1"/>
        <rFont val="Times New Roman"/>
        <family val="1"/>
      </rPr>
      <t>Đề nghị Chi nhánh chỉ điền 6 số đầu và 4 số cuối của thẻ (Ví dụ: 970405******1234)</t>
    </r>
  </si>
  <si>
    <t>Thời gian….h….</t>
  </si>
  <si>
    <t>Nhập ở cột C đến cột I</t>
  </si>
  <si>
    <r>
      <t>- Nguyên nhân (số thẻ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, số tiền, số trace/ID giao dịch):</t>
    </r>
  </si>
  <si>
    <t>- Hướng xử lý: …..</t>
  </si>
  <si>
    <t>Quỳ Hợp</t>
  </si>
  <si>
    <t>Nhập ở cột "Số tờ"</t>
  </si>
  <si>
    <t>(Nhập Địa danh ở cột L, nhập ngày tháng ở cột M)</t>
  </si>
  <si>
    <t>01234</t>
  </si>
  <si>
    <t>(nhập ID của ATM)</t>
  </si>
  <si>
    <t>Nguyễn Văn A - Phó giám đốc</t>
  </si>
  <si>
    <t>Nguyễn Văn B - TP. Kế toán Ngân quỹ</t>
  </si>
  <si>
    <t>Nguyễn Văn C - Giao dịch viên</t>
  </si>
  <si>
    <t>Nhập tên các thành phần kiểm quỹ vào cột L</t>
  </si>
  <si>
    <t>Từ phần này trở xuống nhập trực tiếp vào mẫu</t>
  </si>
  <si>
    <t>Ghi chú: Nhập vào các trường màu xanh ở cột L, M theo hướng dẫn thì sẽ điền sang mẫu</t>
  </si>
  <si>
    <r>
      <rPr>
        <i/>
        <vertAlign val="superscript"/>
        <sz val="11"/>
        <color theme="1"/>
        <rFont val="Times New Roman"/>
        <family val="1"/>
      </rPr>
      <t xml:space="preserve"> 1 </t>
    </r>
    <r>
      <rPr>
        <i/>
        <sz val="11"/>
        <color theme="1"/>
        <rFont val="Times New Roman"/>
        <family val="1"/>
      </rPr>
      <t>Là số liệu tại thời điểm đầu chu kỳ kiểm quỹ</t>
    </r>
  </si>
  <si>
    <t>THÀNH VIÊN BAN QUẢN LÝ ATM</t>
  </si>
  <si>
    <t>Nhập số món, số tiền vào cột L dưới đây</t>
  </si>
  <si>
    <t>Công thức số tiền tự chạy</t>
  </si>
  <si>
    <t>Công thức thừa thiếu quỹ tự chạy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</si>
</sst>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i/>
      <sz val="12"/>
      <color theme="1"/>
      <name val="Times New Roman"/>
      <family val="1"/>
    </font>
    <font>
      <b/>
      <vertAlign val="superscript"/>
      <sz val="12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perscript"/>
      <sz val="11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2"/>
      <color rgb="FF0000FF"/>
      <name val="Times New Roman"/>
      <family val="1"/>
    </font>
    <font>
      <sz val="12"/>
      <color rgb="FF0000FF"/>
      <name val="Times New Roman"/>
      <family val="1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/>
    </xf>
    <xf numFmtId="3" fontId="1" fillId="0" borderId="1" xfId="0" applyNumberFormat="1" applyFont="1" applyBorder="1" applyAlignment="1">
      <alignment horizontal="right" vertical="center" wrapText="1"/>
    </xf>
    <xf numFmtId="164" fontId="1" fillId="0" borderId="1" xfId="1" applyNumberFormat="1" applyFont="1" applyBorder="1" applyAlignment="1">
      <alignment horizontal="justify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vertical="center" wrapText="1"/>
    </xf>
    <xf numFmtId="0" fontId="6" fillId="0" borderId="0" xfId="0" applyFont="1"/>
    <xf numFmtId="0" fontId="6" fillId="0" borderId="0" xfId="0" applyFont="1" applyBorder="1"/>
    <xf numFmtId="0" fontId="1" fillId="0" borderId="0" xfId="0" applyFont="1" applyBorder="1"/>
    <xf numFmtId="164" fontId="1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justify" vertical="center" wrapText="1"/>
    </xf>
    <xf numFmtId="164" fontId="2" fillId="0" borderId="3" xfId="0" applyNumberFormat="1" applyFont="1" applyBorder="1" applyAlignment="1">
      <alignment vertical="center" wrapText="1"/>
    </xf>
    <xf numFmtId="0" fontId="1" fillId="0" borderId="0" xfId="0" quotePrefix="1" applyFont="1"/>
    <xf numFmtId="0" fontId="2" fillId="0" borderId="0" xfId="0" applyFont="1" applyAlignment="1">
      <alignment horizontal="right" vertical="top"/>
    </xf>
    <xf numFmtId="0" fontId="11" fillId="0" borderId="0" xfId="0" applyFont="1"/>
    <xf numFmtId="0" fontId="2" fillId="0" borderId="0" xfId="0" applyFont="1" applyAlignment="1">
      <alignment vertical="center"/>
    </xf>
    <xf numFmtId="0" fontId="10" fillId="2" borderId="0" xfId="0" applyFont="1" applyFill="1"/>
    <xf numFmtId="14" fontId="10" fillId="2" borderId="0" xfId="0" applyNumberFormat="1" applyFont="1" applyFill="1"/>
    <xf numFmtId="49" fontId="10" fillId="2" borderId="0" xfId="0" applyNumberFormat="1" applyFont="1" applyFill="1"/>
    <xf numFmtId="0" fontId="1" fillId="2" borderId="0" xfId="0" applyFont="1" applyFill="1"/>
    <xf numFmtId="164" fontId="2" fillId="0" borderId="1" xfId="1" applyNumberFormat="1" applyFont="1" applyBorder="1" applyAlignment="1">
      <alignment horizontal="right" vertical="center" wrapText="1"/>
    </xf>
    <xf numFmtId="164" fontId="2" fillId="0" borderId="1" xfId="1" applyNumberFormat="1" applyFont="1" applyBorder="1" applyAlignment="1">
      <alignment horizontal="justify" vertical="center" wrapText="1"/>
    </xf>
    <xf numFmtId="0" fontId="12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0" fontId="1" fillId="0" borderId="0" xfId="0" applyFont="1" applyAlignment="1">
      <alignment horizontal="left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justify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164" fontId="1" fillId="0" borderId="2" xfId="1" applyNumberFormat="1" applyFont="1" applyBorder="1" applyAlignment="1">
      <alignment horizontal="center" vertical="center" wrapText="1"/>
    </xf>
    <xf numFmtId="164" fontId="1" fillId="0" borderId="3" xfId="1" applyNumberFormat="1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5</xdr:col>
      <xdr:colOff>241300</xdr:colOff>
      <xdr:row>0</xdr:row>
      <xdr:rowOff>866775</xdr:rowOff>
    </xdr:to>
    <xdr:pic>
      <xdr:nvPicPr>
        <xdr:cNvPr id="2" name="Picture 1" descr="Description: Agribank - Full logo - Color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29622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95250</xdr:colOff>
      <xdr:row>21</xdr:row>
      <xdr:rowOff>368300</xdr:rowOff>
    </xdr:from>
    <xdr:to>
      <xdr:col>11</xdr:col>
      <xdr:colOff>601650</xdr:colOff>
      <xdr:row>23</xdr:row>
      <xdr:rowOff>165100</xdr:rowOff>
    </xdr:to>
    <xdr:sp macro="[0]!ClearAll1" textlink="">
      <xdr:nvSpPr>
        <xdr:cNvPr id="3" name="Rounded Rectangle 2"/>
        <xdr:cNvSpPr/>
      </xdr:nvSpPr>
      <xdr:spPr>
        <a:xfrm>
          <a:off x="6562725" y="5578475"/>
          <a:ext cx="1116000" cy="39687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itchFamily="18" charset="0"/>
              <a:cs typeface="Times New Roman" pitchFamily="18" charset="0"/>
            </a:rPr>
            <a:t>Xóa</a:t>
          </a:r>
          <a:r>
            <a:rPr lang="en-US" sz="1200" baseline="0">
              <a:latin typeface="Times New Roman" pitchFamily="18" charset="0"/>
              <a:cs typeface="Times New Roman" pitchFamily="18" charset="0"/>
            </a:rPr>
            <a:t> nhập lại</a:t>
          </a:r>
        </a:p>
      </xdr:txBody>
    </xdr:sp>
    <xdr:clientData fPrintsWithSheet="0"/>
  </xdr:twoCellAnchor>
  <xdr:twoCellAnchor editAs="oneCell">
    <xdr:from>
      <xdr:col>10</xdr:col>
      <xdr:colOff>88900</xdr:colOff>
      <xdr:row>33</xdr:row>
      <xdr:rowOff>6350</xdr:rowOff>
    </xdr:from>
    <xdr:to>
      <xdr:col>11</xdr:col>
      <xdr:colOff>595300</xdr:colOff>
      <xdr:row>34</xdr:row>
      <xdr:rowOff>184150</xdr:rowOff>
    </xdr:to>
    <xdr:sp macro="[0]!ClearAll2" textlink="">
      <xdr:nvSpPr>
        <xdr:cNvPr id="4" name="Rounded Rectangle 3"/>
        <xdr:cNvSpPr/>
      </xdr:nvSpPr>
      <xdr:spPr>
        <a:xfrm>
          <a:off x="6556375" y="9474200"/>
          <a:ext cx="1116000" cy="3778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itchFamily="18" charset="0"/>
              <a:cs typeface="Times New Roman" pitchFamily="18" charset="0"/>
            </a:rPr>
            <a:t>Xóa</a:t>
          </a:r>
          <a:r>
            <a:rPr lang="en-US" sz="1200" baseline="0">
              <a:latin typeface="Times New Roman" pitchFamily="18" charset="0"/>
              <a:cs typeface="Times New Roman" pitchFamily="18" charset="0"/>
            </a:rPr>
            <a:t> nhập lại</a:t>
          </a:r>
        </a:p>
      </xdr:txBody>
    </xdr:sp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19</xdr:col>
      <xdr:colOff>383443</xdr:colOff>
      <xdr:row>0</xdr:row>
      <xdr:rowOff>609524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6800" y="0"/>
          <a:ext cx="5857143" cy="609524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69850</xdr:colOff>
      <xdr:row>13</xdr:row>
      <xdr:rowOff>25400</xdr:rowOff>
    </xdr:from>
    <xdr:to>
      <xdr:col>11</xdr:col>
      <xdr:colOff>576250</xdr:colOff>
      <xdr:row>14</xdr:row>
      <xdr:rowOff>203200</xdr:rowOff>
    </xdr:to>
    <xdr:sp macro="[0]!ClearAll3" textlink="">
      <xdr:nvSpPr>
        <xdr:cNvPr id="8" name="Rounded Rectangle 7"/>
        <xdr:cNvSpPr/>
      </xdr:nvSpPr>
      <xdr:spPr>
        <a:xfrm>
          <a:off x="6537325" y="3444875"/>
          <a:ext cx="1116000" cy="3778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itchFamily="18" charset="0"/>
              <a:cs typeface="Times New Roman" pitchFamily="18" charset="0"/>
            </a:rPr>
            <a:t>Xóa</a:t>
          </a:r>
          <a:r>
            <a:rPr lang="en-US" sz="1200" baseline="0">
              <a:latin typeface="Times New Roman" pitchFamily="18" charset="0"/>
              <a:cs typeface="Times New Roman" pitchFamily="18" charset="0"/>
            </a:rPr>
            <a:t> nhập lại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1"/>
  <sheetViews>
    <sheetView tabSelected="1" workbookViewId="0">
      <selection activeCell="M42" sqref="M42"/>
    </sheetView>
  </sheetViews>
  <sheetFormatPr defaultColWidth="9.140625" defaultRowHeight="15.75" x14ac:dyDescent="0.25"/>
  <cols>
    <col min="1" max="1" width="6.5703125" style="4" customWidth="1"/>
    <col min="2" max="2" width="9.140625" style="4" customWidth="1"/>
    <col min="3" max="3" width="8" style="4" customWidth="1"/>
    <col min="4" max="4" width="10.5703125" style="4" customWidth="1"/>
    <col min="5" max="5" width="6.85546875" style="4" customWidth="1"/>
    <col min="6" max="6" width="11.28515625" style="4" customWidth="1"/>
    <col min="7" max="7" width="8.5703125" style="4" customWidth="1"/>
    <col min="8" max="8" width="12.28515625" style="4" customWidth="1"/>
    <col min="9" max="9" width="10.5703125" style="4" customWidth="1"/>
    <col min="10" max="10" width="13.140625" style="4" customWidth="1"/>
    <col min="11" max="11" width="9.140625" style="4"/>
    <col min="12" max="12" width="10.7109375" style="4" customWidth="1"/>
    <col min="13" max="13" width="12.7109375" style="4" customWidth="1"/>
    <col min="14" max="16384" width="9.140625" style="4"/>
  </cols>
  <sheetData>
    <row r="1" spans="1:15" ht="69.75" customHeight="1" x14ac:dyDescent="0.25">
      <c r="J1" s="21" t="s">
        <v>15</v>
      </c>
      <c r="L1" s="30" t="s">
        <v>56</v>
      </c>
    </row>
    <row r="2" spans="1:15" ht="17.25" customHeight="1" x14ac:dyDescent="0.25">
      <c r="A2" s="31" t="s">
        <v>16</v>
      </c>
      <c r="B2" s="31"/>
      <c r="C2" s="31"/>
      <c r="D2" s="31"/>
      <c r="E2" s="31"/>
      <c r="G2" s="35" t="str">
        <f>L2&amp;", ngày "&amp;TEXT(DAY(M2),"00")&amp;" tháng "&amp;TEXT(MONTH(M2),"00")&amp;" năm "&amp;YEAR(M2)</f>
        <v>Quỳ Hợp, ngày 02 tháng 03 năm 2024</v>
      </c>
      <c r="H2" s="35"/>
      <c r="I2" s="35"/>
      <c r="J2" s="35"/>
      <c r="L2" s="24" t="s">
        <v>46</v>
      </c>
      <c r="M2" s="25">
        <v>45353</v>
      </c>
      <c r="N2" s="22" t="s">
        <v>48</v>
      </c>
    </row>
    <row r="3" spans="1:15" ht="26.25" customHeight="1" x14ac:dyDescent="0.25">
      <c r="A3" s="51" t="str">
        <f>"BIÊN BẢN KIỂM QUỸ ATM (ID: "&amp;L3&amp;" )"</f>
        <v>BIÊN BẢN KIỂM QUỸ ATM (ID: 01234 )</v>
      </c>
      <c r="B3" s="51"/>
      <c r="C3" s="51"/>
      <c r="D3" s="51"/>
      <c r="E3" s="51"/>
      <c r="F3" s="51"/>
      <c r="G3" s="51"/>
      <c r="H3" s="51"/>
      <c r="I3" s="51"/>
      <c r="J3" s="51"/>
      <c r="L3" s="26" t="s">
        <v>49</v>
      </c>
      <c r="N3" s="22" t="s">
        <v>50</v>
      </c>
    </row>
    <row r="4" spans="1:15" x14ac:dyDescent="0.25">
      <c r="A4" s="31" t="s">
        <v>17</v>
      </c>
      <c r="B4" s="31"/>
      <c r="C4" s="31"/>
      <c r="D4" s="31"/>
      <c r="E4" s="31"/>
      <c r="F4" s="31"/>
      <c r="G4" s="31"/>
      <c r="H4" s="31"/>
      <c r="I4" s="31"/>
      <c r="J4" s="31"/>
    </row>
    <row r="5" spans="1:15" x14ac:dyDescent="0.25">
      <c r="A5" s="5" t="s">
        <v>18</v>
      </c>
      <c r="L5" s="22" t="s">
        <v>54</v>
      </c>
    </row>
    <row r="6" spans="1:15" x14ac:dyDescent="0.25">
      <c r="A6" s="4" t="str">
        <f>"- "&amp;L6</f>
        <v>- Nguyễn Văn A - Phó giám đốc</v>
      </c>
      <c r="L6" s="24" t="s">
        <v>51</v>
      </c>
      <c r="M6" s="27"/>
      <c r="N6" s="27"/>
      <c r="O6" s="27"/>
    </row>
    <row r="7" spans="1:15" x14ac:dyDescent="0.25">
      <c r="A7" s="4" t="str">
        <f t="shared" ref="A7:A8" si="0">"- "&amp;L7</f>
        <v>- Nguyễn Văn B - TP. Kế toán Ngân quỹ</v>
      </c>
      <c r="L7" s="24" t="s">
        <v>52</v>
      </c>
      <c r="M7" s="27"/>
      <c r="N7" s="27"/>
      <c r="O7" s="27"/>
    </row>
    <row r="8" spans="1:15" x14ac:dyDescent="0.25">
      <c r="A8" s="4" t="str">
        <f t="shared" si="0"/>
        <v>- Nguyễn Văn C - Giao dịch viên</v>
      </c>
      <c r="L8" s="24" t="s">
        <v>53</v>
      </c>
      <c r="M8" s="27"/>
      <c r="N8" s="27"/>
      <c r="O8" s="27"/>
    </row>
    <row r="9" spans="1:15" x14ac:dyDescent="0.25">
      <c r="A9" s="5" t="s">
        <v>19</v>
      </c>
      <c r="L9" s="22" t="s">
        <v>59</v>
      </c>
    </row>
    <row r="10" spans="1:15" ht="15.6" x14ac:dyDescent="0.35">
      <c r="A10" s="4" t="str">
        <f>"- Tổng số món: "&amp;L10</f>
        <v>- Tổng số món: 20</v>
      </c>
      <c r="L10" s="24">
        <v>20</v>
      </c>
    </row>
    <row r="11" spans="1:15" ht="15.6" x14ac:dyDescent="0.35">
      <c r="A11" s="4" t="str">
        <f>"- Tổng số tiền: "&amp;L11</f>
        <v>- Tổng số tiền: 10</v>
      </c>
      <c r="L11" s="24">
        <v>10</v>
      </c>
    </row>
    <row r="12" spans="1:15" x14ac:dyDescent="0.25">
      <c r="A12" s="5" t="s">
        <v>27</v>
      </c>
    </row>
    <row r="13" spans="1:15" x14ac:dyDescent="0.25">
      <c r="A13" s="5"/>
      <c r="J13" s="7" t="s">
        <v>14</v>
      </c>
      <c r="L13" s="22" t="s">
        <v>55</v>
      </c>
    </row>
    <row r="14" spans="1:15" x14ac:dyDescent="0.25">
      <c r="A14" s="2" t="s">
        <v>0</v>
      </c>
      <c r="B14" s="41" t="s">
        <v>21</v>
      </c>
      <c r="C14" s="47"/>
      <c r="D14" s="42"/>
      <c r="E14" s="41" t="s">
        <v>42</v>
      </c>
      <c r="F14" s="42"/>
      <c r="G14" s="41" t="s">
        <v>22</v>
      </c>
      <c r="H14" s="42"/>
      <c r="I14" s="37" t="s">
        <v>23</v>
      </c>
      <c r="J14" s="37"/>
    </row>
    <row r="15" spans="1:15" ht="16.5" customHeight="1" x14ac:dyDescent="0.25">
      <c r="A15" s="6">
        <v>1</v>
      </c>
      <c r="B15" s="48" t="s">
        <v>24</v>
      </c>
      <c r="C15" s="49"/>
      <c r="D15" s="50"/>
      <c r="E15" s="39"/>
      <c r="F15" s="40"/>
      <c r="G15" s="53"/>
      <c r="H15" s="54"/>
      <c r="I15" s="39"/>
      <c r="J15" s="40"/>
    </row>
    <row r="16" spans="1:15" ht="15.6" x14ac:dyDescent="0.35">
      <c r="A16" s="6">
        <v>2</v>
      </c>
      <c r="B16" s="48" t="s">
        <v>25</v>
      </c>
      <c r="C16" s="49"/>
      <c r="D16" s="50"/>
      <c r="E16" s="39"/>
      <c r="F16" s="40"/>
      <c r="G16" s="53"/>
      <c r="H16" s="54"/>
      <c r="I16" s="39"/>
      <c r="J16" s="40"/>
    </row>
    <row r="17" spans="1:13" ht="15.6" x14ac:dyDescent="0.35">
      <c r="A17" s="6">
        <v>3</v>
      </c>
      <c r="B17" s="48" t="s">
        <v>26</v>
      </c>
      <c r="C17" s="49"/>
      <c r="D17" s="50"/>
      <c r="E17" s="39"/>
      <c r="F17" s="40"/>
      <c r="G17" s="53"/>
      <c r="H17" s="54"/>
      <c r="I17" s="39"/>
      <c r="J17" s="40"/>
    </row>
    <row r="18" spans="1:13" x14ac:dyDescent="0.25">
      <c r="A18" s="5" t="s">
        <v>20</v>
      </c>
    </row>
    <row r="19" spans="1:13" x14ac:dyDescent="0.25">
      <c r="J19" s="7" t="s">
        <v>14</v>
      </c>
    </row>
    <row r="20" spans="1:13" ht="15.75" customHeight="1" x14ac:dyDescent="0.25">
      <c r="A20" s="37" t="s">
        <v>0</v>
      </c>
      <c r="B20" s="37" t="s">
        <v>1</v>
      </c>
      <c r="C20" s="37" t="s">
        <v>39</v>
      </c>
      <c r="D20" s="37"/>
      <c r="E20" s="43" t="s">
        <v>38</v>
      </c>
      <c r="F20" s="44"/>
      <c r="G20" s="37" t="s">
        <v>2</v>
      </c>
      <c r="H20" s="37"/>
      <c r="I20" s="37"/>
      <c r="J20" s="37"/>
    </row>
    <row r="21" spans="1:13" ht="31.5" customHeight="1" x14ac:dyDescent="0.25">
      <c r="A21" s="37"/>
      <c r="B21" s="37"/>
      <c r="C21" s="37"/>
      <c r="D21" s="37"/>
      <c r="E21" s="45"/>
      <c r="F21" s="46"/>
      <c r="G21" s="37" t="s">
        <v>3</v>
      </c>
      <c r="H21" s="37"/>
      <c r="I21" s="37" t="s">
        <v>4</v>
      </c>
      <c r="J21" s="37"/>
    </row>
    <row r="22" spans="1:13" ht="31.5" x14ac:dyDescent="0.25">
      <c r="A22" s="37"/>
      <c r="B22" s="37"/>
      <c r="C22" s="17" t="s">
        <v>5</v>
      </c>
      <c r="D22" s="2" t="s">
        <v>6</v>
      </c>
      <c r="E22" s="17" t="s">
        <v>5</v>
      </c>
      <c r="F22" s="2" t="s">
        <v>6</v>
      </c>
      <c r="G22" s="17" t="s">
        <v>5</v>
      </c>
      <c r="H22" s="2" t="s">
        <v>6</v>
      </c>
      <c r="I22" s="17" t="s">
        <v>5</v>
      </c>
      <c r="J22" s="2" t="s">
        <v>6</v>
      </c>
    </row>
    <row r="23" spans="1:13" x14ac:dyDescent="0.25">
      <c r="A23" s="6">
        <v>1</v>
      </c>
      <c r="B23" s="8">
        <v>50000</v>
      </c>
      <c r="C23" s="9"/>
      <c r="D23" s="9">
        <f>B23*C23</f>
        <v>0</v>
      </c>
      <c r="E23" s="9"/>
      <c r="F23" s="9">
        <f>B23*E23</f>
        <v>0</v>
      </c>
      <c r="G23" s="9"/>
      <c r="H23" s="9">
        <f>B23*G23</f>
        <v>0</v>
      </c>
      <c r="I23" s="9"/>
      <c r="J23" s="9">
        <f>B23*I23</f>
        <v>0</v>
      </c>
      <c r="M23" s="22" t="s">
        <v>47</v>
      </c>
    </row>
    <row r="24" spans="1:13" x14ac:dyDescent="0.25">
      <c r="A24" s="6">
        <v>2</v>
      </c>
      <c r="B24" s="8">
        <v>100000</v>
      </c>
      <c r="C24" s="9"/>
      <c r="D24" s="9">
        <f t="shared" ref="D24:D26" si="1">B24*C24</f>
        <v>0</v>
      </c>
      <c r="E24" s="9"/>
      <c r="F24" s="9">
        <f t="shared" ref="F24:F26" si="2">B24*E24</f>
        <v>0</v>
      </c>
      <c r="G24" s="9"/>
      <c r="H24" s="9">
        <f t="shared" ref="H24:H26" si="3">B24*G24</f>
        <v>0</v>
      </c>
      <c r="I24" s="9"/>
      <c r="J24" s="9">
        <f t="shared" ref="J24:J26" si="4">B24*I24</f>
        <v>0</v>
      </c>
    </row>
    <row r="25" spans="1:13" x14ac:dyDescent="0.25">
      <c r="A25" s="6">
        <v>3</v>
      </c>
      <c r="B25" s="8">
        <v>200000</v>
      </c>
      <c r="C25" s="9"/>
      <c r="D25" s="9">
        <f t="shared" si="1"/>
        <v>0</v>
      </c>
      <c r="E25" s="9"/>
      <c r="F25" s="9">
        <f t="shared" si="2"/>
        <v>0</v>
      </c>
      <c r="G25" s="9"/>
      <c r="H25" s="9">
        <f t="shared" si="3"/>
        <v>0</v>
      </c>
      <c r="I25" s="9"/>
      <c r="J25" s="9">
        <f t="shared" si="4"/>
        <v>0</v>
      </c>
    </row>
    <row r="26" spans="1:13" x14ac:dyDescent="0.25">
      <c r="A26" s="6">
        <v>4</v>
      </c>
      <c r="B26" s="8">
        <v>500000</v>
      </c>
      <c r="C26" s="9"/>
      <c r="D26" s="9">
        <f t="shared" si="1"/>
        <v>0</v>
      </c>
      <c r="E26" s="9"/>
      <c r="F26" s="9">
        <f t="shared" si="2"/>
        <v>0</v>
      </c>
      <c r="G26" s="9"/>
      <c r="H26" s="9">
        <f t="shared" si="3"/>
        <v>0</v>
      </c>
      <c r="I26" s="9"/>
      <c r="J26" s="9">
        <f t="shared" si="4"/>
        <v>0</v>
      </c>
    </row>
    <row r="27" spans="1:13" ht="17.25" customHeight="1" x14ac:dyDescent="0.25">
      <c r="A27" s="37" t="s">
        <v>7</v>
      </c>
      <c r="B27" s="37"/>
      <c r="C27" s="38"/>
      <c r="D27" s="38"/>
      <c r="E27" s="38"/>
      <c r="F27" s="38"/>
      <c r="G27" s="38"/>
      <c r="H27" s="38"/>
      <c r="I27" s="12"/>
      <c r="J27" s="19">
        <f>SUM(J23:J26)</f>
        <v>0</v>
      </c>
    </row>
    <row r="28" spans="1:13" ht="18" x14ac:dyDescent="0.25">
      <c r="A28" s="13" t="s">
        <v>57</v>
      </c>
    </row>
    <row r="29" spans="1:13" x14ac:dyDescent="0.25">
      <c r="A29" s="5" t="s">
        <v>40</v>
      </c>
    </row>
    <row r="30" spans="1:13" x14ac:dyDescent="0.25">
      <c r="A30" s="5"/>
      <c r="J30" s="7" t="s">
        <v>14</v>
      </c>
    </row>
    <row r="31" spans="1:13" x14ac:dyDescent="0.25">
      <c r="A31" s="37" t="s">
        <v>0</v>
      </c>
      <c r="B31" s="37" t="s">
        <v>32</v>
      </c>
      <c r="C31" s="37" t="s">
        <v>8</v>
      </c>
      <c r="D31" s="37"/>
      <c r="E31" s="37"/>
      <c r="F31" s="37"/>
      <c r="G31" s="37"/>
      <c r="H31" s="37"/>
      <c r="I31" s="37"/>
      <c r="J31" s="37" t="s">
        <v>33</v>
      </c>
    </row>
    <row r="32" spans="1:13" x14ac:dyDescent="0.25">
      <c r="A32" s="37"/>
      <c r="B32" s="37"/>
      <c r="C32" s="37" t="s">
        <v>34</v>
      </c>
      <c r="D32" s="37" t="s">
        <v>35</v>
      </c>
      <c r="E32" s="37"/>
      <c r="F32" s="37" t="s">
        <v>36</v>
      </c>
      <c r="G32" s="37"/>
      <c r="H32" s="37"/>
      <c r="I32" s="52" t="s">
        <v>9</v>
      </c>
      <c r="J32" s="37"/>
    </row>
    <row r="33" spans="1:13" ht="142.5" customHeight="1" x14ac:dyDescent="0.25">
      <c r="A33" s="37"/>
      <c r="B33" s="37"/>
      <c r="C33" s="37"/>
      <c r="D33" s="3" t="s">
        <v>10</v>
      </c>
      <c r="E33" s="3" t="s">
        <v>11</v>
      </c>
      <c r="F33" s="3" t="s">
        <v>3</v>
      </c>
      <c r="G33" s="3" t="s">
        <v>12</v>
      </c>
      <c r="H33" s="3" t="s">
        <v>37</v>
      </c>
      <c r="I33" s="52"/>
      <c r="J33" s="37"/>
    </row>
    <row r="34" spans="1:13" x14ac:dyDescent="0.25">
      <c r="A34" s="10">
        <v>1</v>
      </c>
      <c r="B34" s="8">
        <v>50000</v>
      </c>
      <c r="C34" s="9"/>
      <c r="D34" s="9"/>
      <c r="E34" s="9"/>
      <c r="F34" s="9"/>
      <c r="G34" s="9"/>
      <c r="H34" s="9"/>
      <c r="I34" s="9"/>
      <c r="J34" s="16">
        <f>B34*(C34+D34+E34+F34+G34+H34+I34)</f>
        <v>0</v>
      </c>
      <c r="M34" s="22" t="s">
        <v>43</v>
      </c>
    </row>
    <row r="35" spans="1:13" x14ac:dyDescent="0.25">
      <c r="A35" s="10">
        <v>2</v>
      </c>
      <c r="B35" s="8">
        <v>100000</v>
      </c>
      <c r="C35" s="9"/>
      <c r="D35" s="9"/>
      <c r="E35" s="9"/>
      <c r="F35" s="9"/>
      <c r="G35" s="9"/>
      <c r="H35" s="9"/>
      <c r="I35" s="9"/>
      <c r="J35" s="16">
        <f t="shared" ref="J35:J37" si="5">B35*(C35+D35+E35+F35+G35+H35+I35)</f>
        <v>0</v>
      </c>
    </row>
    <row r="36" spans="1:13" x14ac:dyDescent="0.25">
      <c r="A36" s="10">
        <v>3</v>
      </c>
      <c r="B36" s="8">
        <v>200000</v>
      </c>
      <c r="C36" s="9"/>
      <c r="D36" s="9"/>
      <c r="E36" s="9"/>
      <c r="F36" s="9"/>
      <c r="G36" s="9"/>
      <c r="H36" s="9"/>
      <c r="I36" s="9"/>
      <c r="J36" s="16">
        <f t="shared" si="5"/>
        <v>0</v>
      </c>
    </row>
    <row r="37" spans="1:13" x14ac:dyDescent="0.25">
      <c r="A37" s="10">
        <v>4</v>
      </c>
      <c r="B37" s="8">
        <v>500000</v>
      </c>
      <c r="C37" s="9"/>
      <c r="D37" s="9"/>
      <c r="E37" s="9"/>
      <c r="F37" s="9"/>
      <c r="G37" s="9"/>
      <c r="H37" s="9"/>
      <c r="I37" s="9"/>
      <c r="J37" s="16">
        <f t="shared" si="5"/>
        <v>0</v>
      </c>
    </row>
    <row r="38" spans="1:13" x14ac:dyDescent="0.25">
      <c r="A38" s="37" t="s">
        <v>13</v>
      </c>
      <c r="B38" s="37"/>
      <c r="C38" s="28"/>
      <c r="D38" s="28"/>
      <c r="E38" s="29"/>
      <c r="F38" s="29"/>
      <c r="G38" s="29"/>
      <c r="H38" s="29"/>
      <c r="I38" s="29"/>
      <c r="J38" s="18">
        <f>SUM(J34:J37)</f>
        <v>0</v>
      </c>
    </row>
    <row r="39" spans="1:13" x14ac:dyDescent="0.25">
      <c r="A39" s="36" t="str">
        <f>"Tổng số tiền kiểm đếm thực tế bằng chữ: "&amp;DocSoTien(J38)</f>
        <v>Tổng số tiền kiểm đếm thực tế bằng chữ:  đồng.</v>
      </c>
      <c r="B39" s="36"/>
      <c r="C39" s="36"/>
      <c r="D39" s="36"/>
      <c r="E39" s="36"/>
      <c r="F39" s="36"/>
      <c r="G39" s="36"/>
      <c r="H39" s="36"/>
      <c r="I39" s="36"/>
      <c r="J39" s="36"/>
      <c r="M39" s="22" t="s">
        <v>60</v>
      </c>
    </row>
    <row r="40" spans="1:13" x14ac:dyDescent="0.25">
      <c r="A40" s="5" t="s">
        <v>28</v>
      </c>
    </row>
    <row r="41" spans="1:13" x14ac:dyDescent="0.25">
      <c r="A41" s="4" t="str">
        <f>"- Số tiền thừa/thiếu quỹ: "&amp;TEXT(J38-J27,"###,0")&amp; " đồng"</f>
        <v>- Số tiền thừa/thiếu quỹ: 0 đồng</v>
      </c>
      <c r="M41" s="22" t="s">
        <v>61</v>
      </c>
    </row>
    <row r="42" spans="1:13" ht="18.75" x14ac:dyDescent="0.25">
      <c r="A42" s="20" t="s">
        <v>44</v>
      </c>
    </row>
    <row r="43" spans="1:13" x14ac:dyDescent="0.25">
      <c r="A43" s="20" t="s">
        <v>45</v>
      </c>
    </row>
    <row r="44" spans="1:13" ht="18" x14ac:dyDescent="0.25">
      <c r="A44" s="14" t="s">
        <v>41</v>
      </c>
      <c r="B44" s="15"/>
      <c r="C44" s="15"/>
    </row>
    <row r="45" spans="1:13" x14ac:dyDescent="0.25">
      <c r="A45" s="11"/>
    </row>
    <row r="46" spans="1:13" x14ac:dyDescent="0.25">
      <c r="A46" s="32" t="s">
        <v>58</v>
      </c>
      <c r="B46" s="33"/>
      <c r="C46" s="33"/>
      <c r="D46" s="33"/>
      <c r="E46" s="33"/>
      <c r="F46" s="1"/>
      <c r="G46" s="32" t="s">
        <v>30</v>
      </c>
      <c r="H46" s="32"/>
      <c r="I46" s="32"/>
      <c r="J46" s="32"/>
    </row>
    <row r="47" spans="1:13" x14ac:dyDescent="0.25">
      <c r="A47" s="34" t="s">
        <v>29</v>
      </c>
      <c r="B47" s="34"/>
      <c r="C47" s="34"/>
      <c r="D47" s="34"/>
      <c r="E47" s="34"/>
      <c r="F47" s="1"/>
      <c r="G47" s="34" t="s">
        <v>31</v>
      </c>
      <c r="H47" s="34"/>
      <c r="I47" s="34"/>
      <c r="J47" s="34"/>
    </row>
    <row r="51" spans="1:10" x14ac:dyDescent="0.25">
      <c r="A51" s="11"/>
      <c r="B51" s="11"/>
      <c r="C51" s="11"/>
      <c r="D51" s="11"/>
      <c r="E51" s="11"/>
      <c r="F51" s="1"/>
      <c r="G51" s="23"/>
      <c r="H51" s="23"/>
      <c r="I51" s="23"/>
      <c r="J51" s="23"/>
    </row>
  </sheetData>
  <mergeCells count="45">
    <mergeCell ref="A3:J3"/>
    <mergeCell ref="A4:J4"/>
    <mergeCell ref="A38:B38"/>
    <mergeCell ref="A20:A22"/>
    <mergeCell ref="B20:B22"/>
    <mergeCell ref="A31:A33"/>
    <mergeCell ref="C31:I31"/>
    <mergeCell ref="D32:E32"/>
    <mergeCell ref="F32:H32"/>
    <mergeCell ref="I32:I33"/>
    <mergeCell ref="G15:H15"/>
    <mergeCell ref="G16:H16"/>
    <mergeCell ref="G17:H17"/>
    <mergeCell ref="I15:J15"/>
    <mergeCell ref="I16:J16"/>
    <mergeCell ref="I14:J14"/>
    <mergeCell ref="I17:J17"/>
    <mergeCell ref="G14:H14"/>
    <mergeCell ref="G27:H27"/>
    <mergeCell ref="C20:D21"/>
    <mergeCell ref="E20:F21"/>
    <mergeCell ref="B14:D14"/>
    <mergeCell ref="B15:D15"/>
    <mergeCell ref="B16:D16"/>
    <mergeCell ref="B17:D17"/>
    <mergeCell ref="E14:F14"/>
    <mergeCell ref="E15:F15"/>
    <mergeCell ref="E16:F16"/>
    <mergeCell ref="E17:F17"/>
    <mergeCell ref="A2:E2"/>
    <mergeCell ref="A46:E46"/>
    <mergeCell ref="A47:E47"/>
    <mergeCell ref="G46:J46"/>
    <mergeCell ref="G47:J47"/>
    <mergeCell ref="G2:J2"/>
    <mergeCell ref="A39:J39"/>
    <mergeCell ref="J31:J33"/>
    <mergeCell ref="C32:C33"/>
    <mergeCell ref="B31:B33"/>
    <mergeCell ref="G20:J20"/>
    <mergeCell ref="G21:H21"/>
    <mergeCell ref="I21:J21"/>
    <mergeCell ref="A27:B27"/>
    <mergeCell ref="C27:D27"/>
    <mergeCell ref="E27:F27"/>
  </mergeCells>
  <pageMargins left="0.33" right="0.25" top="0.51" bottom="0.49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BBKQATM</vt:lpstr>
      <vt:lpstr>BBKQATM!Print_Area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Thach - 3612</dc:creator>
  <cp:lastModifiedBy>Hoang Thach - 3612</cp:lastModifiedBy>
  <cp:lastPrinted>2024-08-23T04:31:13Z</cp:lastPrinted>
  <dcterms:created xsi:type="dcterms:W3CDTF">2024-08-22T03:49:31Z</dcterms:created>
  <dcterms:modified xsi:type="dcterms:W3CDTF">2024-08-23T06:55:30Z</dcterms:modified>
</cp:coreProperties>
</file>