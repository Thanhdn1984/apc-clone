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7235" windowHeight="775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0" i="1" l="1"/>
  <c r="E15" i="1"/>
  <c r="E6" i="1" s="1"/>
  <c r="E10" i="1"/>
  <c r="E7" i="1"/>
  <c r="C15" i="1"/>
  <c r="C7" i="1"/>
  <c r="C6" i="1" l="1"/>
  <c r="C10" i="1" l="1"/>
  <c r="C32" i="1" l="1"/>
  <c r="C29" i="1"/>
  <c r="C24" i="1"/>
  <c r="C28" i="1" l="1"/>
  <c r="C37" i="1" s="1"/>
  <c r="E9" i="1"/>
  <c r="E13" i="1"/>
  <c r="E14" i="1"/>
  <c r="E11" i="1"/>
  <c r="E12" i="1"/>
  <c r="E16" i="1"/>
  <c r="E17" i="1"/>
  <c r="E8" i="1"/>
  <c r="E18" i="1" l="1"/>
</calcChain>
</file>

<file path=xl/sharedStrings.xml><?xml version="1.0" encoding="utf-8"?>
<sst xmlns="http://schemas.openxmlformats.org/spreadsheetml/2006/main" count="60" uniqueCount="44">
  <si>
    <t>Hạng mục</t>
  </si>
  <si>
    <t>Số tiền</t>
  </si>
  <si>
    <t>Nuôi lợn 20 con</t>
  </si>
  <si>
    <t>Trồng trọt</t>
  </si>
  <si>
    <t>Chăn nuôi</t>
  </si>
  <si>
    <t>Buôn bán nhỏ</t>
  </si>
  <si>
    <t>Nhân công lao động</t>
  </si>
  <si>
    <t>I</t>
  </si>
  <si>
    <t>II</t>
  </si>
  <si>
    <t>III</t>
  </si>
  <si>
    <t>Vốn đối ứng</t>
  </si>
  <si>
    <t>Số vòng quay/năm</t>
  </si>
  <si>
    <t>Nhu cầu mỗi vòng quay</t>
  </si>
  <si>
    <t>XÁC ĐỊNH HẠN MỨC TÍN DỤNG QUY MÔ NHỎ</t>
  </si>
  <si>
    <t>TT</t>
  </si>
  <si>
    <t>Chi phí chăm sóc cây café</t>
  </si>
  <si>
    <t>Nhu cầu vốn trồng trọt</t>
  </si>
  <si>
    <t>Nhu cầu vốn chăn nuôi</t>
  </si>
  <si>
    <t>Nhu cầu vốn buôn bán nhỏ</t>
  </si>
  <si>
    <t>Mua xe, sửa nhà ...</t>
  </si>
  <si>
    <t>Tổng nhu cầu vốn</t>
  </si>
  <si>
    <t>Chi phí</t>
  </si>
  <si>
    <t>Từ buôn bán ...</t>
  </si>
  <si>
    <t>Doanh thu</t>
  </si>
  <si>
    <t>Lưu ý: Các chi phí dưới đây xác định cho 1 năm</t>
  </si>
  <si>
    <t>Lợi nhuận từ SXKD</t>
  </si>
  <si>
    <t>-</t>
  </si>
  <si>
    <t>Số tiền (năm)</t>
  </si>
  <si>
    <t>Nhu cầu thấu chi qua thẻ</t>
  </si>
  <si>
    <t>Hạn mức tín dụng</t>
  </si>
  <si>
    <t>Nhu cầu vốn</t>
  </si>
  <si>
    <t>Hạch toán doanh thu, chi phí</t>
  </si>
  <si>
    <t>Khấu hao máy .....</t>
  </si>
  <si>
    <t>Khấu hao chuồng trại 10 năm</t>
  </si>
  <si>
    <t>B</t>
  </si>
  <si>
    <t>A</t>
  </si>
  <si>
    <t>Xác định HMTD quy mô nhỏ</t>
  </si>
  <si>
    <t>Mua máy chế biến .....</t>
  </si>
  <si>
    <t>Sửa chuồng trại ... m²</t>
  </si>
  <si>
    <t>NCV nhân công lao động</t>
  </si>
  <si>
    <t>Nhu cầu tiêu dùng</t>
  </si>
  <si>
    <t>Từ bán café</t>
  </si>
  <si>
    <t>Từ chăn nuôi lợn 20 con</t>
  </si>
  <si>
    <t>Các khoản mục dưới đây là ví dụ minh họa. Căn cứ theo thực tế khách hàng, CBTD chỉnh sửa cho phù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</si>
</sst>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/>
    <xf numFmtId="0" fontId="3" fillId="0" borderId="0" xfId="0" applyFont="1" applyAlignment="1">
      <alignment horizontal="center"/>
    </xf>
    <xf numFmtId="164" fontId="3" fillId="0" borderId="0" xfId="1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164" fontId="2" fillId="0" borderId="0" xfId="1" applyNumberFormat="1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64" fontId="3" fillId="0" borderId="0" xfId="1" applyNumberFormat="1" applyFont="1" applyBorder="1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F18" sqref="F18"/>
    </sheetView>
  </sheetViews>
  <sheetFormatPr defaultRowHeight="16.5" x14ac:dyDescent="0.25"/>
  <cols>
    <col min="1" max="1" width="5.85546875" style="12" customWidth="1"/>
    <col min="2" max="2" width="29.140625" style="1" bestFit="1" customWidth="1"/>
    <col min="3" max="3" width="16" style="13" bestFit="1" customWidth="1"/>
    <col min="4" max="4" width="11.28515625" style="1" bestFit="1" customWidth="1"/>
    <col min="5" max="5" width="15.85546875" style="1" bestFit="1" customWidth="1"/>
    <col min="6" max="16384" width="9.140625" style="1"/>
  </cols>
  <sheetData>
    <row r="1" spans="1:5" ht="21.75" customHeight="1" x14ac:dyDescent="0.25">
      <c r="A1" s="26" t="s">
        <v>13</v>
      </c>
      <c r="B1" s="26"/>
      <c r="C1" s="26"/>
      <c r="D1" s="26"/>
      <c r="E1" s="26"/>
    </row>
    <row r="2" spans="1:5" x14ac:dyDescent="0.25">
      <c r="A2" s="25"/>
      <c r="B2" s="25" t="s">
        <v>24</v>
      </c>
      <c r="C2" s="25"/>
      <c r="D2" s="25"/>
      <c r="E2" s="25"/>
    </row>
    <row r="3" spans="1:5" x14ac:dyDescent="0.25">
      <c r="A3" s="24"/>
      <c r="B3" s="24" t="s">
        <v>43</v>
      </c>
      <c r="C3" s="24"/>
      <c r="D3" s="24"/>
      <c r="E3" s="24"/>
    </row>
    <row r="4" spans="1:5" x14ac:dyDescent="0.25">
      <c r="A4" s="22" t="s">
        <v>35</v>
      </c>
      <c r="B4" s="23" t="s">
        <v>36</v>
      </c>
    </row>
    <row r="5" spans="1:5" s="4" customFormat="1" ht="33" x14ac:dyDescent="0.25">
      <c r="A5" s="2" t="s">
        <v>14</v>
      </c>
      <c r="B5" s="2" t="s">
        <v>0</v>
      </c>
      <c r="C5" s="3" t="s">
        <v>27</v>
      </c>
      <c r="D5" s="2" t="s">
        <v>11</v>
      </c>
      <c r="E5" s="2" t="s">
        <v>12</v>
      </c>
    </row>
    <row r="6" spans="1:5" s="8" customFormat="1" x14ac:dyDescent="0.25">
      <c r="A6" s="5" t="s">
        <v>7</v>
      </c>
      <c r="B6" s="6" t="s">
        <v>30</v>
      </c>
      <c r="C6" s="7">
        <f>C7+C10+C13+C14+C15</f>
        <v>320000000</v>
      </c>
      <c r="D6" s="7"/>
      <c r="E6" s="7">
        <f>E7+E10+E13+E14+E15</f>
        <v>295000000</v>
      </c>
    </row>
    <row r="7" spans="1:5" s="8" customFormat="1" x14ac:dyDescent="0.25">
      <c r="A7" s="5">
        <v>1</v>
      </c>
      <c r="B7" s="6" t="s">
        <v>16</v>
      </c>
      <c r="C7" s="7">
        <f>C8+C9</f>
        <v>100000000</v>
      </c>
      <c r="D7" s="7"/>
      <c r="E7" s="7">
        <f>E8+E9</f>
        <v>100000000</v>
      </c>
    </row>
    <row r="8" spans="1:5" x14ac:dyDescent="0.25">
      <c r="A8" s="9" t="s">
        <v>26</v>
      </c>
      <c r="B8" s="10" t="s">
        <v>15</v>
      </c>
      <c r="C8" s="11">
        <v>100000000</v>
      </c>
      <c r="D8" s="11">
        <v>1</v>
      </c>
      <c r="E8" s="11">
        <f>IF(D8&lt;&gt;0,C8/D8,C8)</f>
        <v>100000000</v>
      </c>
    </row>
    <row r="9" spans="1:5" x14ac:dyDescent="0.25">
      <c r="A9" s="9" t="s">
        <v>26</v>
      </c>
      <c r="B9" s="10" t="s">
        <v>37</v>
      </c>
      <c r="C9" s="11">
        <v>0</v>
      </c>
      <c r="D9" s="11">
        <v>0</v>
      </c>
      <c r="E9" s="11">
        <f>IF(D9&lt;&gt;0,C9/D9,C9)</f>
        <v>0</v>
      </c>
    </row>
    <row r="10" spans="1:5" s="8" customFormat="1" x14ac:dyDescent="0.25">
      <c r="A10" s="5">
        <v>2</v>
      </c>
      <c r="B10" s="6" t="s">
        <v>17</v>
      </c>
      <c r="C10" s="7">
        <f>C11+C12</f>
        <v>110000000</v>
      </c>
      <c r="D10" s="7"/>
      <c r="E10" s="7">
        <f>E11+E12</f>
        <v>85000000</v>
      </c>
    </row>
    <row r="11" spans="1:5" x14ac:dyDescent="0.25">
      <c r="A11" s="9" t="s">
        <v>26</v>
      </c>
      <c r="B11" s="10" t="s">
        <v>2</v>
      </c>
      <c r="C11" s="11">
        <v>50000000</v>
      </c>
      <c r="D11" s="11">
        <v>2</v>
      </c>
      <c r="E11" s="11">
        <f t="shared" ref="E11:E17" si="0">IF(D11&lt;&gt;0,C11/D11,C11)</f>
        <v>25000000</v>
      </c>
    </row>
    <row r="12" spans="1:5" x14ac:dyDescent="0.25">
      <c r="A12" s="9" t="s">
        <v>26</v>
      </c>
      <c r="B12" s="10" t="s">
        <v>38</v>
      </c>
      <c r="C12" s="11">
        <v>60000000</v>
      </c>
      <c r="D12" s="11">
        <v>0</v>
      </c>
      <c r="E12" s="11">
        <f t="shared" si="0"/>
        <v>60000000</v>
      </c>
    </row>
    <row r="13" spans="1:5" s="8" customFormat="1" x14ac:dyDescent="0.25">
      <c r="A13" s="5">
        <v>3</v>
      </c>
      <c r="B13" s="6" t="s">
        <v>18</v>
      </c>
      <c r="C13" s="7">
        <v>0</v>
      </c>
      <c r="D13" s="7">
        <v>0</v>
      </c>
      <c r="E13" s="7">
        <f t="shared" si="0"/>
        <v>0</v>
      </c>
    </row>
    <row r="14" spans="1:5" s="8" customFormat="1" x14ac:dyDescent="0.25">
      <c r="A14" s="5">
        <v>4</v>
      </c>
      <c r="B14" s="6" t="s">
        <v>39</v>
      </c>
      <c r="C14" s="7">
        <v>0</v>
      </c>
      <c r="D14" s="7">
        <v>0</v>
      </c>
      <c r="E14" s="7">
        <f t="shared" si="0"/>
        <v>0</v>
      </c>
    </row>
    <row r="15" spans="1:5" s="8" customFormat="1" x14ac:dyDescent="0.25">
      <c r="A15" s="5">
        <v>5</v>
      </c>
      <c r="B15" s="6" t="s">
        <v>40</v>
      </c>
      <c r="C15" s="7">
        <f>C16+C17</f>
        <v>110000000</v>
      </c>
      <c r="D15" s="7"/>
      <c r="E15" s="7">
        <f>E16+E17</f>
        <v>110000000</v>
      </c>
    </row>
    <row r="16" spans="1:5" x14ac:dyDescent="0.25">
      <c r="A16" s="9" t="s">
        <v>26</v>
      </c>
      <c r="B16" s="10" t="s">
        <v>19</v>
      </c>
      <c r="C16" s="11">
        <v>80000000</v>
      </c>
      <c r="D16" s="11">
        <v>0</v>
      </c>
      <c r="E16" s="11">
        <f t="shared" si="0"/>
        <v>80000000</v>
      </c>
    </row>
    <row r="17" spans="1:6" x14ac:dyDescent="0.25">
      <c r="A17" s="9" t="s">
        <v>26</v>
      </c>
      <c r="B17" s="10" t="s">
        <v>28</v>
      </c>
      <c r="C17" s="11">
        <v>30000000</v>
      </c>
      <c r="D17" s="11">
        <v>0</v>
      </c>
      <c r="E17" s="11">
        <f t="shared" si="0"/>
        <v>30000000</v>
      </c>
    </row>
    <row r="18" spans="1:6" s="8" customFormat="1" x14ac:dyDescent="0.25">
      <c r="A18" s="5"/>
      <c r="B18" s="6" t="s">
        <v>20</v>
      </c>
      <c r="C18" s="7"/>
      <c r="D18" s="7"/>
      <c r="E18" s="7">
        <f>E6</f>
        <v>295000000</v>
      </c>
    </row>
    <row r="19" spans="1:6" x14ac:dyDescent="0.25">
      <c r="A19" s="5" t="s">
        <v>8</v>
      </c>
      <c r="B19" s="6" t="s">
        <v>10</v>
      </c>
      <c r="C19" s="7"/>
      <c r="D19" s="11"/>
      <c r="E19" s="11">
        <v>40000000</v>
      </c>
    </row>
    <row r="20" spans="1:6" s="8" customFormat="1" x14ac:dyDescent="0.25">
      <c r="A20" s="5" t="s">
        <v>9</v>
      </c>
      <c r="B20" s="6" t="s">
        <v>29</v>
      </c>
      <c r="C20" s="7"/>
      <c r="D20" s="7"/>
      <c r="E20" s="7">
        <f>E18-E19</f>
        <v>255000000</v>
      </c>
    </row>
    <row r="21" spans="1:6" s="18" customFormat="1" x14ac:dyDescent="0.25">
      <c r="A21" s="17"/>
      <c r="C21" s="19"/>
      <c r="E21" s="19"/>
    </row>
    <row r="22" spans="1:6" s="18" customFormat="1" x14ac:dyDescent="0.25">
      <c r="A22" s="14" t="s">
        <v>34</v>
      </c>
      <c r="B22" s="15" t="s">
        <v>31</v>
      </c>
      <c r="C22" s="19"/>
      <c r="E22" s="19"/>
    </row>
    <row r="23" spans="1:6" s="18" customFormat="1" x14ac:dyDescent="0.25">
      <c r="A23" s="20" t="s">
        <v>14</v>
      </c>
      <c r="B23" s="20" t="s">
        <v>0</v>
      </c>
      <c r="C23" s="21" t="s">
        <v>1</v>
      </c>
      <c r="E23" s="19"/>
    </row>
    <row r="24" spans="1:6" s="8" customFormat="1" x14ac:dyDescent="0.25">
      <c r="A24" s="5" t="s">
        <v>7</v>
      </c>
      <c r="B24" s="6" t="s">
        <v>23</v>
      </c>
      <c r="C24" s="7">
        <f>SUM(C25:C27)</f>
        <v>230000000</v>
      </c>
      <c r="E24" s="1"/>
      <c r="F24" s="1"/>
    </row>
    <row r="25" spans="1:6" x14ac:dyDescent="0.25">
      <c r="A25" s="9">
        <v>1</v>
      </c>
      <c r="B25" s="10" t="s">
        <v>41</v>
      </c>
      <c r="C25" s="11">
        <v>150000000</v>
      </c>
    </row>
    <row r="26" spans="1:6" x14ac:dyDescent="0.25">
      <c r="A26" s="9">
        <v>2</v>
      </c>
      <c r="B26" s="10" t="s">
        <v>42</v>
      </c>
      <c r="C26" s="11">
        <v>80000000</v>
      </c>
    </row>
    <row r="27" spans="1:6" x14ac:dyDescent="0.25">
      <c r="A27" s="9">
        <v>3</v>
      </c>
      <c r="B27" s="10" t="s">
        <v>22</v>
      </c>
      <c r="C27" s="11">
        <v>0</v>
      </c>
      <c r="E27" s="8"/>
      <c r="F27" s="8"/>
    </row>
    <row r="28" spans="1:6" s="8" customFormat="1" x14ac:dyDescent="0.25">
      <c r="A28" s="5" t="s">
        <v>8</v>
      </c>
      <c r="B28" s="6" t="s">
        <v>21</v>
      </c>
      <c r="C28" s="7">
        <f>C29+C32+C35+C36</f>
        <v>156000000</v>
      </c>
      <c r="E28" s="1"/>
      <c r="F28" s="1"/>
    </row>
    <row r="29" spans="1:6" s="8" customFormat="1" x14ac:dyDescent="0.25">
      <c r="A29" s="5">
        <v>1</v>
      </c>
      <c r="B29" s="6" t="s">
        <v>3</v>
      </c>
      <c r="C29" s="7">
        <f>SUM(C30:C31)</f>
        <v>100000000</v>
      </c>
      <c r="E29" s="1"/>
      <c r="F29" s="1"/>
    </row>
    <row r="30" spans="1:6" x14ac:dyDescent="0.25">
      <c r="A30" s="9" t="s">
        <v>26</v>
      </c>
      <c r="B30" s="10" t="s">
        <v>15</v>
      </c>
      <c r="C30" s="11">
        <v>100000000</v>
      </c>
      <c r="E30" s="8"/>
      <c r="F30" s="8"/>
    </row>
    <row r="31" spans="1:6" x14ac:dyDescent="0.25">
      <c r="A31" s="9" t="s">
        <v>26</v>
      </c>
      <c r="B31" s="10" t="s">
        <v>32</v>
      </c>
      <c r="C31" s="11">
        <v>0</v>
      </c>
    </row>
    <row r="32" spans="1:6" s="8" customFormat="1" x14ac:dyDescent="0.25">
      <c r="A32" s="5">
        <v>2</v>
      </c>
      <c r="B32" s="6" t="s">
        <v>4</v>
      </c>
      <c r="C32" s="7">
        <f>SUM(C33:C34)</f>
        <v>56000000</v>
      </c>
      <c r="E32" s="1"/>
      <c r="F32" s="1"/>
    </row>
    <row r="33" spans="1:6" x14ac:dyDescent="0.25">
      <c r="A33" s="9" t="s">
        <v>26</v>
      </c>
      <c r="B33" s="10" t="s">
        <v>2</v>
      </c>
      <c r="C33" s="11">
        <v>50000000</v>
      </c>
      <c r="E33" s="8"/>
      <c r="F33" s="8"/>
    </row>
    <row r="34" spans="1:6" x14ac:dyDescent="0.25">
      <c r="A34" s="9" t="s">
        <v>26</v>
      </c>
      <c r="B34" s="10" t="s">
        <v>33</v>
      </c>
      <c r="C34" s="11">
        <v>6000000</v>
      </c>
      <c r="E34" s="8"/>
      <c r="F34" s="8"/>
    </row>
    <row r="35" spans="1:6" s="8" customFormat="1" x14ac:dyDescent="0.25">
      <c r="A35" s="5">
        <v>3</v>
      </c>
      <c r="B35" s="6" t="s">
        <v>5</v>
      </c>
      <c r="C35" s="7">
        <v>0</v>
      </c>
      <c r="E35" s="1"/>
      <c r="F35" s="1"/>
    </row>
    <row r="36" spans="1:6" s="8" customFormat="1" x14ac:dyDescent="0.25">
      <c r="A36" s="5">
        <v>4</v>
      </c>
      <c r="B36" s="6" t="s">
        <v>6</v>
      </c>
      <c r="C36" s="7">
        <v>0</v>
      </c>
      <c r="E36" s="1"/>
      <c r="F36" s="1"/>
    </row>
    <row r="37" spans="1:6" s="8" customFormat="1" x14ac:dyDescent="0.25">
      <c r="A37" s="5" t="s">
        <v>8</v>
      </c>
      <c r="B37" s="6" t="s">
        <v>25</v>
      </c>
      <c r="C37" s="7">
        <f>C24-C28</f>
        <v>74000000</v>
      </c>
      <c r="E37" s="1"/>
      <c r="F37" s="1"/>
    </row>
    <row r="38" spans="1:6" s="8" customFormat="1" x14ac:dyDescent="0.25">
      <c r="A38" s="14"/>
      <c r="B38" s="15"/>
      <c r="C38" s="16"/>
      <c r="D38" s="15"/>
      <c r="E38" s="15"/>
    </row>
  </sheetData>
  <mergeCells count="1">
    <mergeCell ref="A1:E1"/>
  </mergeCells>
  <pageMargins left="0.7" right="0.7" top="0.75" bottom="0.75" header="0.3" footer="0.3"/>
  <pageSetup paperSize="9" orientation="portrait" verticalDpi="0" r:id="rId1"/>
  <ignoredErrors>
    <ignoredError sqref="C32" formulaRange="1"/>
    <ignoredError sqref="E10 E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Thach - 3613</dc:creator>
  <cp:lastModifiedBy>Hoang Thach - 3613</cp:lastModifiedBy>
  <dcterms:created xsi:type="dcterms:W3CDTF">2023-05-18T09:26:45Z</dcterms:created>
  <dcterms:modified xsi:type="dcterms:W3CDTF">2023-06-15T02:41:14Z</dcterms:modified>
</cp:coreProperties>
</file>