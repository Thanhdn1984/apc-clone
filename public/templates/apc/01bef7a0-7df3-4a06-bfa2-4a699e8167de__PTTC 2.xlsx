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1340" windowHeight="68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31" i="1"/>
  <c r="K31"/>
  <c r="B6"/>
  <c r="B19"/>
  <c r="E23"/>
  <c r="E20"/>
  <c r="B49"/>
  <c r="H31"/>
  <c r="I31"/>
  <c r="B13" i="2"/>
  <c r="E18"/>
  <c r="G18"/>
  <c r="D7"/>
  <c r="D10"/>
  <c r="D13"/>
  <c r="F13"/>
  <c r="H13"/>
  <c r="D16"/>
  <c r="F54" i="1"/>
  <c r="E54"/>
  <c r="H27"/>
  <c r="I27"/>
  <c r="B26"/>
  <c r="H26"/>
  <c r="I26"/>
  <c r="E28"/>
  <c r="J21"/>
  <c r="K21"/>
  <c r="J22"/>
  <c r="K22"/>
  <c r="J23"/>
  <c r="K23"/>
  <c r="J24"/>
  <c r="K24"/>
  <c r="J25"/>
  <c r="K25"/>
  <c r="H21"/>
  <c r="I21"/>
  <c r="H22"/>
  <c r="I22"/>
  <c r="H23"/>
  <c r="I23"/>
  <c r="H24"/>
  <c r="I24"/>
  <c r="H25"/>
  <c r="I25"/>
  <c r="J15"/>
  <c r="K15"/>
  <c r="J14"/>
  <c r="K14"/>
  <c r="J16"/>
  <c r="K16"/>
  <c r="J13"/>
  <c r="K13"/>
  <c r="H14"/>
  <c r="I14"/>
  <c r="H15"/>
  <c r="I15"/>
  <c r="H16"/>
  <c r="I16"/>
  <c r="H13"/>
  <c r="I13"/>
  <c r="J8"/>
  <c r="J9"/>
  <c r="J10"/>
  <c r="K10"/>
  <c r="J11"/>
  <c r="K11"/>
  <c r="H7"/>
  <c r="I7"/>
  <c r="H8"/>
  <c r="H9"/>
  <c r="I9"/>
  <c r="H10"/>
  <c r="I10"/>
  <c r="H11"/>
  <c r="L5"/>
  <c r="C26"/>
  <c r="D26"/>
  <c r="G27"/>
  <c r="J27"/>
  <c r="K27"/>
  <c r="D12"/>
  <c r="G14"/>
  <c r="G13"/>
  <c r="C12"/>
  <c r="H12"/>
  <c r="I12"/>
  <c r="B12"/>
  <c r="E15"/>
  <c r="C7" i="2"/>
  <c r="C10"/>
  <c r="C13"/>
  <c r="C16"/>
  <c r="B7"/>
  <c r="B10"/>
  <c r="B16"/>
  <c r="K18"/>
  <c r="L18"/>
  <c r="J18"/>
  <c r="K15"/>
  <c r="L15"/>
  <c r="J15"/>
  <c r="K14"/>
  <c r="L14"/>
  <c r="J14"/>
  <c r="K12"/>
  <c r="L12"/>
  <c r="J12"/>
  <c r="K11"/>
  <c r="L11"/>
  <c r="J11"/>
  <c r="K9"/>
  <c r="L9"/>
  <c r="J9"/>
  <c r="K8"/>
  <c r="L8"/>
  <c r="J8"/>
  <c r="K6"/>
  <c r="L6"/>
  <c r="J6"/>
  <c r="K5"/>
  <c r="L5"/>
  <c r="J5"/>
  <c r="G11" i="3"/>
  <c r="G12"/>
  <c r="G13"/>
  <c r="G14"/>
  <c r="G16"/>
  <c r="G17"/>
  <c r="G10"/>
  <c r="F17"/>
  <c r="F16"/>
  <c r="F11"/>
  <c r="F12"/>
  <c r="F13"/>
  <c r="F14"/>
  <c r="F10"/>
  <c r="F15"/>
  <c r="E15"/>
  <c r="E18"/>
  <c r="D15"/>
  <c r="D18"/>
  <c r="N19" i="1"/>
  <c r="O19"/>
  <c r="M19"/>
  <c r="C6"/>
  <c r="N6"/>
  <c r="C44"/>
  <c r="F10"/>
  <c r="C19"/>
  <c r="F25"/>
  <c r="F24"/>
  <c r="D6"/>
  <c r="G8"/>
  <c r="G9"/>
  <c r="D19"/>
  <c r="G22"/>
  <c r="E8"/>
  <c r="E22"/>
  <c r="F8" i="2"/>
  <c r="H8"/>
  <c r="E8"/>
  <c r="G8"/>
  <c r="F5"/>
  <c r="H5"/>
  <c r="F6"/>
  <c r="H6"/>
  <c r="F9"/>
  <c r="H9"/>
  <c r="F11"/>
  <c r="H11"/>
  <c r="F12"/>
  <c r="H12"/>
  <c r="F14"/>
  <c r="H14"/>
  <c r="F15"/>
  <c r="H15"/>
  <c r="F18"/>
  <c r="H18"/>
  <c r="M12" i="1"/>
  <c r="N12"/>
  <c r="O12"/>
  <c r="M9"/>
  <c r="B40"/>
  <c r="N9"/>
  <c r="C40"/>
  <c r="O9"/>
  <c r="D40"/>
  <c r="D41" s="1"/>
  <c r="F41" s="1"/>
  <c r="M10"/>
  <c r="B42"/>
  <c r="N10"/>
  <c r="C42"/>
  <c r="C43" s="1"/>
  <c r="E43" s="1"/>
  <c r="O10"/>
  <c r="D42"/>
  <c r="D43" s="1"/>
  <c r="F43" s="1"/>
  <c r="C57"/>
  <c r="D57"/>
  <c r="B29"/>
  <c r="E32"/>
  <c r="E4" i="2"/>
  <c r="G4"/>
  <c r="D29" i="1"/>
  <c r="G32"/>
  <c r="C29"/>
  <c r="F32"/>
  <c r="J7"/>
  <c r="K7"/>
  <c r="K9"/>
  <c r="J20"/>
  <c r="K20"/>
  <c r="J28"/>
  <c r="K28"/>
  <c r="J30"/>
  <c r="K30"/>
  <c r="J32"/>
  <c r="K32"/>
  <c r="I11"/>
  <c r="H20"/>
  <c r="I20"/>
  <c r="H28"/>
  <c r="I28"/>
  <c r="H30"/>
  <c r="I30"/>
  <c r="H32"/>
  <c r="I32"/>
  <c r="E5" i="2"/>
  <c r="G5"/>
  <c r="E6"/>
  <c r="G6"/>
  <c r="E9"/>
  <c r="G9"/>
  <c r="E11"/>
  <c r="G11"/>
  <c r="E12"/>
  <c r="G12"/>
  <c r="E14"/>
  <c r="G14"/>
  <c r="E15"/>
  <c r="G15"/>
  <c r="F4"/>
  <c r="H4"/>
  <c r="M6" i="1"/>
  <c r="B44"/>
  <c r="E13"/>
  <c r="F8"/>
  <c r="F7"/>
  <c r="C41"/>
  <c r="E11"/>
  <c r="E21"/>
  <c r="E10"/>
  <c r="E24"/>
  <c r="E7"/>
  <c r="E9"/>
  <c r="G30"/>
  <c r="G16"/>
  <c r="G11"/>
  <c r="G10"/>
  <c r="D49"/>
  <c r="B18"/>
  <c r="H18"/>
  <c r="I18"/>
  <c r="E27"/>
  <c r="J26"/>
  <c r="K26"/>
  <c r="C18"/>
  <c r="F22"/>
  <c r="F18" i="3"/>
  <c r="G18"/>
  <c r="E16" i="1"/>
  <c r="G15" i="3"/>
  <c r="F27" i="1"/>
  <c r="H6"/>
  <c r="I6"/>
  <c r="B5"/>
  <c r="J7" i="2"/>
  <c r="G28" i="1"/>
  <c r="F9"/>
  <c r="C49"/>
  <c r="E49"/>
  <c r="G20"/>
  <c r="F28"/>
  <c r="F11"/>
  <c r="F19"/>
  <c r="F16" i="2"/>
  <c r="H16"/>
  <c r="C17"/>
  <c r="K17"/>
  <c r="E16"/>
  <c r="G16"/>
  <c r="E13"/>
  <c r="G13"/>
  <c r="L10"/>
  <c r="D17"/>
  <c r="F10"/>
  <c r="H10"/>
  <c r="F7"/>
  <c r="H7"/>
  <c r="L7"/>
  <c r="C19"/>
  <c r="K7"/>
  <c r="E7"/>
  <c r="G7"/>
  <c r="K10"/>
  <c r="G24" i="1"/>
  <c r="O18"/>
  <c r="G21"/>
  <c r="D18"/>
  <c r="G25"/>
  <c r="J19"/>
  <c r="K19"/>
  <c r="G23"/>
  <c r="G15"/>
  <c r="O6"/>
  <c r="D44"/>
  <c r="F44"/>
  <c r="D5"/>
  <c r="D38"/>
  <c r="J6"/>
  <c r="K6"/>
  <c r="G7"/>
  <c r="D37"/>
  <c r="B17" i="2"/>
  <c r="J17"/>
  <c r="E10"/>
  <c r="G10"/>
  <c r="J10"/>
  <c r="F30" i="1"/>
  <c r="H29"/>
  <c r="I29"/>
  <c r="E30"/>
  <c r="J29"/>
  <c r="K29"/>
  <c r="C17"/>
  <c r="C48"/>
  <c r="F29"/>
  <c r="F21"/>
  <c r="B38"/>
  <c r="F26"/>
  <c r="B37"/>
  <c r="J18"/>
  <c r="K18"/>
  <c r="B17"/>
  <c r="E26"/>
  <c r="F49"/>
  <c r="N18"/>
  <c r="C38"/>
  <c r="F23"/>
  <c r="E25"/>
  <c r="E19"/>
  <c r="H19"/>
  <c r="I19"/>
  <c r="F20"/>
  <c r="C37"/>
  <c r="E37"/>
  <c r="M18"/>
  <c r="F13"/>
  <c r="F14"/>
  <c r="F16"/>
  <c r="E12"/>
  <c r="F15"/>
  <c r="E14"/>
  <c r="H5"/>
  <c r="I5"/>
  <c r="E6"/>
  <c r="C5"/>
  <c r="J12"/>
  <c r="K12"/>
  <c r="F12"/>
  <c r="F42"/>
  <c r="F40"/>
  <c r="E44"/>
  <c r="E40"/>
  <c r="M5"/>
  <c r="B45"/>
  <c r="E42"/>
  <c r="B43"/>
  <c r="B41"/>
  <c r="E41" s="1"/>
  <c r="E17" i="2"/>
  <c r="G17"/>
  <c r="L17"/>
  <c r="D19"/>
  <c r="F19"/>
  <c r="H19"/>
  <c r="F17"/>
  <c r="H17"/>
  <c r="K19"/>
  <c r="F55" i="1"/>
  <c r="C52"/>
  <c r="C51"/>
  <c r="E51" s="1"/>
  <c r="C53"/>
  <c r="D17"/>
  <c r="G19"/>
  <c r="G26"/>
  <c r="G12"/>
  <c r="G6"/>
  <c r="B19" i="2"/>
  <c r="B52" i="1"/>
  <c r="C47"/>
  <c r="F18"/>
  <c r="F17"/>
  <c r="E29"/>
  <c r="B48"/>
  <c r="E48"/>
  <c r="H17"/>
  <c r="I17"/>
  <c r="E38"/>
  <c r="F38"/>
  <c r="F37"/>
  <c r="E18"/>
  <c r="B47"/>
  <c r="E5"/>
  <c r="O5"/>
  <c r="D45"/>
  <c r="F6"/>
  <c r="F5"/>
  <c r="J5"/>
  <c r="K5"/>
  <c r="N5"/>
  <c r="C45"/>
  <c r="E45" s="1"/>
  <c r="D53"/>
  <c r="F53" s="1"/>
  <c r="D51"/>
  <c r="F51"/>
  <c r="L19" i="2"/>
  <c r="D52" i="1"/>
  <c r="F52" s="1"/>
  <c r="E52"/>
  <c r="G29"/>
  <c r="D47"/>
  <c r="F47"/>
  <c r="D48"/>
  <c r="F48"/>
  <c r="J17"/>
  <c r="K17"/>
  <c r="G18"/>
  <c r="G5"/>
  <c r="B51"/>
  <c r="B53"/>
  <c r="E53" s="1"/>
  <c r="E55"/>
  <c r="E19" i="2"/>
  <c r="G19"/>
  <c r="J19"/>
  <c r="E47" i="1"/>
  <c r="E17"/>
  <c r="F45"/>
  <c r="G17"/>
</calcChain>
</file>

<file path=xl/sharedStrings.xml><?xml version="1.0" encoding="utf-8"?>
<sst xmlns="http://schemas.openxmlformats.org/spreadsheetml/2006/main" count="136" uniqueCount="134">
  <si>
    <t>Chỉ tiêu</t>
  </si>
  <si>
    <t>Tỷ trọng</t>
  </si>
  <si>
    <t>So sánh</t>
  </si>
  <si>
    <t>Tuyệt đối</t>
  </si>
  <si>
    <t>Tài sản</t>
  </si>
  <si>
    <t>I/ Tài sản ngắn hạn</t>
  </si>
  <si>
    <t>II/Tài sản dài hạn</t>
  </si>
  <si>
    <t>Nguồn vốn</t>
  </si>
  <si>
    <t>I/ Nợ phải trả</t>
  </si>
  <si>
    <t>1. Nợ ngắn hạn</t>
  </si>
  <si>
    <t>2. Nợ dài hạn</t>
  </si>
  <si>
    <t>II/ Nguồn vốn chủ sở hữu</t>
  </si>
  <si>
    <t>CÁC HỆ SỐ TÀI CHÍNH</t>
  </si>
  <si>
    <t>1. Các chỉ tiêu về thanh khoản</t>
  </si>
  <si>
    <t>Hệ số thanh toán ngắn hạn</t>
  </si>
  <si>
    <t>Hệ số thanh toán nhanh</t>
  </si>
  <si>
    <t>2. Các chỉ tiêu về hoạt động</t>
  </si>
  <si>
    <t>Vòng quay các khoản phải thu</t>
  </si>
  <si>
    <t>Kỳ thu tiền bình quân</t>
  </si>
  <si>
    <t>Vòng quay hàng tồn kho</t>
  </si>
  <si>
    <t>4. Các chỉ tiêu sinh lời</t>
  </si>
  <si>
    <t>Tỷ suất lợi nhuận trên doanh thu</t>
  </si>
  <si>
    <t>Tương đối</t>
  </si>
  <si>
    <t xml:space="preserve"> Phải trả người bán</t>
  </si>
  <si>
    <t xml:space="preserve"> Người  mua trả tiền trước</t>
  </si>
  <si>
    <t xml:space="preserve"> Vay và nợ ngắn hạn</t>
  </si>
  <si>
    <t xml:space="preserve"> Thuế và các khoản phải nộp</t>
  </si>
  <si>
    <t xml:space="preserve"> Vay và nợ dài hạn</t>
  </si>
  <si>
    <t xml:space="preserve">Vòng quay vốn lưu động </t>
  </si>
  <si>
    <t>Phải trả người lao động</t>
  </si>
  <si>
    <t>CHỈ TIÊU</t>
  </si>
  <si>
    <t>Tổng doanh thu</t>
  </si>
  <si>
    <t>+ Doanh thu thuần</t>
  </si>
  <si>
    <t>+ Giá vốn hàng bán</t>
  </si>
  <si>
    <t>+ Lợi nhuận gộp</t>
  </si>
  <si>
    <t>- Chi phí bán hàng</t>
  </si>
  <si>
    <t xml:space="preserve">- Chi phí quản lý </t>
  </si>
  <si>
    <t>+ Lợi nhuận thuần từ HĐKD</t>
  </si>
  <si>
    <t xml:space="preserve"> - Thu nhập hoạt động tài chính</t>
  </si>
  <si>
    <t xml:space="preserve"> - Chi phí hoạt động tài chính</t>
  </si>
  <si>
    <t xml:space="preserve"> - Các khoản thu nhập khác</t>
  </si>
  <si>
    <t xml:space="preserve"> - Chi phí khác</t>
  </si>
  <si>
    <t>+ Lợi nhuận khác</t>
  </si>
  <si>
    <t>* Thuế thu nhập</t>
  </si>
  <si>
    <t>Tổng lợi nhuận sau thuế</t>
  </si>
  <si>
    <t>* Tổng lợi nhuận trước thuế</t>
  </si>
  <si>
    <t>KẾT QUẢ HOẠT ĐỘNG KINH DOANH</t>
  </si>
  <si>
    <t>Tài sản ngắn hạn/ Nợ ngắn hạn</t>
  </si>
  <si>
    <t>(TS ngắn hạn - Hàng tồn kho)/ Nợ NH</t>
  </si>
  <si>
    <t>Doanh thu thuần/ Các khoản phải thu BQ</t>
  </si>
  <si>
    <t>360/ vòng quay các khoản phải thu</t>
  </si>
  <si>
    <t>Giá vốn hàng bán/ hàng tồn kho BQ</t>
  </si>
  <si>
    <t>360/ vòng quay hàng tồn kho</t>
  </si>
  <si>
    <t>Dt thuân/ TS ngắn hạn BQ</t>
  </si>
  <si>
    <t>Nguồn vốn CSH/ Tổng nguồn vốn</t>
  </si>
  <si>
    <t>Lợi nhuận/ Vốn CSH</t>
  </si>
  <si>
    <t>lợi nhuận/ Dthu</t>
  </si>
  <si>
    <t>Tổng số nợ phải trả/ Tổng nguồn vốn</t>
  </si>
  <si>
    <t>Lợi nhuận/ Tổng TS BQ</t>
  </si>
  <si>
    <r>
      <t xml:space="preserve">   Bảng cân đối kế toán </t>
    </r>
    <r>
      <rPr>
        <sz val="13"/>
        <rFont val="Times New Roman"/>
        <family val="1"/>
      </rPr>
      <t>(rút gọn)</t>
    </r>
  </si>
  <si>
    <t>1. Vốn đầu tư của CSH</t>
  </si>
  <si>
    <t>1. Tiền &amp; Các khoản TĐT</t>
  </si>
  <si>
    <t>4. Hàng tồn kho</t>
  </si>
  <si>
    <t>5. Tài sản ngắn hạn khác</t>
  </si>
  <si>
    <t>VLĐbq</t>
  </si>
  <si>
    <t>TSCĐ</t>
  </si>
  <si>
    <t>TSbq</t>
  </si>
  <si>
    <t>Pthu</t>
  </si>
  <si>
    <t>HTK</t>
  </si>
  <si>
    <t>Số ngày tồn kho trung bình</t>
  </si>
  <si>
    <t>Vòng quay tổng tài sản</t>
  </si>
  <si>
    <t>DT thuân/ TS BQ</t>
  </si>
  <si>
    <t>3. Các chỉ tiêu công nợ</t>
  </si>
  <si>
    <t xml:space="preserve">Hệ số nợ </t>
  </si>
  <si>
    <t>Tỷ suất tự tài trợ</t>
  </si>
  <si>
    <t>Hệ số nợ vay ngắn hạn</t>
  </si>
  <si>
    <t>Tỷ suất lợi nhuận trên tổng TS (ROA)</t>
  </si>
  <si>
    <t>Tỷ suất lợi nhuận trên VCSH (ROE)</t>
  </si>
  <si>
    <t>Tỷ lệ tăng trưởng doanh thu</t>
  </si>
  <si>
    <t>Tỷ lệ tăng trưởng lợi nhuận kinh doanh</t>
  </si>
  <si>
    <t>8 = 3-2</t>
  </si>
  <si>
    <t>10=4-3</t>
  </si>
  <si>
    <t>9 = 8/2</t>
  </si>
  <si>
    <t>11=10/3</t>
  </si>
  <si>
    <t>Doanh số thu nợ</t>
  </si>
  <si>
    <t>Vòng quay vốn tín dụng</t>
  </si>
  <si>
    <t>2. Các khoản ĐTTC NH</t>
  </si>
  <si>
    <t>Các khoản phải trả, phải nộp khác</t>
  </si>
  <si>
    <t>BQ 2013</t>
  </si>
  <si>
    <t>BQ 2014</t>
  </si>
  <si>
    <t>BQ 2015</t>
  </si>
  <si>
    <t xml:space="preserve"> So sánh (2) - (1)</t>
  </si>
  <si>
    <t>So sánh (3) - (2)</t>
  </si>
  <si>
    <t>So sánh tương đối (2) - (1)</t>
  </si>
  <si>
    <t>So sánh tương đối (3) - (2)</t>
  </si>
  <si>
    <t>So sánh (2)/(1)</t>
  </si>
  <si>
    <t>So sánh (3)/(2)</t>
  </si>
  <si>
    <t>Nợ ngắn hạn/TS ngắn hạn</t>
  </si>
  <si>
    <t>+ Lợi nhuận thuần từ HĐTC</t>
  </si>
  <si>
    <t xml:space="preserve">Vốn chủ sở hữu + Nợ dài hạn – Tài sản dài hạn  -  Phải thu khó đòi </t>
  </si>
  <si>
    <t>Vốn lưu động ròng =  TS ngắn hạn - Nợ ngắn hạn</t>
  </si>
  <si>
    <t>9/2015</t>
  </si>
  <si>
    <t>3. Các khoản phải thu ngắn hạn</t>
  </si>
  <si>
    <t>2013 (1)</t>
  </si>
  <si>
    <t>2014 (2)</t>
  </si>
  <si>
    <t>9-2015 (3)</t>
  </si>
  <si>
    <t>31/12/2013</t>
  </si>
  <si>
    <t>31/12/2014</t>
  </si>
  <si>
    <t>30/9/2015</t>
  </si>
  <si>
    <t>Năm 2013</t>
  </si>
  <si>
    <t>Năm 2014</t>
  </si>
  <si>
    <t>30/9/15</t>
  </si>
  <si>
    <t>Vốn lưu động ròng</t>
  </si>
  <si>
    <t>s2013</t>
  </si>
  <si>
    <t>s2014</t>
  </si>
  <si>
    <t>s2015</t>
  </si>
  <si>
    <t>Vốn chiếm dụng</t>
  </si>
  <si>
    <t>Vốn tự có từ 2 nguồn:</t>
  </si>
  <si>
    <t>Tài sản cố định hữu hình</t>
  </si>
  <si>
    <t>TSCĐ vô hình</t>
  </si>
  <si>
    <t>CP XD dở dang</t>
  </si>
  <si>
    <t>2014</t>
  </si>
  <si>
    <t>2015</t>
  </si>
  <si>
    <t>tăng giảm</t>
  </si>
  <si>
    <t>Tốc độ +/-</t>
  </si>
  <si>
    <t>Tỷ trọng/doanh thu</t>
  </si>
  <si>
    <t>1. Các khoản phải thu dài hạn</t>
  </si>
  <si>
    <t>2. Tài sản cố định</t>
  </si>
  <si>
    <t>3. Tài sản dài hạn dở dang</t>
  </si>
  <si>
    <t>4. Tài sản dài hạn khác</t>
  </si>
  <si>
    <t>Phải trả dài hạn người bán</t>
  </si>
  <si>
    <t>3. Lợi nhuận chưa phân phối</t>
  </si>
  <si>
    <t>2. Vốn khác của CSH</t>
  </si>
  <si>
    <t>Năm</t>
  </si>
</sst>
</file>

<file path=xl/styles.xml><?xml version="1.0" encoding="utf-8"?>
<styleSheet xmlns="http://schemas.openxmlformats.org/spreadsheetml/2006/main">
  <numFmts count="3">
    <numFmt numFmtId="171" formatCode="_(* #,##0.00_);_(* \(#,##0.00\);_(* &quot;-&quot;??_);_(@_)"/>
    <numFmt numFmtId="188" formatCode="0.0%"/>
    <numFmt numFmtId="190" formatCode="_(* #,##0_);_(* \(#,##0\);_(* &quot;-&quot;??_);_(@_)"/>
  </numFmts>
  <fonts count="22">
    <font>
      <sz val="10"/>
      <name val="Arial"/>
    </font>
    <font>
      <sz val="10"/>
      <name val="Arial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name val="Arial"/>
      <family val="2"/>
      <charset val="163"/>
    </font>
    <font>
      <sz val="13"/>
      <name val=".VnTime"/>
      <family val="2"/>
    </font>
    <font>
      <sz val="13"/>
      <color indexed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sz val="9"/>
      <color indexed="10"/>
      <name val="Times New Roman"/>
      <family val="1"/>
    </font>
    <font>
      <sz val="9"/>
      <name val="Times New Roman"/>
      <family val="1"/>
    </font>
    <font>
      <sz val="14"/>
      <name val="Arial"/>
      <family val="2"/>
    </font>
    <font>
      <sz val="14"/>
      <color indexed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.VnTim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3" fontId="5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justify"/>
    </xf>
    <xf numFmtId="3" fontId="3" fillId="0" borderId="0" xfId="0" applyNumberFormat="1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9" fontId="4" fillId="0" borderId="0" xfId="2" applyFont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0" fontId="4" fillId="0" borderId="1" xfId="0" applyFont="1" applyBorder="1"/>
    <xf numFmtId="2" fontId="4" fillId="2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/>
    <xf numFmtId="3" fontId="3" fillId="3" borderId="0" xfId="0" applyNumberFormat="1" applyFont="1" applyFill="1"/>
    <xf numFmtId="3" fontId="4" fillId="3" borderId="2" xfId="0" applyNumberFormat="1" applyFont="1" applyFill="1" applyBorder="1" applyAlignment="1">
      <alignment horizontal="right"/>
    </xf>
    <xf numFmtId="3" fontId="5" fillId="4" borderId="0" xfId="0" applyNumberFormat="1" applyFont="1" applyFill="1"/>
    <xf numFmtId="1" fontId="5" fillId="0" borderId="0" xfId="0" applyNumberFormat="1" applyFont="1"/>
    <xf numFmtId="0" fontId="8" fillId="0" borderId="0" xfId="0" applyFont="1" applyFill="1"/>
    <xf numFmtId="3" fontId="9" fillId="0" borderId="3" xfId="0" applyNumberFormat="1" applyFont="1" applyFill="1" applyBorder="1" applyAlignment="1">
      <alignment horizontal="right"/>
    </xf>
    <xf numFmtId="9" fontId="9" fillId="0" borderId="3" xfId="2" applyFont="1" applyFill="1" applyBorder="1"/>
    <xf numFmtId="3" fontId="8" fillId="0" borderId="0" xfId="0" applyNumberFormat="1" applyFont="1" applyFill="1"/>
    <xf numFmtId="0" fontId="9" fillId="0" borderId="3" xfId="0" applyFont="1" applyFill="1" applyBorder="1"/>
    <xf numFmtId="0" fontId="2" fillId="0" borderId="0" xfId="0" applyFont="1" applyFill="1" applyBorder="1" applyAlignment="1">
      <alignment horizontal="center"/>
    </xf>
    <xf numFmtId="190" fontId="8" fillId="0" borderId="0" xfId="1" applyNumberFormat="1" applyFont="1" applyFill="1"/>
    <xf numFmtId="0" fontId="2" fillId="0" borderId="4" xfId="0" applyFont="1" applyFill="1" applyBorder="1" applyAlignment="1">
      <alignment horizontal="center"/>
    </xf>
    <xf numFmtId="1" fontId="2" fillId="0" borderId="5" xfId="0" applyNumberFormat="1" applyFont="1" applyFill="1" applyBorder="1" applyAlignment="1">
      <alignment horizontal="center" vertical="center" wrapText="1"/>
    </xf>
    <xf numFmtId="3" fontId="2" fillId="0" borderId="5" xfId="0" applyNumberFormat="1" applyFont="1" applyFill="1" applyBorder="1" applyAlignment="1">
      <alignment horizontal="center" vertical="center" wrapText="1"/>
    </xf>
    <xf numFmtId="3" fontId="9" fillId="0" borderId="6" xfId="0" applyNumberFormat="1" applyFont="1" applyFill="1" applyBorder="1" applyAlignment="1">
      <alignment horizontal="right"/>
    </xf>
    <xf numFmtId="3" fontId="9" fillId="0" borderId="7" xfId="0" applyNumberFormat="1" applyFont="1" applyFill="1" applyBorder="1" applyAlignment="1">
      <alignment horizontal="right"/>
    </xf>
    <xf numFmtId="0" fontId="10" fillId="0" borderId="3" xfId="0" applyFont="1" applyFill="1" applyBorder="1"/>
    <xf numFmtId="3" fontId="10" fillId="0" borderId="3" xfId="0" applyNumberFormat="1" applyFont="1" applyFill="1" applyBorder="1" applyAlignment="1">
      <alignment horizontal="right"/>
    </xf>
    <xf numFmtId="9" fontId="10" fillId="0" borderId="3" xfId="2" applyFont="1" applyFill="1" applyBorder="1"/>
    <xf numFmtId="0" fontId="11" fillId="0" borderId="3" xfId="0" applyFont="1" applyFill="1" applyBorder="1"/>
    <xf numFmtId="0" fontId="11" fillId="0" borderId="8" xfId="0" applyFont="1" applyFill="1" applyBorder="1"/>
    <xf numFmtId="3" fontId="10" fillId="0" borderId="8" xfId="0" applyNumberFormat="1" applyFont="1" applyFill="1" applyBorder="1" applyAlignment="1">
      <alignment horizontal="right"/>
    </xf>
    <xf numFmtId="9" fontId="10" fillId="0" borderId="8" xfId="2" applyFont="1" applyFill="1" applyBorder="1"/>
    <xf numFmtId="0" fontId="10" fillId="3" borderId="3" xfId="0" applyFont="1" applyFill="1" applyBorder="1"/>
    <xf numFmtId="3" fontId="10" fillId="3" borderId="3" xfId="0" applyNumberFormat="1" applyFont="1" applyFill="1" applyBorder="1" applyAlignment="1">
      <alignment horizontal="right"/>
    </xf>
    <xf numFmtId="9" fontId="10" fillId="3" borderId="3" xfId="2" applyFont="1" applyFill="1" applyBorder="1"/>
    <xf numFmtId="0" fontId="10" fillId="3" borderId="3" xfId="0" quotePrefix="1" applyFont="1" applyFill="1" applyBorder="1"/>
    <xf numFmtId="0" fontId="5" fillId="3" borderId="0" xfId="0" applyFont="1" applyFill="1"/>
    <xf numFmtId="3" fontId="5" fillId="3" borderId="0" xfId="0" applyNumberFormat="1" applyFont="1" applyFill="1"/>
    <xf numFmtId="0" fontId="4" fillId="3" borderId="0" xfId="0" applyFont="1" applyFill="1"/>
    <xf numFmtId="1" fontId="2" fillId="0" borderId="5" xfId="0" quotePrefix="1" applyNumberFormat="1" applyFont="1" applyFill="1" applyBorder="1" applyAlignment="1">
      <alignment horizontal="center" vertical="center" wrapText="1"/>
    </xf>
    <xf numFmtId="0" fontId="12" fillId="0" borderId="9" xfId="0" applyFont="1" applyBorder="1"/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4" fontId="12" fillId="0" borderId="11" xfId="0" quotePrefix="1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3" fontId="14" fillId="0" borderId="12" xfId="0" applyNumberFormat="1" applyFont="1" applyBorder="1" applyAlignment="1">
      <alignment horizontal="right"/>
    </xf>
    <xf numFmtId="9" fontId="14" fillId="0" borderId="12" xfId="2" applyFont="1" applyBorder="1" applyAlignment="1"/>
    <xf numFmtId="9" fontId="14" fillId="0" borderId="12" xfId="2" applyFont="1" applyBorder="1" applyAlignment="1">
      <alignment horizontal="right"/>
    </xf>
    <xf numFmtId="3" fontId="14" fillId="0" borderId="12" xfId="2" applyNumberFormat="1" applyFont="1" applyBorder="1" applyAlignment="1">
      <alignment horizontal="right"/>
    </xf>
    <xf numFmtId="3" fontId="12" fillId="0" borderId="12" xfId="0" applyNumberFormat="1" applyFont="1" applyBorder="1" applyAlignment="1">
      <alignment horizontal="right"/>
    </xf>
    <xf numFmtId="9" fontId="12" fillId="0" borderId="12" xfId="2" applyFont="1" applyBorder="1" applyAlignment="1"/>
    <xf numFmtId="9" fontId="12" fillId="0" borderId="12" xfId="2" applyFont="1" applyBorder="1" applyAlignment="1">
      <alignment horizontal="right"/>
    </xf>
    <xf numFmtId="3" fontId="12" fillId="0" borderId="12" xfId="2" applyNumberFormat="1" applyFont="1" applyBorder="1" applyAlignment="1">
      <alignment horizontal="right"/>
    </xf>
    <xf numFmtId="0" fontId="15" fillId="0" borderId="9" xfId="0" applyFont="1" applyBorder="1"/>
    <xf numFmtId="3" fontId="15" fillId="0" borderId="13" xfId="0" applyNumberFormat="1" applyFont="1" applyFill="1" applyBorder="1" applyAlignment="1">
      <alignment horizontal="right"/>
    </xf>
    <xf numFmtId="9" fontId="15" fillId="2" borderId="12" xfId="0" applyNumberFormat="1" applyFont="1" applyFill="1" applyBorder="1" applyAlignment="1"/>
    <xf numFmtId="9" fontId="15" fillId="2" borderId="12" xfId="0" applyNumberFormat="1" applyFont="1" applyFill="1" applyBorder="1" applyAlignment="1">
      <alignment horizontal="right"/>
    </xf>
    <xf numFmtId="3" fontId="15" fillId="2" borderId="12" xfId="0" applyNumberFormat="1" applyFont="1" applyFill="1" applyBorder="1" applyAlignment="1">
      <alignment horizontal="right"/>
    </xf>
    <xf numFmtId="9" fontId="15" fillId="0" borderId="12" xfId="2" applyFont="1" applyBorder="1" applyAlignment="1">
      <alignment horizontal="right"/>
    </xf>
    <xf numFmtId="3" fontId="15" fillId="0" borderId="12" xfId="2" applyNumberFormat="1" applyFont="1" applyBorder="1" applyAlignment="1">
      <alignment horizontal="right"/>
    </xf>
    <xf numFmtId="3" fontId="12" fillId="0" borderId="12" xfId="0" applyNumberFormat="1" applyFont="1" applyFill="1" applyBorder="1" applyAlignment="1">
      <alignment horizontal="right"/>
    </xf>
    <xf numFmtId="9" fontId="12" fillId="2" borderId="12" xfId="2" applyFont="1" applyFill="1" applyBorder="1" applyAlignment="1"/>
    <xf numFmtId="9" fontId="12" fillId="2" borderId="12" xfId="2" applyFont="1" applyFill="1" applyBorder="1" applyAlignment="1">
      <alignment horizontal="right"/>
    </xf>
    <xf numFmtId="3" fontId="12" fillId="2" borderId="12" xfId="0" applyNumberFormat="1" applyFont="1" applyFill="1" applyBorder="1" applyAlignment="1">
      <alignment horizontal="right"/>
    </xf>
    <xf numFmtId="190" fontId="15" fillId="2" borderId="12" xfId="1" applyNumberFormat="1" applyFont="1" applyFill="1" applyBorder="1" applyAlignment="1">
      <alignment horizontal="right"/>
    </xf>
    <xf numFmtId="3" fontId="14" fillId="0" borderId="12" xfId="0" applyNumberFormat="1" applyFont="1" applyFill="1" applyBorder="1" applyAlignment="1">
      <alignment horizontal="right"/>
    </xf>
    <xf numFmtId="3" fontId="15" fillId="0" borderId="12" xfId="0" applyNumberFormat="1" applyFont="1" applyFill="1" applyBorder="1" applyAlignment="1">
      <alignment horizontal="right"/>
    </xf>
    <xf numFmtId="3" fontId="15" fillId="0" borderId="12" xfId="0" applyNumberFormat="1" applyFont="1" applyBorder="1" applyAlignment="1">
      <alignment horizontal="right"/>
    </xf>
    <xf numFmtId="9" fontId="15" fillId="0" borderId="12" xfId="0" applyNumberFormat="1" applyFont="1" applyBorder="1" applyAlignment="1"/>
    <xf numFmtId="9" fontId="15" fillId="0" borderId="12" xfId="0" applyNumberFormat="1" applyFont="1" applyBorder="1" applyAlignment="1">
      <alignment horizontal="right"/>
    </xf>
    <xf numFmtId="9" fontId="12" fillId="0" borderId="12" xfId="0" applyNumberFormat="1" applyFont="1" applyBorder="1" applyAlignment="1"/>
    <xf numFmtId="9" fontId="12" fillId="0" borderId="12" xfId="0" applyNumberFormat="1" applyFont="1" applyBorder="1" applyAlignment="1">
      <alignment horizontal="right"/>
    </xf>
    <xf numFmtId="0" fontId="12" fillId="3" borderId="9" xfId="0" applyFont="1" applyFill="1" applyBorder="1"/>
    <xf numFmtId="3" fontId="12" fillId="3" borderId="12" xfId="0" applyNumberFormat="1" applyFont="1" applyFill="1" applyBorder="1" applyAlignment="1">
      <alignment horizontal="right"/>
    </xf>
    <xf numFmtId="9" fontId="12" fillId="3" borderId="12" xfId="2" applyFont="1" applyFill="1" applyBorder="1" applyAlignment="1"/>
    <xf numFmtId="9" fontId="12" fillId="3" borderId="12" xfId="2" applyFont="1" applyFill="1" applyBorder="1" applyAlignment="1">
      <alignment horizontal="right"/>
    </xf>
    <xf numFmtId="3" fontId="12" fillId="3" borderId="12" xfId="2" applyNumberFormat="1" applyFont="1" applyFill="1" applyBorder="1" applyAlignment="1">
      <alignment horizontal="right"/>
    </xf>
    <xf numFmtId="0" fontId="7" fillId="3" borderId="0" xfId="0" applyFont="1" applyFill="1"/>
    <xf numFmtId="3" fontId="5" fillId="5" borderId="0" xfId="0" applyNumberFormat="1" applyFont="1" applyFill="1"/>
    <xf numFmtId="0" fontId="7" fillId="5" borderId="0" xfId="0" applyFont="1" applyFill="1"/>
    <xf numFmtId="0" fontId="5" fillId="5" borderId="0" xfId="0" applyFont="1" applyFill="1"/>
    <xf numFmtId="190" fontId="16" fillId="0" borderId="0" xfId="1" applyNumberFormat="1" applyFont="1"/>
    <xf numFmtId="0" fontId="16" fillId="0" borderId="0" xfId="0" applyFont="1"/>
    <xf numFmtId="0" fontId="17" fillId="0" borderId="0" xfId="0" applyFont="1"/>
    <xf numFmtId="190" fontId="17" fillId="0" borderId="0" xfId="1" applyNumberFormat="1" applyFont="1"/>
    <xf numFmtId="190" fontId="16" fillId="0" borderId="0" xfId="1" quotePrefix="1" applyNumberFormat="1" applyFont="1"/>
    <xf numFmtId="190" fontId="16" fillId="0" borderId="0" xfId="0" applyNumberFormat="1" applyFont="1"/>
    <xf numFmtId="190" fontId="17" fillId="0" borderId="0" xfId="0" applyNumberFormat="1" applyFont="1"/>
    <xf numFmtId="171" fontId="8" fillId="0" borderId="0" xfId="1" applyFont="1" applyFill="1"/>
    <xf numFmtId="0" fontId="18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 vertical="center" wrapText="1"/>
    </xf>
    <xf numFmtId="0" fontId="20" fillId="0" borderId="12" xfId="0" applyFont="1" applyBorder="1"/>
    <xf numFmtId="0" fontId="19" fillId="0" borderId="14" xfId="0" applyFont="1" applyBorder="1"/>
    <xf numFmtId="2" fontId="19" fillId="2" borderId="14" xfId="0" applyNumberFormat="1" applyFont="1" applyFill="1" applyBorder="1" applyAlignment="1">
      <alignment horizontal="center"/>
    </xf>
    <xf numFmtId="2" fontId="19" fillId="0" borderId="14" xfId="0" applyNumberFormat="1" applyFont="1" applyBorder="1" applyAlignment="1"/>
    <xf numFmtId="0" fontId="19" fillId="0" borderId="1" xfId="0" applyFont="1" applyBorder="1"/>
    <xf numFmtId="2" fontId="19" fillId="2" borderId="1" xfId="0" applyNumberFormat="1" applyFont="1" applyFill="1" applyBorder="1" applyAlignment="1">
      <alignment horizontal="center"/>
    </xf>
    <xf numFmtId="2" fontId="19" fillId="0" borderId="1" xfId="0" applyNumberFormat="1" applyFont="1" applyBorder="1" applyAlignment="1"/>
    <xf numFmtId="2" fontId="21" fillId="2" borderId="12" xfId="0" applyNumberFormat="1" applyFont="1" applyFill="1" applyBorder="1" applyAlignment="1">
      <alignment horizontal="center"/>
    </xf>
    <xf numFmtId="0" fontId="21" fillId="0" borderId="12" xfId="0" applyFont="1" applyBorder="1" applyAlignment="1"/>
    <xf numFmtId="0" fontId="19" fillId="0" borderId="3" xfId="0" applyFont="1" applyBorder="1"/>
    <xf numFmtId="2" fontId="19" fillId="2" borderId="3" xfId="0" applyNumberFormat="1" applyFont="1" applyFill="1" applyBorder="1" applyAlignment="1">
      <alignment horizontal="center"/>
    </xf>
    <xf numFmtId="2" fontId="19" fillId="0" borderId="3" xfId="0" applyNumberFormat="1" applyFont="1" applyBorder="1" applyAlignment="1"/>
    <xf numFmtId="188" fontId="19" fillId="2" borderId="14" xfId="2" applyNumberFormat="1" applyFont="1" applyFill="1" applyBorder="1" applyAlignment="1">
      <alignment horizontal="center"/>
    </xf>
    <xf numFmtId="188" fontId="19" fillId="0" borderId="14" xfId="2" applyNumberFormat="1" applyFont="1" applyBorder="1" applyAlignment="1"/>
    <xf numFmtId="188" fontId="19" fillId="2" borderId="3" xfId="2" applyNumberFormat="1" applyFont="1" applyFill="1" applyBorder="1" applyAlignment="1">
      <alignment horizontal="center"/>
    </xf>
    <xf numFmtId="188" fontId="19" fillId="0" borderId="3" xfId="2" applyNumberFormat="1" applyFont="1" applyBorder="1" applyAlignment="1"/>
    <xf numFmtId="10" fontId="19" fillId="0" borderId="3" xfId="0" applyNumberFormat="1" applyFont="1" applyBorder="1"/>
    <xf numFmtId="10" fontId="19" fillId="0" borderId="3" xfId="0" applyNumberFormat="1" applyFont="1" applyBorder="1" applyAlignment="1"/>
    <xf numFmtId="0" fontId="19" fillId="0" borderId="8" xfId="0" applyFont="1" applyBorder="1"/>
    <xf numFmtId="10" fontId="19" fillId="0" borderId="8" xfId="0" applyNumberFormat="1" applyFont="1" applyBorder="1" applyAlignment="1"/>
    <xf numFmtId="0" fontId="12" fillId="0" borderId="10" xfId="0" applyFont="1" applyBorder="1" applyAlignment="1">
      <alignment vertical="center" wrapText="1"/>
    </xf>
    <xf numFmtId="14" fontId="12" fillId="0" borderId="10" xfId="0" quotePrefix="1" applyNumberFormat="1" applyFont="1" applyBorder="1" applyAlignment="1">
      <alignment vertical="center" wrapText="1"/>
    </xf>
    <xf numFmtId="0" fontId="15" fillId="0" borderId="9" xfId="0" applyFont="1" applyFill="1" applyBorder="1"/>
    <xf numFmtId="9" fontId="15" fillId="0" borderId="12" xfId="2" applyFont="1" applyFill="1" applyBorder="1" applyAlignment="1"/>
    <xf numFmtId="9" fontId="15" fillId="0" borderId="12" xfId="2" applyFont="1" applyFill="1" applyBorder="1" applyAlignment="1">
      <alignment horizontal="right"/>
    </xf>
    <xf numFmtId="3" fontId="15" fillId="0" borderId="12" xfId="2" applyNumberFormat="1" applyFont="1" applyFill="1" applyBorder="1" applyAlignment="1">
      <alignment horizontal="right"/>
    </xf>
    <xf numFmtId="3" fontId="5" fillId="0" borderId="0" xfId="0" applyNumberFormat="1" applyFont="1" applyFill="1"/>
    <xf numFmtId="0" fontId="7" fillId="0" borderId="0" xfId="0" applyFont="1" applyFill="1"/>
    <xf numFmtId="0" fontId="5" fillId="0" borderId="0" xfId="0" applyFont="1" applyFill="1"/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2" fontId="21" fillId="2" borderId="15" xfId="0" applyNumberFormat="1" applyFont="1" applyFill="1" applyBorder="1" applyAlignment="1">
      <alignment horizontal="center"/>
    </xf>
    <xf numFmtId="2" fontId="21" fillId="2" borderId="16" xfId="0" applyNumberFormat="1" applyFont="1" applyFill="1" applyBorder="1" applyAlignment="1">
      <alignment horizontal="center"/>
    </xf>
    <xf numFmtId="2" fontId="21" fillId="2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zoomScaleNormal="100" workbookViewId="0">
      <selection activeCell="A18" sqref="A18"/>
    </sheetView>
  </sheetViews>
  <sheetFormatPr defaultColWidth="8.85546875" defaultRowHeight="16.5"/>
  <cols>
    <col min="1" max="1" width="31.5703125" style="2" bestFit="1" customWidth="1"/>
    <col min="2" max="3" width="8.7109375" style="2" bestFit="1" customWidth="1"/>
    <col min="4" max="4" width="7.85546875" style="2" bestFit="1" customWidth="1"/>
    <col min="5" max="5" width="7.140625" style="5" bestFit="1" customWidth="1"/>
    <col min="6" max="6" width="7.140625" style="6" bestFit="1" customWidth="1"/>
    <col min="7" max="7" width="5.7109375" style="6" bestFit="1" customWidth="1"/>
    <col min="8" max="8" width="9" style="2" customWidth="1"/>
    <col min="9" max="9" width="8.7109375" style="2" bestFit="1" customWidth="1"/>
    <col min="10" max="10" width="8.28515625" style="2" customWidth="1"/>
    <col min="11" max="11" width="8.7109375" style="2" bestFit="1" customWidth="1"/>
    <col min="12" max="12" width="31.85546875" style="1" customWidth="1"/>
    <col min="13" max="13" width="12.28515625" style="1" customWidth="1"/>
    <col min="14" max="15" width="12.5703125" style="1" customWidth="1"/>
    <col min="16" max="16" width="8.85546875" style="7"/>
    <col min="17" max="16384" width="8.85546875" style="2"/>
  </cols>
  <sheetData>
    <row r="1" spans="1:16" ht="19.899999999999999" customHeight="1">
      <c r="A1" s="137" t="s">
        <v>59</v>
      </c>
      <c r="B1" s="137"/>
      <c r="C1" s="137"/>
      <c r="D1" s="137"/>
      <c r="E1" s="137"/>
      <c r="F1" s="137"/>
      <c r="G1" s="137"/>
      <c r="H1" s="137"/>
      <c r="I1" s="137"/>
      <c r="J1" s="8"/>
      <c r="K1" s="8"/>
      <c r="L1" s="19">
        <v>2012</v>
      </c>
      <c r="M1" s="1" t="s">
        <v>88</v>
      </c>
      <c r="N1" s="1" t="s">
        <v>89</v>
      </c>
      <c r="O1" s="1" t="s">
        <v>90</v>
      </c>
    </row>
    <row r="2" spans="1:16" ht="19.899999999999999" customHeight="1">
      <c r="A2" s="129" t="s">
        <v>0</v>
      </c>
      <c r="B2" s="138" t="s">
        <v>133</v>
      </c>
      <c r="C2" s="139"/>
      <c r="D2" s="142"/>
      <c r="E2" s="138" t="s">
        <v>1</v>
      </c>
      <c r="F2" s="139"/>
      <c r="G2" s="140"/>
      <c r="H2" s="141" t="s">
        <v>2</v>
      </c>
      <c r="I2" s="139"/>
      <c r="J2" s="139"/>
      <c r="K2" s="142"/>
    </row>
    <row r="3" spans="1:16" ht="21" customHeight="1">
      <c r="A3" s="130"/>
      <c r="B3" s="120" t="s">
        <v>106</v>
      </c>
      <c r="C3" s="120" t="s">
        <v>107</v>
      </c>
      <c r="D3" s="121" t="s">
        <v>108</v>
      </c>
      <c r="E3" s="48">
        <v>2013</v>
      </c>
      <c r="F3" s="49">
        <v>2014</v>
      </c>
      <c r="G3" s="50" t="s">
        <v>101</v>
      </c>
      <c r="H3" s="48" t="s">
        <v>3</v>
      </c>
      <c r="I3" s="49" t="s">
        <v>22</v>
      </c>
      <c r="J3" s="48" t="s">
        <v>3</v>
      </c>
      <c r="K3" s="49" t="s">
        <v>22</v>
      </c>
    </row>
    <row r="4" spans="1:16" ht="19.899999999999999" customHeight="1">
      <c r="A4" s="51">
        <v>1</v>
      </c>
      <c r="B4" s="52">
        <v>2</v>
      </c>
      <c r="C4" s="52">
        <v>3</v>
      </c>
      <c r="D4" s="52">
        <v>4</v>
      </c>
      <c r="E4" s="52">
        <v>5</v>
      </c>
      <c r="F4" s="52">
        <v>6</v>
      </c>
      <c r="G4" s="52">
        <v>7</v>
      </c>
      <c r="H4" s="52" t="s">
        <v>80</v>
      </c>
      <c r="I4" s="52" t="s">
        <v>82</v>
      </c>
      <c r="J4" s="52" t="s">
        <v>81</v>
      </c>
      <c r="K4" s="52" t="s">
        <v>83</v>
      </c>
    </row>
    <row r="5" spans="1:16" ht="19.899999999999999" customHeight="1">
      <c r="A5" s="53" t="s">
        <v>4</v>
      </c>
      <c r="B5" s="54">
        <f t="shared" ref="B5:G5" si="0">B6+B12</f>
        <v>192364</v>
      </c>
      <c r="C5" s="54">
        <f t="shared" si="0"/>
        <v>246148</v>
      </c>
      <c r="D5" s="54">
        <f t="shared" si="0"/>
        <v>246042</v>
      </c>
      <c r="E5" s="55">
        <f t="shared" si="0"/>
        <v>1</v>
      </c>
      <c r="F5" s="56">
        <f t="shared" si="0"/>
        <v>1</v>
      </c>
      <c r="G5" s="56">
        <f t="shared" si="0"/>
        <v>1</v>
      </c>
      <c r="H5" s="54">
        <f t="shared" ref="H5:H18" si="1">C5-B5</f>
        <v>53784</v>
      </c>
      <c r="I5" s="56">
        <f>H5/B5</f>
        <v>0.27959493460314822</v>
      </c>
      <c r="J5" s="57">
        <f>D5-C5</f>
        <v>-106</v>
      </c>
      <c r="K5" s="56">
        <f>J5/C5</f>
        <v>-4.3063522758665521E-4</v>
      </c>
      <c r="L5" s="4">
        <f>L6+L12</f>
        <v>251483</v>
      </c>
      <c r="M5" s="1">
        <f>(L5+B5)/2</f>
        <v>221923.5</v>
      </c>
      <c r="N5" s="1">
        <f>(C5+B5)/2</f>
        <v>219256</v>
      </c>
      <c r="O5" s="1">
        <f>(D5+C5)/2</f>
        <v>246095</v>
      </c>
      <c r="P5" s="7" t="s">
        <v>66</v>
      </c>
    </row>
    <row r="6" spans="1:16" s="43" customFormat="1" ht="19.899999999999999" customHeight="1">
      <c r="A6" s="81" t="s">
        <v>5</v>
      </c>
      <c r="B6" s="82">
        <f>SUM(B7:B11)</f>
        <v>135650</v>
      </c>
      <c r="C6" s="82">
        <f>SUM(C7:C11)</f>
        <v>178892</v>
      </c>
      <c r="D6" s="82">
        <f>SUM(D7:D11)</f>
        <v>172912</v>
      </c>
      <c r="E6" s="83">
        <f>B6/B5</f>
        <v>0.70517352519182386</v>
      </c>
      <c r="F6" s="84">
        <f>C6/C5</f>
        <v>0.72676601069275393</v>
      </c>
      <c r="G6" s="84">
        <f>D6/D5</f>
        <v>0.70277432308305088</v>
      </c>
      <c r="H6" s="82">
        <f t="shared" si="1"/>
        <v>43242</v>
      </c>
      <c r="I6" s="84">
        <f>H6/B6</f>
        <v>0.31877626244010321</v>
      </c>
      <c r="J6" s="85">
        <f t="shared" ref="J6:J32" si="2">D6-C6</f>
        <v>-5980</v>
      </c>
      <c r="K6" s="84">
        <f t="shared" ref="K6:K32" si="3">J6/C6</f>
        <v>-3.3427990072222344E-2</v>
      </c>
      <c r="L6" s="16">
        <v>190599</v>
      </c>
      <c r="M6" s="44">
        <f>(L6+B6)/2</f>
        <v>163124.5</v>
      </c>
      <c r="N6" s="44">
        <f>(B6+C6)/2</f>
        <v>157271</v>
      </c>
      <c r="O6" s="44">
        <f>(C6+D6)/2</f>
        <v>175902</v>
      </c>
      <c r="P6" s="86" t="s">
        <v>64</v>
      </c>
    </row>
    <row r="7" spans="1:16" ht="19.899999999999999" customHeight="1">
      <c r="A7" s="62" t="s">
        <v>61</v>
      </c>
      <c r="B7" s="63">
        <v>1762</v>
      </c>
      <c r="C7" s="63">
        <v>77</v>
      </c>
      <c r="D7" s="63">
        <v>40</v>
      </c>
      <c r="E7" s="64">
        <f>B7/$B$6</f>
        <v>1.2989310726133432E-2</v>
      </c>
      <c r="F7" s="65">
        <f>C7/$C$6</f>
        <v>4.3042729691657536E-4</v>
      </c>
      <c r="G7" s="65">
        <f>D7/$D$6</f>
        <v>2.3133154436939021E-4</v>
      </c>
      <c r="H7" s="66">
        <f t="shared" si="1"/>
        <v>-1685</v>
      </c>
      <c r="I7" s="67">
        <f>H7/B7</f>
        <v>-0.9562996594778661</v>
      </c>
      <c r="J7" s="68">
        <f t="shared" si="2"/>
        <v>-37</v>
      </c>
      <c r="K7" s="67">
        <f t="shared" si="3"/>
        <v>-0.48051948051948051</v>
      </c>
    </row>
    <row r="8" spans="1:16" ht="19.899999999999999" customHeight="1">
      <c r="A8" s="62" t="s">
        <v>86</v>
      </c>
      <c r="B8" s="63"/>
      <c r="C8" s="63"/>
      <c r="D8" s="63"/>
      <c r="E8" s="64">
        <f>B8/$B$6</f>
        <v>0</v>
      </c>
      <c r="F8" s="65">
        <f>C8/$C$6</f>
        <v>0</v>
      </c>
      <c r="G8" s="65">
        <f>D8/$D$6</f>
        <v>0</v>
      </c>
      <c r="H8" s="66">
        <f t="shared" si="1"/>
        <v>0</v>
      </c>
      <c r="I8" s="67">
        <v>0</v>
      </c>
      <c r="J8" s="68">
        <f t="shared" si="2"/>
        <v>0</v>
      </c>
      <c r="K8" s="67"/>
    </row>
    <row r="9" spans="1:16" ht="19.899999999999999" customHeight="1" thickBot="1">
      <c r="A9" s="62" t="s">
        <v>102</v>
      </c>
      <c r="B9" s="63">
        <v>52707</v>
      </c>
      <c r="C9" s="63">
        <v>59155</v>
      </c>
      <c r="D9" s="63">
        <v>39397</v>
      </c>
      <c r="E9" s="64">
        <f>B9/$B$6</f>
        <v>0.38855141909325469</v>
      </c>
      <c r="F9" s="65">
        <f>C9/$C$6</f>
        <v>0.33067437336493527</v>
      </c>
      <c r="G9" s="65">
        <f>D9/$D$6</f>
        <v>0.22784422133802165</v>
      </c>
      <c r="H9" s="66">
        <f t="shared" si="1"/>
        <v>6448</v>
      </c>
      <c r="I9" s="67">
        <f t="shared" ref="I9:I16" si="4">H9/B9</f>
        <v>0.12233669152105034</v>
      </c>
      <c r="J9" s="68">
        <f t="shared" si="2"/>
        <v>-19758</v>
      </c>
      <c r="K9" s="67">
        <f t="shared" si="3"/>
        <v>-0.33400388809060944</v>
      </c>
      <c r="L9" s="17">
        <v>34540</v>
      </c>
      <c r="M9" s="1">
        <f>(L9+B9)/2</f>
        <v>43623.5</v>
      </c>
      <c r="N9" s="1">
        <f>(B9+C9)/2</f>
        <v>55931</v>
      </c>
      <c r="O9" s="1">
        <f>(C9+D9)/2</f>
        <v>49276</v>
      </c>
      <c r="P9" s="7" t="s">
        <v>67</v>
      </c>
    </row>
    <row r="10" spans="1:16" ht="19.899999999999999" customHeight="1" thickBot="1">
      <c r="A10" s="62" t="s">
        <v>62</v>
      </c>
      <c r="B10" s="63">
        <v>81045</v>
      </c>
      <c r="C10" s="63">
        <v>119538</v>
      </c>
      <c r="D10" s="63">
        <v>133353</v>
      </c>
      <c r="E10" s="64">
        <f>B10/$B$6</f>
        <v>0.59745669001105783</v>
      </c>
      <c r="F10" s="65">
        <f>C10/$C$6</f>
        <v>0.6682132236209557</v>
      </c>
      <c r="G10" s="65">
        <f>D10/$D$6</f>
        <v>0.77121888590728227</v>
      </c>
      <c r="H10" s="66">
        <f t="shared" si="1"/>
        <v>38493</v>
      </c>
      <c r="I10" s="67">
        <f t="shared" si="4"/>
        <v>0.47495835646862855</v>
      </c>
      <c r="J10" s="68">
        <f t="shared" si="2"/>
        <v>13815</v>
      </c>
      <c r="K10" s="67">
        <f t="shared" si="3"/>
        <v>0.11556994428549917</v>
      </c>
      <c r="L10" s="17">
        <v>155480</v>
      </c>
      <c r="M10" s="1">
        <f>(L10+B10)/2</f>
        <v>118262.5</v>
      </c>
      <c r="N10" s="1">
        <f>(B10+C10)/2</f>
        <v>100291.5</v>
      </c>
      <c r="O10" s="1">
        <f>(C10+D10)/2</f>
        <v>126445.5</v>
      </c>
      <c r="P10" s="7" t="s">
        <v>68</v>
      </c>
    </row>
    <row r="11" spans="1:16" ht="19.899999999999999" customHeight="1">
      <c r="A11" s="62" t="s">
        <v>63</v>
      </c>
      <c r="B11" s="63">
        <v>136</v>
      </c>
      <c r="C11" s="63">
        <v>122</v>
      </c>
      <c r="D11" s="63">
        <v>122</v>
      </c>
      <c r="E11" s="64">
        <f>B11/$B$6</f>
        <v>1.0025801695539992E-3</v>
      </c>
      <c r="F11" s="65">
        <f>C11/$C$6</f>
        <v>6.8197571719249607E-4</v>
      </c>
      <c r="G11" s="65">
        <f>D11/$D$6</f>
        <v>7.0556121032664017E-4</v>
      </c>
      <c r="H11" s="66">
        <f t="shared" si="1"/>
        <v>-14</v>
      </c>
      <c r="I11" s="67">
        <f t="shared" si="4"/>
        <v>-0.10294117647058823</v>
      </c>
      <c r="J11" s="68">
        <f t="shared" si="2"/>
        <v>0</v>
      </c>
      <c r="K11" s="67">
        <f t="shared" si="3"/>
        <v>0</v>
      </c>
    </row>
    <row r="12" spans="1:16" ht="19.899999999999999" customHeight="1">
      <c r="A12" s="47" t="s">
        <v>6</v>
      </c>
      <c r="B12" s="69">
        <f>SUM(B13:B16)</f>
        <v>56714</v>
      </c>
      <c r="C12" s="69">
        <f>SUM(C13:C16)</f>
        <v>67256</v>
      </c>
      <c r="D12" s="69">
        <f>SUM(D13:D16)</f>
        <v>73130</v>
      </c>
      <c r="E12" s="70">
        <f>B12/B5</f>
        <v>0.29482647480817614</v>
      </c>
      <c r="F12" s="71">
        <f>C12/C5</f>
        <v>0.27323398930724607</v>
      </c>
      <c r="G12" s="71">
        <f>D12/D5</f>
        <v>0.29722567691694912</v>
      </c>
      <c r="H12" s="72">
        <f t="shared" si="1"/>
        <v>10542</v>
      </c>
      <c r="I12" s="60">
        <f t="shared" si="4"/>
        <v>0.18588002962231548</v>
      </c>
      <c r="J12" s="61">
        <f t="shared" si="2"/>
        <v>5874</v>
      </c>
      <c r="K12" s="60">
        <f t="shared" si="3"/>
        <v>8.7337932675151664E-2</v>
      </c>
      <c r="L12" s="16">
        <v>60884</v>
      </c>
      <c r="M12" s="1">
        <f>(L12+B13)/2</f>
        <v>30442</v>
      </c>
      <c r="N12" s="1">
        <f>(M12+C13)/2</f>
        <v>15416</v>
      </c>
      <c r="O12" s="1">
        <f>(N12+D13)/2</f>
        <v>8178</v>
      </c>
      <c r="P12" s="7" t="s">
        <v>65</v>
      </c>
    </row>
    <row r="13" spans="1:16" ht="19.899999999999999" customHeight="1">
      <c r="A13" s="62" t="s">
        <v>126</v>
      </c>
      <c r="B13" s="63"/>
      <c r="C13" s="63">
        <v>390</v>
      </c>
      <c r="D13" s="63">
        <v>940</v>
      </c>
      <c r="E13" s="64">
        <f>B13/$B$12</f>
        <v>0</v>
      </c>
      <c r="F13" s="65">
        <f>C13/$C$12</f>
        <v>5.7987391459498041E-3</v>
      </c>
      <c r="G13" s="65">
        <f>D13/$D$12</f>
        <v>1.2853821960891562E-2</v>
      </c>
      <c r="H13" s="66">
        <f t="shared" si="1"/>
        <v>390</v>
      </c>
      <c r="I13" s="67" t="e">
        <f t="shared" si="4"/>
        <v>#DIV/0!</v>
      </c>
      <c r="J13" s="68">
        <f>D13-C13</f>
        <v>550</v>
      </c>
      <c r="K13" s="67">
        <f t="shared" si="3"/>
        <v>1.4102564102564104</v>
      </c>
      <c r="L13" s="18" t="s">
        <v>84</v>
      </c>
      <c r="M13" s="18">
        <v>253000</v>
      </c>
      <c r="N13" s="18">
        <v>292000</v>
      </c>
      <c r="O13" s="18">
        <v>425000</v>
      </c>
    </row>
    <row r="14" spans="1:16" ht="19.899999999999999" customHeight="1">
      <c r="A14" s="62" t="s">
        <v>127</v>
      </c>
      <c r="B14" s="63">
        <v>55014</v>
      </c>
      <c r="C14" s="63">
        <v>51990</v>
      </c>
      <c r="D14" s="63">
        <v>53636</v>
      </c>
      <c r="E14" s="64">
        <f>B14/$B$12</f>
        <v>0.97002503790951089</v>
      </c>
      <c r="F14" s="65">
        <f>C14/$C$12</f>
        <v>0.7730165338408469</v>
      </c>
      <c r="G14" s="65">
        <f>D14/$D$12</f>
        <v>0.73343361137699992</v>
      </c>
      <c r="H14" s="66">
        <f t="shared" si="1"/>
        <v>-3024</v>
      </c>
      <c r="I14" s="67">
        <f t="shared" si="4"/>
        <v>-5.4967826371469082E-2</v>
      </c>
      <c r="J14" s="68">
        <f>D14-C14</f>
        <v>1646</v>
      </c>
      <c r="K14" s="67">
        <f t="shared" si="3"/>
        <v>3.1659934602808235E-2</v>
      </c>
    </row>
    <row r="15" spans="1:16" ht="19.899999999999999" customHeight="1">
      <c r="A15" s="62" t="s">
        <v>128</v>
      </c>
      <c r="B15" s="63">
        <v>395</v>
      </c>
      <c r="C15" s="63">
        <v>13228</v>
      </c>
      <c r="D15" s="63">
        <v>16987</v>
      </c>
      <c r="E15" s="64">
        <f>B15/$B$12</f>
        <v>6.9647706033783546E-3</v>
      </c>
      <c r="F15" s="65">
        <f>C15/$C$12</f>
        <v>0.1966813369810872</v>
      </c>
      <c r="G15" s="65">
        <f>D15/$D$12</f>
        <v>0.23228497196772871</v>
      </c>
      <c r="H15" s="66">
        <f t="shared" si="1"/>
        <v>12833</v>
      </c>
      <c r="I15" s="67">
        <f t="shared" si="4"/>
        <v>32.48860759493671</v>
      </c>
      <c r="J15" s="68">
        <f>D15-C15</f>
        <v>3759</v>
      </c>
      <c r="K15" s="67">
        <f t="shared" si="3"/>
        <v>0.28416994254611433</v>
      </c>
    </row>
    <row r="16" spans="1:16" ht="19.899999999999999" customHeight="1">
      <c r="A16" s="62" t="s">
        <v>129</v>
      </c>
      <c r="B16" s="63">
        <v>1305</v>
      </c>
      <c r="C16" s="63">
        <v>1648</v>
      </c>
      <c r="D16" s="63">
        <v>1567</v>
      </c>
      <c r="E16" s="64">
        <f>B16/$B$12</f>
        <v>2.3010191487110768E-2</v>
      </c>
      <c r="F16" s="65">
        <f>C16/$C$12</f>
        <v>2.4503390032116094E-2</v>
      </c>
      <c r="G16" s="65">
        <f>D16/$D$12</f>
        <v>2.1427594694379871E-2</v>
      </c>
      <c r="H16" s="66">
        <f t="shared" si="1"/>
        <v>343</v>
      </c>
      <c r="I16" s="67">
        <f t="shared" si="4"/>
        <v>0.26283524904214561</v>
      </c>
      <c r="J16" s="68">
        <f>D16-C16</f>
        <v>-81</v>
      </c>
      <c r="K16" s="67">
        <f t="shared" si="3"/>
        <v>-4.9150485436893203E-2</v>
      </c>
    </row>
    <row r="17" spans="1:16" s="43" customFormat="1" ht="19.899999999999999" customHeight="1">
      <c r="A17" s="53" t="s">
        <v>7</v>
      </c>
      <c r="B17" s="74">
        <f t="shared" ref="B17:G17" si="5">B18+B29</f>
        <v>192364</v>
      </c>
      <c r="C17" s="74">
        <f t="shared" si="5"/>
        <v>246148</v>
      </c>
      <c r="D17" s="74">
        <f t="shared" si="5"/>
        <v>246042</v>
      </c>
      <c r="E17" s="55">
        <f t="shared" si="5"/>
        <v>1</v>
      </c>
      <c r="F17" s="56">
        <f t="shared" si="5"/>
        <v>1</v>
      </c>
      <c r="G17" s="56">
        <f t="shared" si="5"/>
        <v>1</v>
      </c>
      <c r="H17" s="54">
        <f t="shared" si="1"/>
        <v>53784</v>
      </c>
      <c r="I17" s="56">
        <f t="shared" ref="I17:I25" si="6">H17/B17</f>
        <v>0.27959493460314822</v>
      </c>
      <c r="J17" s="57">
        <f t="shared" si="2"/>
        <v>-106</v>
      </c>
      <c r="K17" s="56">
        <f t="shared" si="3"/>
        <v>-4.3063522758665521E-4</v>
      </c>
      <c r="L17" s="44" t="s">
        <v>117</v>
      </c>
      <c r="M17" s="44" t="s">
        <v>113</v>
      </c>
      <c r="N17" s="44" t="s">
        <v>114</v>
      </c>
      <c r="O17" s="44" t="s">
        <v>115</v>
      </c>
      <c r="P17" s="86"/>
    </row>
    <row r="18" spans="1:16" ht="19.899999999999999" customHeight="1">
      <c r="A18" s="47" t="s">
        <v>8</v>
      </c>
      <c r="B18" s="69">
        <f>B19+B26</f>
        <v>111189</v>
      </c>
      <c r="C18" s="69">
        <f>C19+C26</f>
        <v>154319</v>
      </c>
      <c r="D18" s="69">
        <f>D19+D26</f>
        <v>151812</v>
      </c>
      <c r="E18" s="59">
        <f t="shared" ref="E18:G19" si="7">B18/B17</f>
        <v>0.5780135576303258</v>
      </c>
      <c r="F18" s="60">
        <f t="shared" si="7"/>
        <v>0.62693582722589658</v>
      </c>
      <c r="G18" s="60">
        <f t="shared" si="7"/>
        <v>0.61701660692076965</v>
      </c>
      <c r="H18" s="58">
        <f t="shared" si="1"/>
        <v>43130</v>
      </c>
      <c r="I18" s="60">
        <f t="shared" si="6"/>
        <v>0.38789808344350613</v>
      </c>
      <c r="J18" s="61">
        <f t="shared" si="2"/>
        <v>-2507</v>
      </c>
      <c r="K18" s="60">
        <f t="shared" si="3"/>
        <v>-1.624556924293185E-2</v>
      </c>
      <c r="L18" s="1" t="s">
        <v>112</v>
      </c>
      <c r="M18" s="1">
        <f>B6-B19</f>
        <v>36861</v>
      </c>
      <c r="N18" s="1">
        <f>C6-C19</f>
        <v>45973</v>
      </c>
      <c r="O18" s="1">
        <f>D6-D19</f>
        <v>42500</v>
      </c>
    </row>
    <row r="19" spans="1:16" s="128" customFormat="1" ht="19.899999999999999" customHeight="1">
      <c r="A19" s="122" t="s">
        <v>9</v>
      </c>
      <c r="B19" s="75">
        <f>SUM(B20:B25)</f>
        <v>98789</v>
      </c>
      <c r="C19" s="75">
        <f>SUM(C20:C25)</f>
        <v>132919</v>
      </c>
      <c r="D19" s="75">
        <f>SUM(D20:D25)</f>
        <v>130412</v>
      </c>
      <c r="E19" s="123">
        <f t="shared" si="7"/>
        <v>0.88847817679806451</v>
      </c>
      <c r="F19" s="124">
        <f t="shared" si="7"/>
        <v>0.86132621388163477</v>
      </c>
      <c r="G19" s="124">
        <f t="shared" si="7"/>
        <v>0.85903617632334728</v>
      </c>
      <c r="H19" s="75">
        <f t="shared" ref="H19:H28" si="8">C19-B19</f>
        <v>34130</v>
      </c>
      <c r="I19" s="124">
        <f t="shared" si="6"/>
        <v>0.34548380892609504</v>
      </c>
      <c r="J19" s="125">
        <f t="shared" si="2"/>
        <v>-2507</v>
      </c>
      <c r="K19" s="124">
        <f t="shared" si="3"/>
        <v>-1.8861110902128365E-2</v>
      </c>
      <c r="L19" s="126" t="s">
        <v>116</v>
      </c>
      <c r="M19" s="126">
        <f>B21+B22</f>
        <v>11264</v>
      </c>
      <c r="N19" s="126">
        <f>C21+C22</f>
        <v>22279</v>
      </c>
      <c r="O19" s="126">
        <f>D21+D22</f>
        <v>23277</v>
      </c>
      <c r="P19" s="127"/>
    </row>
    <row r="20" spans="1:16" s="89" customFormat="1" ht="19.899999999999999" customHeight="1">
      <c r="A20" s="62" t="s">
        <v>25</v>
      </c>
      <c r="B20" s="63">
        <v>83564</v>
      </c>
      <c r="C20" s="63">
        <v>105605</v>
      </c>
      <c r="D20" s="63">
        <v>102076</v>
      </c>
      <c r="E20" s="64">
        <f t="shared" ref="E20:E25" si="9">B20/$B$19</f>
        <v>0.84588365101377683</v>
      </c>
      <c r="F20" s="65">
        <f t="shared" ref="F20:F25" si="10">C20/$C$19</f>
        <v>0.79450642872726995</v>
      </c>
      <c r="G20" s="65">
        <f t="shared" ref="G20:G25" si="11">D20/$D$19</f>
        <v>0.78271938165199517</v>
      </c>
      <c r="H20" s="66">
        <f t="shared" si="8"/>
        <v>22041</v>
      </c>
      <c r="I20" s="67">
        <f t="shared" si="6"/>
        <v>0.26376190704130964</v>
      </c>
      <c r="J20" s="68">
        <f t="shared" si="2"/>
        <v>-3529</v>
      </c>
      <c r="K20" s="67">
        <f t="shared" si="3"/>
        <v>-3.3416978362766914E-2</v>
      </c>
      <c r="L20" s="87"/>
      <c r="M20" s="87"/>
      <c r="N20" s="87"/>
      <c r="O20" s="87"/>
      <c r="P20" s="88"/>
    </row>
    <row r="21" spans="1:16" ht="19.899999999999999" customHeight="1">
      <c r="A21" s="122" t="s">
        <v>23</v>
      </c>
      <c r="B21" s="63">
        <v>11133</v>
      </c>
      <c r="C21" s="63">
        <v>20904</v>
      </c>
      <c r="D21" s="63">
        <v>19377</v>
      </c>
      <c r="E21" s="64">
        <f t="shared" si="9"/>
        <v>0.11269473321928555</v>
      </c>
      <c r="F21" s="65">
        <f t="shared" si="10"/>
        <v>0.15726871252416885</v>
      </c>
      <c r="G21" s="65">
        <f t="shared" si="11"/>
        <v>0.14858295248903475</v>
      </c>
      <c r="H21" s="66">
        <f t="shared" si="8"/>
        <v>9771</v>
      </c>
      <c r="I21" s="67">
        <f t="shared" si="6"/>
        <v>0.87766100781460521</v>
      </c>
      <c r="J21" s="68">
        <f t="shared" si="2"/>
        <v>-1527</v>
      </c>
      <c r="K21" s="67">
        <f t="shared" si="3"/>
        <v>-7.3048220436280134E-2</v>
      </c>
    </row>
    <row r="22" spans="1:16" ht="19.899999999999999" customHeight="1">
      <c r="A22" s="122" t="s">
        <v>24</v>
      </c>
      <c r="B22" s="63">
        <v>131</v>
      </c>
      <c r="C22" s="63">
        <v>1375</v>
      </c>
      <c r="D22" s="63">
        <v>3900</v>
      </c>
      <c r="E22" s="64">
        <f t="shared" si="9"/>
        <v>1.3260585692739071E-3</v>
      </c>
      <c r="F22" s="65">
        <f t="shared" si="10"/>
        <v>1.0344645987405863E-2</v>
      </c>
      <c r="G22" s="65">
        <f t="shared" si="11"/>
        <v>2.990522344569518E-2</v>
      </c>
      <c r="H22" s="66">
        <f t="shared" si="8"/>
        <v>1244</v>
      </c>
      <c r="I22" s="67">
        <f t="shared" si="6"/>
        <v>9.4961832061068705</v>
      </c>
      <c r="J22" s="68">
        <f t="shared" si="2"/>
        <v>2525</v>
      </c>
      <c r="K22" s="67">
        <f t="shared" si="3"/>
        <v>1.8363636363636364</v>
      </c>
    </row>
    <row r="23" spans="1:16" ht="19.899999999999999" customHeight="1">
      <c r="A23" s="62" t="s">
        <v>26</v>
      </c>
      <c r="B23" s="63">
        <v>1961</v>
      </c>
      <c r="C23" s="63">
        <v>2881</v>
      </c>
      <c r="D23" s="63">
        <v>2723</v>
      </c>
      <c r="E23" s="64">
        <f t="shared" si="9"/>
        <v>1.985038820111551E-2</v>
      </c>
      <c r="F23" s="65">
        <f t="shared" si="10"/>
        <v>2.167485461070276E-2</v>
      </c>
      <c r="G23" s="65">
        <f t="shared" si="11"/>
        <v>2.087998036990461E-2</v>
      </c>
      <c r="H23" s="66">
        <f t="shared" si="8"/>
        <v>920</v>
      </c>
      <c r="I23" s="67">
        <f t="shared" si="6"/>
        <v>0.46914839367669559</v>
      </c>
      <c r="J23" s="68">
        <f t="shared" si="2"/>
        <v>-158</v>
      </c>
      <c r="K23" s="67">
        <f t="shared" si="3"/>
        <v>-5.4842068726136756E-2</v>
      </c>
    </row>
    <row r="24" spans="1:16" ht="19.899999999999999" customHeight="1">
      <c r="A24" s="62" t="s">
        <v>29</v>
      </c>
      <c r="B24" s="63">
        <v>1655</v>
      </c>
      <c r="C24" s="63">
        <v>2083</v>
      </c>
      <c r="D24" s="63">
        <v>2258</v>
      </c>
      <c r="E24" s="64">
        <f t="shared" si="9"/>
        <v>1.6752877344643636E-2</v>
      </c>
      <c r="F24" s="65">
        <f t="shared" si="10"/>
        <v>1.5671198248557391E-2</v>
      </c>
      <c r="G24" s="65">
        <f t="shared" si="11"/>
        <v>1.7314357574456339E-2</v>
      </c>
      <c r="H24" s="66">
        <f t="shared" si="8"/>
        <v>428</v>
      </c>
      <c r="I24" s="67">
        <f t="shared" si="6"/>
        <v>0.25861027190332325</v>
      </c>
      <c r="J24" s="68">
        <f t="shared" si="2"/>
        <v>175</v>
      </c>
      <c r="K24" s="67">
        <f t="shared" si="3"/>
        <v>8.4013442150744119E-2</v>
      </c>
    </row>
    <row r="25" spans="1:16" ht="19.899999999999999" customHeight="1">
      <c r="A25" s="62" t="s">
        <v>87</v>
      </c>
      <c r="B25" s="63">
        <v>345</v>
      </c>
      <c r="C25" s="63">
        <v>71</v>
      </c>
      <c r="D25" s="63">
        <v>78</v>
      </c>
      <c r="E25" s="64">
        <f t="shared" si="9"/>
        <v>3.4922916519045644E-3</v>
      </c>
      <c r="F25" s="65">
        <f t="shared" si="10"/>
        <v>5.3415990189513917E-4</v>
      </c>
      <c r="G25" s="65">
        <f t="shared" si="11"/>
        <v>5.981044689139036E-4</v>
      </c>
      <c r="H25" s="66">
        <f t="shared" si="8"/>
        <v>-274</v>
      </c>
      <c r="I25" s="67">
        <f t="shared" si="6"/>
        <v>-0.79420289855072468</v>
      </c>
      <c r="J25" s="68">
        <f t="shared" si="2"/>
        <v>7</v>
      </c>
      <c r="K25" s="67">
        <f t="shared" si="3"/>
        <v>9.8591549295774641E-2</v>
      </c>
    </row>
    <row r="26" spans="1:16" ht="19.899999999999999" customHeight="1">
      <c r="A26" s="62" t="s">
        <v>10</v>
      </c>
      <c r="B26" s="75">
        <f>SUM(B27:B28)</f>
        <v>12400</v>
      </c>
      <c r="C26" s="75">
        <f>SUM(C27:C28)</f>
        <v>21400</v>
      </c>
      <c r="D26" s="75">
        <f>SUM(D27:D28)</f>
        <v>21400</v>
      </c>
      <c r="E26" s="77">
        <f>B26/B18</f>
        <v>0.11152182320193545</v>
      </c>
      <c r="F26" s="78">
        <f>C26/C18</f>
        <v>0.1386737861183652</v>
      </c>
      <c r="G26" s="78">
        <f>D26/D18</f>
        <v>0.14096382367665269</v>
      </c>
      <c r="H26" s="73">
        <f>C26-B26</f>
        <v>9000</v>
      </c>
      <c r="I26" s="67">
        <f t="shared" ref="I26:I32" si="12">H26/B26</f>
        <v>0.72580645161290325</v>
      </c>
      <c r="J26" s="68">
        <f t="shared" si="2"/>
        <v>0</v>
      </c>
      <c r="K26" s="67">
        <f t="shared" si="3"/>
        <v>0</v>
      </c>
    </row>
    <row r="27" spans="1:16" ht="19.899999999999999" customHeight="1">
      <c r="A27" s="62" t="s">
        <v>27</v>
      </c>
      <c r="B27" s="63">
        <v>12400</v>
      </c>
      <c r="C27" s="63">
        <v>21400</v>
      </c>
      <c r="D27" s="63">
        <v>21400</v>
      </c>
      <c r="E27" s="64">
        <f>B27/$B$26</f>
        <v>1</v>
      </c>
      <c r="F27" s="64">
        <f>C27/$C$26</f>
        <v>1</v>
      </c>
      <c r="G27" s="64">
        <f>D27/$D$26</f>
        <v>1</v>
      </c>
      <c r="H27" s="73">
        <f>C27-B27</f>
        <v>9000</v>
      </c>
      <c r="I27" s="67">
        <f t="shared" si="12"/>
        <v>0.72580645161290325</v>
      </c>
      <c r="J27" s="68">
        <f>D27-C27</f>
        <v>0</v>
      </c>
      <c r="K27" s="67">
        <f>J27/C27</f>
        <v>0</v>
      </c>
    </row>
    <row r="28" spans="1:16" ht="19.899999999999999" customHeight="1">
      <c r="A28" s="62" t="s">
        <v>130</v>
      </c>
      <c r="B28" s="63">
        <v>0</v>
      </c>
      <c r="C28" s="63"/>
      <c r="D28" s="63"/>
      <c r="E28" s="64">
        <f>B28/$B$26</f>
        <v>0</v>
      </c>
      <c r="F28" s="64">
        <f>C28/$C$26</f>
        <v>0</v>
      </c>
      <c r="G28" s="64">
        <f>D28/$D$26</f>
        <v>0</v>
      </c>
      <c r="H28" s="73">
        <f t="shared" si="8"/>
        <v>0</v>
      </c>
      <c r="I28" s="67" t="e">
        <f t="shared" si="12"/>
        <v>#DIV/0!</v>
      </c>
      <c r="J28" s="68">
        <f t="shared" si="2"/>
        <v>0</v>
      </c>
      <c r="K28" s="67" t="e">
        <f t="shared" si="3"/>
        <v>#DIV/0!</v>
      </c>
    </row>
    <row r="29" spans="1:16" ht="19.899999999999999" customHeight="1">
      <c r="A29" s="47" t="s">
        <v>11</v>
      </c>
      <c r="B29" s="69">
        <f>SUM(B30:B32)</f>
        <v>81175</v>
      </c>
      <c r="C29" s="69">
        <f>SUM(C30:C32)</f>
        <v>91829</v>
      </c>
      <c r="D29" s="69">
        <f>SUM(D30:D32)</f>
        <v>94230</v>
      </c>
      <c r="E29" s="79">
        <f>B29/B17</f>
        <v>0.42198644236967414</v>
      </c>
      <c r="F29" s="80">
        <f>C29/C17</f>
        <v>0.37306417277410336</v>
      </c>
      <c r="G29" s="80">
        <f>D29/D17</f>
        <v>0.38298339307923035</v>
      </c>
      <c r="H29" s="58">
        <f>C29-B29</f>
        <v>10654</v>
      </c>
      <c r="I29" s="60">
        <f t="shared" si="12"/>
        <v>0.13124730520480443</v>
      </c>
      <c r="J29" s="61">
        <f t="shared" si="2"/>
        <v>2401</v>
      </c>
      <c r="K29" s="60">
        <f t="shared" si="3"/>
        <v>2.6146424332182644E-2</v>
      </c>
    </row>
    <row r="30" spans="1:16" ht="19.899999999999999" customHeight="1">
      <c r="A30" s="62" t="s">
        <v>60</v>
      </c>
      <c r="B30" s="63">
        <v>72000</v>
      </c>
      <c r="C30" s="63">
        <v>81000</v>
      </c>
      <c r="D30" s="63">
        <v>81000</v>
      </c>
      <c r="E30" s="64">
        <f>B30/$B$29</f>
        <v>0.88697259008315366</v>
      </c>
      <c r="F30" s="65">
        <f>C30/$C$29</f>
        <v>0.88207429025689055</v>
      </c>
      <c r="G30" s="65">
        <f>D30/$D$29</f>
        <v>0.85959885386819479</v>
      </c>
      <c r="H30" s="76">
        <f>C30-B30</f>
        <v>9000</v>
      </c>
      <c r="I30" s="67">
        <f t="shared" si="12"/>
        <v>0.125</v>
      </c>
      <c r="J30" s="68">
        <f t="shared" si="2"/>
        <v>0</v>
      </c>
      <c r="K30" s="67">
        <f t="shared" si="3"/>
        <v>0</v>
      </c>
    </row>
    <row r="31" spans="1:16" ht="19.899999999999999" customHeight="1">
      <c r="A31" s="62" t="s">
        <v>132</v>
      </c>
      <c r="B31" s="63"/>
      <c r="C31" s="63"/>
      <c r="D31" s="63"/>
      <c r="E31" s="64"/>
      <c r="F31" s="65"/>
      <c r="G31" s="65"/>
      <c r="H31" s="76">
        <f>C31-B31</f>
        <v>0</v>
      </c>
      <c r="I31" s="67" t="e">
        <f t="shared" si="12"/>
        <v>#DIV/0!</v>
      </c>
      <c r="J31" s="68">
        <f t="shared" si="2"/>
        <v>0</v>
      </c>
      <c r="K31" s="67" t="e">
        <f t="shared" si="3"/>
        <v>#DIV/0!</v>
      </c>
    </row>
    <row r="32" spans="1:16" ht="19.899999999999999" customHeight="1">
      <c r="A32" s="62" t="s">
        <v>131</v>
      </c>
      <c r="B32" s="63">
        <v>9175</v>
      </c>
      <c r="C32" s="63">
        <v>10829</v>
      </c>
      <c r="D32" s="63">
        <v>13230</v>
      </c>
      <c r="E32" s="64">
        <f>B32/$B$29</f>
        <v>0.11302740991684632</v>
      </c>
      <c r="F32" s="65">
        <f>C32/$C$29</f>
        <v>0.11792570974310948</v>
      </c>
      <c r="G32" s="65">
        <f>D32/$D$29</f>
        <v>0.14040114613180515</v>
      </c>
      <c r="H32" s="76">
        <f>C32-B32</f>
        <v>1654</v>
      </c>
      <c r="I32" s="67">
        <f t="shared" si="12"/>
        <v>0.18027247956403269</v>
      </c>
      <c r="J32" s="68">
        <f t="shared" si="2"/>
        <v>2401</v>
      </c>
      <c r="K32" s="67">
        <f t="shared" si="3"/>
        <v>0.22171945701357465</v>
      </c>
    </row>
    <row r="33" spans="1:12" ht="19.899999999999999" customHeight="1">
      <c r="A33" s="3"/>
      <c r="L33" s="44"/>
    </row>
    <row r="34" spans="1:12" ht="34.5" customHeight="1">
      <c r="A34" s="3"/>
      <c r="H34" s="43" t="s">
        <v>100</v>
      </c>
      <c r="I34" s="43"/>
      <c r="J34" s="43"/>
      <c r="K34" s="43"/>
      <c r="L34" s="44"/>
    </row>
    <row r="35" spans="1:12" ht="33" customHeight="1">
      <c r="A35" s="98" t="s">
        <v>12</v>
      </c>
      <c r="B35" s="99" t="s">
        <v>109</v>
      </c>
      <c r="C35" s="99" t="s">
        <v>110</v>
      </c>
      <c r="D35" s="99" t="s">
        <v>111</v>
      </c>
      <c r="E35" s="99" t="s">
        <v>95</v>
      </c>
      <c r="F35" s="99" t="s">
        <v>96</v>
      </c>
      <c r="H35" s="45" t="s">
        <v>99</v>
      </c>
      <c r="I35" s="43"/>
      <c r="J35" s="43"/>
      <c r="K35" s="43"/>
      <c r="L35" s="44"/>
    </row>
    <row r="36" spans="1:12" ht="19.899999999999999" customHeight="1">
      <c r="A36" s="100" t="s">
        <v>13</v>
      </c>
      <c r="B36" s="131"/>
      <c r="C36" s="132"/>
      <c r="D36" s="132"/>
      <c r="E36" s="132"/>
      <c r="F36" s="133"/>
      <c r="G36" s="9"/>
      <c r="H36" s="43"/>
      <c r="I36" s="43"/>
      <c r="J36" s="43"/>
      <c r="K36" s="43"/>
    </row>
    <row r="37" spans="1:12" ht="19.899999999999999" customHeight="1">
      <c r="A37" s="101" t="s">
        <v>14</v>
      </c>
      <c r="B37" s="102">
        <f>B6/B19</f>
        <v>1.3731285871908816</v>
      </c>
      <c r="C37" s="102">
        <f>C6/C19</f>
        <v>1.3458722981665525</v>
      </c>
      <c r="D37" s="102">
        <f>D6/D19</f>
        <v>1.3258902554979604</v>
      </c>
      <c r="E37" s="103">
        <f>C37-B37</f>
        <v>-2.7256289024329083E-2</v>
      </c>
      <c r="F37" s="103">
        <f>D37-C37</f>
        <v>-1.9982042668592159E-2</v>
      </c>
      <c r="G37" s="10"/>
      <c r="H37" s="1" t="s">
        <v>47</v>
      </c>
    </row>
    <row r="38" spans="1:12" ht="19.899999999999999" customHeight="1">
      <c r="A38" s="104" t="s">
        <v>15</v>
      </c>
      <c r="B38" s="105">
        <f>(B6-B10)/B19</f>
        <v>0.55274372652825721</v>
      </c>
      <c r="C38" s="105">
        <f>(C6-C10)/C19</f>
        <v>0.44654263122653648</v>
      </c>
      <c r="D38" s="105">
        <f>(D6-D10)/D19</f>
        <v>0.30333864981750147</v>
      </c>
      <c r="E38" s="106">
        <f>C38-B38</f>
        <v>-0.10620109530172073</v>
      </c>
      <c r="F38" s="106">
        <f>D38-C38</f>
        <v>-0.14320398140903501</v>
      </c>
      <c r="G38" s="10"/>
      <c r="H38" s="1" t="s">
        <v>48</v>
      </c>
    </row>
    <row r="39" spans="1:12" ht="19.899999999999999" customHeight="1">
      <c r="A39" s="100" t="s">
        <v>16</v>
      </c>
      <c r="B39" s="107"/>
      <c r="C39" s="107"/>
      <c r="D39" s="107"/>
      <c r="E39" s="108"/>
      <c r="F39" s="108"/>
      <c r="G39" s="9"/>
      <c r="H39" s="1"/>
    </row>
    <row r="40" spans="1:12" ht="19.5" customHeight="1">
      <c r="A40" s="101" t="s">
        <v>17</v>
      </c>
      <c r="B40" s="102">
        <f>Sheet2!B5/Sheet1!M9</f>
        <v>12.351072243171686</v>
      </c>
      <c r="C40" s="102">
        <f>Sheet2!C5/Sheet1!N9</f>
        <v>7.3845988807637983</v>
      </c>
      <c r="D40" s="102">
        <f>Sheet2!D5/Sheet1!O9</f>
        <v>2.5138809968341587</v>
      </c>
      <c r="E40" s="103">
        <f t="shared" ref="E40:F45" si="13">C40-B40</f>
        <v>-4.9664733624078874</v>
      </c>
      <c r="F40" s="103">
        <f t="shared" si="13"/>
        <v>-4.8707178839296397</v>
      </c>
      <c r="G40" s="10"/>
      <c r="H40" s="1" t="s">
        <v>49</v>
      </c>
    </row>
    <row r="41" spans="1:12" ht="19.899999999999999" customHeight="1">
      <c r="A41" s="109" t="s">
        <v>18</v>
      </c>
      <c r="B41" s="110">
        <f>360/B40</f>
        <v>29.147266966965294</v>
      </c>
      <c r="C41" s="110">
        <f>360/C40</f>
        <v>48.750108951451232</v>
      </c>
      <c r="D41" s="110">
        <f>360/D40</f>
        <v>143.20486946413291</v>
      </c>
      <c r="E41" s="111">
        <f t="shared" si="13"/>
        <v>19.602841984485938</v>
      </c>
      <c r="F41" s="111">
        <f t="shared" si="13"/>
        <v>94.454760512681673</v>
      </c>
      <c r="G41" s="10"/>
      <c r="H41" s="1" t="s">
        <v>50</v>
      </c>
    </row>
    <row r="42" spans="1:12" ht="19.899999999999999" customHeight="1">
      <c r="A42" s="109" t="s">
        <v>19</v>
      </c>
      <c r="B42" s="110">
        <f>Sheet2!B6/Sheet1!M10</f>
        <v>4.2881386745587147</v>
      </c>
      <c r="C42" s="110">
        <f>Sheet2!C6/Sheet1!N10</f>
        <v>3.6842304681852398</v>
      </c>
      <c r="D42" s="110">
        <f>Sheet2!D6/Sheet1!O10</f>
        <v>0.90683337880747039</v>
      </c>
      <c r="E42" s="111">
        <f t="shared" si="13"/>
        <v>-0.60390820637347487</v>
      </c>
      <c r="F42" s="111">
        <f t="shared" si="13"/>
        <v>-2.7773970893777693</v>
      </c>
      <c r="G42" s="10"/>
      <c r="H42" s="1" t="s">
        <v>51</v>
      </c>
    </row>
    <row r="43" spans="1:12" ht="19.899999999999999" customHeight="1">
      <c r="A43" s="109" t="s">
        <v>69</v>
      </c>
      <c r="B43" s="110">
        <f>360/B42</f>
        <v>83.95250884395594</v>
      </c>
      <c r="C43" s="110">
        <f>360/C42</f>
        <v>97.713756809933514</v>
      </c>
      <c r="D43" s="110">
        <f>360/D42</f>
        <v>396.98582828238784</v>
      </c>
      <c r="E43" s="111">
        <f t="shared" si="13"/>
        <v>13.761247965977574</v>
      </c>
      <c r="F43" s="111">
        <f t="shared" si="13"/>
        <v>299.27207147245434</v>
      </c>
      <c r="G43" s="10"/>
      <c r="H43" s="1" t="s">
        <v>52</v>
      </c>
    </row>
    <row r="44" spans="1:12" ht="19.899999999999999" customHeight="1">
      <c r="A44" s="109" t="s">
        <v>28</v>
      </c>
      <c r="B44" s="110">
        <f>Sheet2!B5/Sheet1!M6</f>
        <v>3.3029802390198899</v>
      </c>
      <c r="C44" s="110">
        <f>Sheet2!C5/Sheet1!N6</f>
        <v>2.6262184382371832</v>
      </c>
      <c r="D44" s="110">
        <f>Sheet2!D5/Sheet1!O6</f>
        <v>0.70422166888381033</v>
      </c>
      <c r="E44" s="111">
        <f t="shared" si="13"/>
        <v>-0.67676180078270676</v>
      </c>
      <c r="F44" s="111">
        <f t="shared" si="13"/>
        <v>-1.9219967693533728</v>
      </c>
      <c r="G44" s="10"/>
      <c r="H44" s="1" t="s">
        <v>53</v>
      </c>
    </row>
    <row r="45" spans="1:12" ht="19.899999999999999" customHeight="1">
      <c r="A45" s="104" t="s">
        <v>70</v>
      </c>
      <c r="B45" s="105">
        <f>(Sheet2!B5/Sheet1!M5)</f>
        <v>2.4278501375473982</v>
      </c>
      <c r="C45" s="105">
        <f>(Sheet2!C5/Sheet1!N5)</f>
        <v>1.8837705695625204</v>
      </c>
      <c r="D45" s="105">
        <f>(Sheet2!D5/Sheet1!O5)</f>
        <v>0.50335845913163613</v>
      </c>
      <c r="E45" s="106">
        <f t="shared" si="13"/>
        <v>-0.54407956798487778</v>
      </c>
      <c r="F45" s="106">
        <f t="shared" si="13"/>
        <v>-1.3804121104308842</v>
      </c>
      <c r="G45" s="10"/>
      <c r="H45" s="1" t="s">
        <v>71</v>
      </c>
    </row>
    <row r="46" spans="1:12" ht="19.899999999999999" customHeight="1">
      <c r="A46" s="100" t="s">
        <v>72</v>
      </c>
      <c r="B46" s="134"/>
      <c r="C46" s="135"/>
      <c r="D46" s="135"/>
      <c r="E46" s="135"/>
      <c r="F46" s="136"/>
      <c r="G46" s="9"/>
      <c r="H46" s="1"/>
    </row>
    <row r="47" spans="1:12" ht="19.899999999999999" customHeight="1">
      <c r="A47" s="101" t="s">
        <v>73</v>
      </c>
      <c r="B47" s="102">
        <f>B18/B17</f>
        <v>0.5780135576303258</v>
      </c>
      <c r="C47" s="102">
        <f>C18/C17</f>
        <v>0.62693582722589658</v>
      </c>
      <c r="D47" s="102">
        <f>D18/D17</f>
        <v>0.61701660692076965</v>
      </c>
      <c r="E47" s="103">
        <f t="shared" ref="E47:F49" si="14">C47-B47</f>
        <v>4.8922269595570778E-2</v>
      </c>
      <c r="F47" s="103">
        <f t="shared" si="14"/>
        <v>-9.9192203051269301E-3</v>
      </c>
      <c r="G47" s="10"/>
      <c r="H47" s="1" t="s">
        <v>57</v>
      </c>
    </row>
    <row r="48" spans="1:12" ht="19.899999999999999" customHeight="1">
      <c r="A48" s="109" t="s">
        <v>74</v>
      </c>
      <c r="B48" s="110">
        <f>B29/B17</f>
        <v>0.42198644236967414</v>
      </c>
      <c r="C48" s="110">
        <f>C29/C17</f>
        <v>0.37306417277410336</v>
      </c>
      <c r="D48" s="110">
        <f>D29/D17</f>
        <v>0.38298339307923035</v>
      </c>
      <c r="E48" s="111">
        <f t="shared" si="14"/>
        <v>-4.8922269595570778E-2</v>
      </c>
      <c r="F48" s="111">
        <f t="shared" si="14"/>
        <v>9.9192203051269856E-3</v>
      </c>
      <c r="G48" s="10"/>
      <c r="H48" s="1" t="s">
        <v>54</v>
      </c>
    </row>
    <row r="49" spans="1:8" ht="19.899999999999999" customHeight="1">
      <c r="A49" s="104" t="s">
        <v>75</v>
      </c>
      <c r="B49" s="105">
        <f>B19/B6</f>
        <v>0.72826391448580907</v>
      </c>
      <c r="C49" s="105">
        <f>C19/C6</f>
        <v>0.7430125438812244</v>
      </c>
      <c r="D49" s="105">
        <f>D19/D6</f>
        <v>0.75421023410752286</v>
      </c>
      <c r="E49" s="106">
        <f t="shared" si="14"/>
        <v>1.4748629395415325E-2</v>
      </c>
      <c r="F49" s="106">
        <f t="shared" si="14"/>
        <v>1.1197690226298462E-2</v>
      </c>
      <c r="G49" s="10"/>
      <c r="H49" s="1" t="s">
        <v>97</v>
      </c>
    </row>
    <row r="50" spans="1:8" ht="19.899999999999999" customHeight="1">
      <c r="A50" s="100" t="s">
        <v>20</v>
      </c>
      <c r="B50" s="134"/>
      <c r="C50" s="135"/>
      <c r="D50" s="135"/>
      <c r="E50" s="135"/>
      <c r="F50" s="136"/>
      <c r="G50" s="9"/>
      <c r="H50" s="1"/>
    </row>
    <row r="51" spans="1:8" ht="19.899999999999999" customHeight="1">
      <c r="A51" s="101" t="s">
        <v>77</v>
      </c>
      <c r="B51" s="112">
        <f>Sheet2!B19/Sheet1!B29</f>
        <v>0.10185401909454882</v>
      </c>
      <c r="C51" s="112">
        <f>Sheet2!C19/Sheet1!C29</f>
        <v>0.12515654096200546</v>
      </c>
      <c r="D51" s="112">
        <f>Sheet2!D19/Sheet1!D29</f>
        <v>2.0821394460362942E-2</v>
      </c>
      <c r="E51" s="113">
        <f t="shared" ref="E51:F53" si="15">C51-B51</f>
        <v>2.3302521867456641E-2</v>
      </c>
      <c r="F51" s="113">
        <f t="shared" si="15"/>
        <v>-0.10433514650164252</v>
      </c>
      <c r="G51" s="11"/>
      <c r="H51" s="1" t="s">
        <v>55</v>
      </c>
    </row>
    <row r="52" spans="1:8" ht="19.899999999999999" customHeight="1">
      <c r="A52" s="109" t="s">
        <v>21</v>
      </c>
      <c r="B52" s="114">
        <f>Sheet2!B19/Sheet2!B4</f>
        <v>2.1718116292264694E-2</v>
      </c>
      <c r="C52" s="114">
        <f>Sheet2!C19/Sheet2!C4</f>
        <v>2.333978445273455E-2</v>
      </c>
      <c r="D52" s="114">
        <f>Sheet2!D19/Sheet2!D4</f>
        <v>3.6414456650649503E-3</v>
      </c>
      <c r="E52" s="115">
        <f t="shared" si="15"/>
        <v>1.6216681604698559E-3</v>
      </c>
      <c r="F52" s="113">
        <f t="shared" si="15"/>
        <v>-1.9698338787669599E-2</v>
      </c>
      <c r="G52" s="11"/>
      <c r="H52" s="1" t="s">
        <v>56</v>
      </c>
    </row>
    <row r="53" spans="1:8" ht="19.899999999999999" customHeight="1">
      <c r="A53" s="109" t="s">
        <v>76</v>
      </c>
      <c r="B53" s="114">
        <f>Sheet2!B19/Sheet1!B5</f>
        <v>4.2981015158761515E-2</v>
      </c>
      <c r="C53" s="114">
        <f>Sheet2!C19/Sheet1!C5</f>
        <v>4.6691421421258754E-2</v>
      </c>
      <c r="D53" s="114">
        <f>Sheet2!D19/Sheet1!D5</f>
        <v>7.9742482990708911E-3</v>
      </c>
      <c r="E53" s="115">
        <f t="shared" si="15"/>
        <v>3.7104062624972386E-3</v>
      </c>
      <c r="F53" s="113">
        <f t="shared" si="15"/>
        <v>-3.8717173122187865E-2</v>
      </c>
      <c r="G53" s="11"/>
      <c r="H53" s="1" t="s">
        <v>58</v>
      </c>
    </row>
    <row r="54" spans="1:8" ht="19.899999999999999" customHeight="1">
      <c r="A54" s="109" t="s">
        <v>78</v>
      </c>
      <c r="B54" s="116"/>
      <c r="C54" s="109"/>
      <c r="D54" s="109"/>
      <c r="E54" s="117">
        <f>Sheet2!C4/Sheet2!B4-100%</f>
        <v>0.29347563410175037</v>
      </c>
      <c r="F54" s="117">
        <f>Sheet2!D4/Sheet2!C4-100%</f>
        <v>9.4179573982425602E-2</v>
      </c>
      <c r="G54" s="12"/>
    </row>
    <row r="55" spans="1:8">
      <c r="A55" s="118" t="s">
        <v>79</v>
      </c>
      <c r="B55" s="118"/>
      <c r="C55" s="118"/>
      <c r="D55" s="118"/>
      <c r="E55" s="119">
        <f>Sheet2!C19/Sheet2!B19-100%</f>
        <v>0.39005805515239467</v>
      </c>
      <c r="F55" s="119">
        <f>Sheet2!D19/Sheet2!C19-100%</f>
        <v>-0.82928739232576354</v>
      </c>
      <c r="G55" s="12"/>
    </row>
    <row r="56" spans="1:8" ht="19.899999999999999" customHeight="1"/>
    <row r="57" spans="1:8">
      <c r="A57" s="13" t="s">
        <v>85</v>
      </c>
      <c r="B57" s="14"/>
      <c r="C57" s="14" t="e">
        <f>N13/((#REF!+#REF!)/2)</f>
        <v>#REF!</v>
      </c>
      <c r="D57" s="14" t="e">
        <f>O13/((#REF!+#REF!)/2)</f>
        <v>#REF!</v>
      </c>
      <c r="E57" s="15"/>
      <c r="F57" s="15"/>
      <c r="G57" s="10"/>
    </row>
  </sheetData>
  <mergeCells count="8">
    <mergeCell ref="A2:A3"/>
    <mergeCell ref="B36:F36"/>
    <mergeCell ref="B46:F46"/>
    <mergeCell ref="B50:F50"/>
    <mergeCell ref="A1:I1"/>
    <mergeCell ref="E2:G2"/>
    <mergeCell ref="H2:K2"/>
    <mergeCell ref="B2:D2"/>
  </mergeCells>
  <phoneticPr fontId="0" type="noConversion"/>
  <pageMargins left="0" right="0" top="0.19685039370078741" bottom="0.19685039370078741" header="0.19685039370078741" footer="0.31496062992125984"/>
  <pageSetup paperSize="9" scale="70" orientation="portrait" horizontalDpi="4294967293" verticalDpi="300" r:id="rId1"/>
  <headerFooter alignWithMargins="0"/>
  <ignoredErrors>
    <ignoredError sqref="B4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topLeftCell="A7" zoomScale="130" zoomScaleNormal="130" workbookViewId="0">
      <selection activeCell="D19" sqref="D19"/>
    </sheetView>
  </sheetViews>
  <sheetFormatPr defaultRowHeight="14.25"/>
  <cols>
    <col min="1" max="1" width="31" style="20" customWidth="1"/>
    <col min="2" max="2" width="9.140625" style="23"/>
    <col min="3" max="3" width="9.85546875" style="23" customWidth="1"/>
    <col min="4" max="4" width="9.5703125" style="23" customWidth="1"/>
    <col min="5" max="5" width="8.5703125" style="23" customWidth="1"/>
    <col min="6" max="6" width="8.7109375" style="23" customWidth="1"/>
    <col min="7" max="7" width="8.85546875" style="20" customWidth="1"/>
    <col min="8" max="8" width="8.28515625" style="26" customWidth="1"/>
    <col min="9" max="9" width="5.42578125" style="23" customWidth="1"/>
    <col min="10" max="10" width="11.7109375" style="23" customWidth="1"/>
    <col min="11" max="16384" width="9.140625" style="20"/>
  </cols>
  <sheetData>
    <row r="1" spans="1:12" ht="31.5" customHeight="1">
      <c r="A1" s="143" t="s">
        <v>46</v>
      </c>
      <c r="B1" s="143"/>
      <c r="C1" s="143"/>
      <c r="D1" s="143"/>
      <c r="E1" s="143"/>
      <c r="F1" s="25"/>
    </row>
    <row r="2" spans="1:12" ht="31.5" customHeight="1">
      <c r="A2" s="25"/>
      <c r="B2" s="25"/>
      <c r="C2" s="25"/>
      <c r="D2" s="25"/>
      <c r="E2" s="25"/>
      <c r="F2" s="25"/>
    </row>
    <row r="3" spans="1:12" ht="55.5" customHeight="1">
      <c r="A3" s="27" t="s">
        <v>30</v>
      </c>
      <c r="B3" s="28" t="s">
        <v>103</v>
      </c>
      <c r="C3" s="28" t="s">
        <v>104</v>
      </c>
      <c r="D3" s="46" t="s">
        <v>105</v>
      </c>
      <c r="E3" s="29" t="s">
        <v>91</v>
      </c>
      <c r="F3" s="29" t="s">
        <v>92</v>
      </c>
      <c r="G3" s="29" t="s">
        <v>93</v>
      </c>
      <c r="H3" s="29" t="s">
        <v>94</v>
      </c>
      <c r="J3" s="23" t="s">
        <v>125</v>
      </c>
    </row>
    <row r="4" spans="1:12" ht="19.899999999999999" customHeight="1">
      <c r="A4" s="35" t="s">
        <v>31</v>
      </c>
      <c r="B4" s="33">
        <v>380696</v>
      </c>
      <c r="C4" s="33">
        <v>492421</v>
      </c>
      <c r="D4" s="33">
        <v>538797</v>
      </c>
      <c r="E4" s="33">
        <f>C4-B4</f>
        <v>111725</v>
      </c>
      <c r="F4" s="33">
        <f>D4-C4</f>
        <v>46376</v>
      </c>
      <c r="G4" s="34">
        <f>E4/B4</f>
        <v>0.29347563410175048</v>
      </c>
      <c r="H4" s="34">
        <f>F4/C4</f>
        <v>9.4179573982425602E-2</v>
      </c>
    </row>
    <row r="5" spans="1:12" ht="19.899999999999999" customHeight="1">
      <c r="A5" s="24" t="s">
        <v>32</v>
      </c>
      <c r="B5" s="30">
        <v>538797</v>
      </c>
      <c r="C5" s="21">
        <v>413028</v>
      </c>
      <c r="D5" s="30">
        <v>123874</v>
      </c>
      <c r="E5" s="21">
        <f t="shared" ref="E5:E19" si="0">C5-B5</f>
        <v>-125769</v>
      </c>
      <c r="F5" s="21">
        <f t="shared" ref="F5:F19" si="1">D5-C5</f>
        <v>-289154</v>
      </c>
      <c r="G5" s="22">
        <f t="shared" ref="G5:G19" si="2">E5/B5</f>
        <v>-0.23342557586623533</v>
      </c>
      <c r="H5" s="22">
        <f t="shared" ref="H5:H19" si="3">F5/C5</f>
        <v>-0.70008328733160952</v>
      </c>
      <c r="J5" s="23">
        <f>B5</f>
        <v>538797</v>
      </c>
      <c r="K5" s="23">
        <f>C5</f>
        <v>413028</v>
      </c>
      <c r="L5" s="23">
        <f>D5</f>
        <v>123874</v>
      </c>
    </row>
    <row r="6" spans="1:12" ht="19.899999999999999" customHeight="1">
      <c r="A6" s="24" t="s">
        <v>33</v>
      </c>
      <c r="B6" s="31">
        <v>507126</v>
      </c>
      <c r="C6" s="31">
        <v>369497</v>
      </c>
      <c r="D6" s="31">
        <v>114665</v>
      </c>
      <c r="E6" s="21">
        <f t="shared" si="0"/>
        <v>-137629</v>
      </c>
      <c r="F6" s="21">
        <f t="shared" si="1"/>
        <v>-254832</v>
      </c>
      <c r="G6" s="22">
        <f t="shared" si="2"/>
        <v>-0.2713901476161743</v>
      </c>
      <c r="H6" s="22">
        <f t="shared" si="3"/>
        <v>-0.68967271723451073</v>
      </c>
      <c r="J6" s="97">
        <f>B6/B5*100</f>
        <v>94.121904910383691</v>
      </c>
      <c r="K6" s="97">
        <f>C6/C5*100</f>
        <v>89.460520836359763</v>
      </c>
      <c r="L6" s="97">
        <f>D6/D5*100</f>
        <v>92.565833023879108</v>
      </c>
    </row>
    <row r="7" spans="1:12" ht="19.899999999999999" customHeight="1">
      <c r="A7" s="32" t="s">
        <v>34</v>
      </c>
      <c r="B7" s="33">
        <f>B5-B6</f>
        <v>31671</v>
      </c>
      <c r="C7" s="33">
        <f>C5-C6</f>
        <v>43531</v>
      </c>
      <c r="D7" s="33">
        <f>D5-D6</f>
        <v>9209</v>
      </c>
      <c r="E7" s="33">
        <f t="shared" si="0"/>
        <v>11860</v>
      </c>
      <c r="F7" s="33">
        <f t="shared" si="1"/>
        <v>-34322</v>
      </c>
      <c r="G7" s="34">
        <f t="shared" si="2"/>
        <v>0.37447507183227557</v>
      </c>
      <c r="H7" s="34">
        <f t="shared" si="3"/>
        <v>-0.78844961062231511</v>
      </c>
      <c r="J7" s="97">
        <f>B7/B5*100</f>
        <v>5.8780950896163118</v>
      </c>
      <c r="K7" s="97">
        <f>C7/C5*100</f>
        <v>10.539479163640237</v>
      </c>
      <c r="L7" s="97">
        <f>D7/D5*100</f>
        <v>7.4341669761208973</v>
      </c>
    </row>
    <row r="8" spans="1:12" ht="19.899999999999999" customHeight="1">
      <c r="A8" s="24" t="s">
        <v>35</v>
      </c>
      <c r="B8" s="31">
        <v>10216</v>
      </c>
      <c r="C8" s="31">
        <v>16514</v>
      </c>
      <c r="D8" s="31">
        <v>4225</v>
      </c>
      <c r="E8" s="21">
        <f t="shared" si="0"/>
        <v>6298</v>
      </c>
      <c r="F8" s="21">
        <f t="shared" si="1"/>
        <v>-12289</v>
      </c>
      <c r="G8" s="34">
        <f t="shared" si="2"/>
        <v>0.6164839467501958</v>
      </c>
      <c r="H8" s="34">
        <f t="shared" si="3"/>
        <v>-0.7441564732953857</v>
      </c>
      <c r="J8" s="97">
        <f>B8/B5*100</f>
        <v>1.8960758875791812</v>
      </c>
      <c r="K8" s="97">
        <f>C8/C5*100</f>
        <v>3.9982761459271527</v>
      </c>
      <c r="L8" s="97">
        <f>D8/D5*100</f>
        <v>3.4107237999903126</v>
      </c>
    </row>
    <row r="9" spans="1:12" ht="19.899999999999999" customHeight="1">
      <c r="A9" s="24" t="s">
        <v>36</v>
      </c>
      <c r="B9" s="31">
        <v>6467</v>
      </c>
      <c r="C9" s="31">
        <v>7241</v>
      </c>
      <c r="D9" s="31">
        <v>1823</v>
      </c>
      <c r="E9" s="21">
        <f t="shared" si="0"/>
        <v>774</v>
      </c>
      <c r="F9" s="21">
        <f t="shared" si="1"/>
        <v>-5418</v>
      </c>
      <c r="G9" s="22">
        <f t="shared" si="2"/>
        <v>0.11968455234266275</v>
      </c>
      <c r="H9" s="22">
        <f t="shared" si="3"/>
        <v>-0.74823919348156331</v>
      </c>
      <c r="J9" s="97">
        <f>B9/B5*100</f>
        <v>1.2002665196725297</v>
      </c>
      <c r="K9" s="97">
        <f>C9/C5*100</f>
        <v>1.7531499075123236</v>
      </c>
      <c r="L9" s="97">
        <f>D9/D5*100</f>
        <v>1.471656683404104</v>
      </c>
    </row>
    <row r="10" spans="1:12" ht="19.899999999999999" customHeight="1">
      <c r="A10" s="39" t="s">
        <v>37</v>
      </c>
      <c r="B10" s="40">
        <f>B7-B9-B8</f>
        <v>14988</v>
      </c>
      <c r="C10" s="40">
        <f>C7-C9-C8</f>
        <v>19776</v>
      </c>
      <c r="D10" s="40">
        <f>D7-D9-D8</f>
        <v>3161</v>
      </c>
      <c r="E10" s="40">
        <f t="shared" si="0"/>
        <v>4788</v>
      </c>
      <c r="F10" s="40">
        <f t="shared" si="1"/>
        <v>-16615</v>
      </c>
      <c r="G10" s="41">
        <f t="shared" si="2"/>
        <v>0.31945556445156126</v>
      </c>
      <c r="H10" s="41">
        <f t="shared" si="3"/>
        <v>-0.84015978964401294</v>
      </c>
      <c r="J10" s="97">
        <f>B10/B5*100</f>
        <v>2.7817526823646013</v>
      </c>
      <c r="K10" s="97">
        <f>C10/C5*100</f>
        <v>4.7880531102007611</v>
      </c>
      <c r="L10" s="97">
        <f>D10/D5*100</f>
        <v>2.5517864927264799</v>
      </c>
    </row>
    <row r="11" spans="1:12" ht="19.899999999999999" customHeight="1">
      <c r="A11" s="24" t="s">
        <v>38</v>
      </c>
      <c r="B11" s="31">
        <v>34</v>
      </c>
      <c r="C11" s="31">
        <v>46</v>
      </c>
      <c r="D11" s="31"/>
      <c r="E11" s="21">
        <f t="shared" si="0"/>
        <v>12</v>
      </c>
      <c r="F11" s="21">
        <f t="shared" si="1"/>
        <v>-46</v>
      </c>
      <c r="G11" s="22">
        <f t="shared" si="2"/>
        <v>0.35294117647058826</v>
      </c>
      <c r="H11" s="22">
        <f t="shared" si="3"/>
        <v>-1</v>
      </c>
      <c r="J11" s="97">
        <f>B11/B5*100</f>
        <v>6.3103543635172439E-3</v>
      </c>
      <c r="K11" s="97">
        <f>C11/C5*100</f>
        <v>1.113725945940711E-2</v>
      </c>
      <c r="L11" s="97">
        <f>D11/D5*100</f>
        <v>0</v>
      </c>
    </row>
    <row r="12" spans="1:12" ht="19.899999999999999" customHeight="1">
      <c r="A12" s="24" t="s">
        <v>39</v>
      </c>
      <c r="B12" s="31">
        <v>6102</v>
      </c>
      <c r="C12" s="31">
        <v>5722</v>
      </c>
      <c r="D12" s="31">
        <v>1958</v>
      </c>
      <c r="E12" s="21">
        <f t="shared" si="0"/>
        <v>-380</v>
      </c>
      <c r="F12" s="21">
        <f t="shared" si="1"/>
        <v>-3764</v>
      </c>
      <c r="G12" s="22">
        <f t="shared" si="2"/>
        <v>-6.2274664044575552E-2</v>
      </c>
      <c r="H12" s="22">
        <f t="shared" si="3"/>
        <v>-0.65781195386228586</v>
      </c>
      <c r="J12" s="97">
        <f>B12/B5*100</f>
        <v>1.1325230095935948</v>
      </c>
      <c r="K12" s="97">
        <f>C12/C5*100</f>
        <v>1.3853782310158149</v>
      </c>
      <c r="L12" s="97">
        <f>D12/D5*100</f>
        <v>1.5806383906227295</v>
      </c>
    </row>
    <row r="13" spans="1:12" ht="19.899999999999999" customHeight="1">
      <c r="A13" s="42" t="s">
        <v>98</v>
      </c>
      <c r="B13" s="40">
        <f>B11-B12</f>
        <v>-6068</v>
      </c>
      <c r="C13" s="40">
        <f>C11-C12</f>
        <v>-5676</v>
      </c>
      <c r="D13" s="40">
        <f>D11-D12</f>
        <v>-1958</v>
      </c>
      <c r="E13" s="40">
        <f t="shared" si="0"/>
        <v>392</v>
      </c>
      <c r="F13" s="40">
        <f t="shared" si="1"/>
        <v>3718</v>
      </c>
      <c r="G13" s="41">
        <f t="shared" si="2"/>
        <v>-6.460118655240607E-2</v>
      </c>
      <c r="H13" s="41">
        <f t="shared" si="3"/>
        <v>-0.65503875968992253</v>
      </c>
      <c r="J13" s="97"/>
      <c r="K13" s="97"/>
      <c r="L13" s="97"/>
    </row>
    <row r="14" spans="1:12" ht="19.899999999999999" customHeight="1">
      <c r="A14" s="24" t="s">
        <v>40</v>
      </c>
      <c r="B14" s="31">
        <v>1683</v>
      </c>
      <c r="C14" s="31">
        <v>544</v>
      </c>
      <c r="D14" s="31">
        <v>1249</v>
      </c>
      <c r="E14" s="21">
        <f t="shared" si="0"/>
        <v>-1139</v>
      </c>
      <c r="F14" s="21">
        <f t="shared" si="1"/>
        <v>705</v>
      </c>
      <c r="G14" s="22">
        <f t="shared" si="2"/>
        <v>-0.6767676767676768</v>
      </c>
      <c r="H14" s="22">
        <f t="shared" si="3"/>
        <v>1.2959558823529411</v>
      </c>
      <c r="J14" s="97">
        <f>B14/B5*100</f>
        <v>0.31236254099410354</v>
      </c>
      <c r="K14" s="97">
        <f>C14/C5*100</f>
        <v>0.13171019882429277</v>
      </c>
      <c r="L14" s="97">
        <f>D14/D5*100</f>
        <v>1.0082826097486155</v>
      </c>
    </row>
    <row r="15" spans="1:12" ht="19.899999999999999" customHeight="1">
      <c r="A15" s="24" t="s">
        <v>41</v>
      </c>
      <c r="B15" s="31">
        <v>3</v>
      </c>
      <c r="C15" s="31">
        <v>278</v>
      </c>
      <c r="D15" s="31"/>
      <c r="E15" s="21">
        <f t="shared" si="0"/>
        <v>275</v>
      </c>
      <c r="F15" s="21">
        <f t="shared" si="1"/>
        <v>-278</v>
      </c>
      <c r="G15" s="22">
        <f t="shared" si="2"/>
        <v>91.666666666666671</v>
      </c>
      <c r="H15" s="22">
        <f t="shared" si="3"/>
        <v>-1</v>
      </c>
      <c r="J15" s="97">
        <f>B15/B5*100</f>
        <v>5.5679597325152149E-4</v>
      </c>
      <c r="K15" s="97">
        <f>C15/C5*100</f>
        <v>6.7307785428590797E-2</v>
      </c>
      <c r="L15" s="97">
        <f>D15/D5*100</f>
        <v>0</v>
      </c>
    </row>
    <row r="16" spans="1:12" ht="19.899999999999999" customHeight="1">
      <c r="A16" s="39" t="s">
        <v>42</v>
      </c>
      <c r="B16" s="40">
        <f>B14-B15</f>
        <v>1680</v>
      </c>
      <c r="C16" s="40">
        <f>C14-C15</f>
        <v>266</v>
      </c>
      <c r="D16" s="40">
        <f>D14-D15</f>
        <v>1249</v>
      </c>
      <c r="E16" s="40">
        <f t="shared" si="0"/>
        <v>-1414</v>
      </c>
      <c r="F16" s="40">
        <f t="shared" si="1"/>
        <v>983</v>
      </c>
      <c r="G16" s="41">
        <f t="shared" si="2"/>
        <v>-0.84166666666666667</v>
      </c>
      <c r="H16" s="41">
        <f t="shared" si="3"/>
        <v>3.6954887218045114</v>
      </c>
      <c r="J16" s="97"/>
      <c r="K16" s="97"/>
      <c r="L16" s="97"/>
    </row>
    <row r="17" spans="1:12" ht="19.899999999999999" customHeight="1">
      <c r="A17" s="32" t="s">
        <v>45</v>
      </c>
      <c r="B17" s="33">
        <f>B16+B13+B10</f>
        <v>10600</v>
      </c>
      <c r="C17" s="33">
        <f>C16+C13+C10</f>
        <v>14366</v>
      </c>
      <c r="D17" s="33">
        <f>D16+D13+D10</f>
        <v>2452</v>
      </c>
      <c r="E17" s="33">
        <f t="shared" si="0"/>
        <v>3766</v>
      </c>
      <c r="F17" s="33">
        <f t="shared" si="1"/>
        <v>-11914</v>
      </c>
      <c r="G17" s="34">
        <f t="shared" si="2"/>
        <v>0.35528301886792452</v>
      </c>
      <c r="H17" s="34">
        <f t="shared" si="3"/>
        <v>-0.82931922595016005</v>
      </c>
      <c r="J17" s="97">
        <f>B17/B5*100</f>
        <v>1.9673457721553755</v>
      </c>
      <c r="K17" s="97">
        <f>C17/C5*100</f>
        <v>3.4782145520400558</v>
      </c>
      <c r="L17" s="97">
        <f>D17/D5*100</f>
        <v>1.979430711852366</v>
      </c>
    </row>
    <row r="18" spans="1:12" ht="19.899999999999999" customHeight="1">
      <c r="A18" s="24" t="s">
        <v>43</v>
      </c>
      <c r="B18" s="31">
        <v>2332</v>
      </c>
      <c r="C18" s="31">
        <v>2873</v>
      </c>
      <c r="D18" s="31">
        <v>490</v>
      </c>
      <c r="E18" s="21">
        <f t="shared" si="0"/>
        <v>541</v>
      </c>
      <c r="F18" s="21">
        <f t="shared" si="1"/>
        <v>-2383</v>
      </c>
      <c r="G18" s="22">
        <f t="shared" si="2"/>
        <v>0.23198970840480274</v>
      </c>
      <c r="H18" s="22">
        <f t="shared" si="3"/>
        <v>-0.82944657152801948</v>
      </c>
      <c r="J18" s="97">
        <f>B18/B5*100</f>
        <v>0.4328160698741827</v>
      </c>
      <c r="K18" s="97">
        <f>C18/C5*100</f>
        <v>0.69559448754079622</v>
      </c>
      <c r="L18" s="97">
        <f>D18/D5*100</f>
        <v>0.39556323360834394</v>
      </c>
    </row>
    <row r="19" spans="1:12" ht="19.899999999999999" customHeight="1">
      <c r="A19" s="36" t="s">
        <v>44</v>
      </c>
      <c r="B19" s="37">
        <f>B17-B18</f>
        <v>8268</v>
      </c>
      <c r="C19" s="37">
        <f>C17-C18</f>
        <v>11493</v>
      </c>
      <c r="D19" s="37">
        <f>D17-D18</f>
        <v>1962</v>
      </c>
      <c r="E19" s="37">
        <f t="shared" si="0"/>
        <v>3225</v>
      </c>
      <c r="F19" s="37">
        <f t="shared" si="1"/>
        <v>-9531</v>
      </c>
      <c r="G19" s="38">
        <f t="shared" si="2"/>
        <v>0.39005805515239478</v>
      </c>
      <c r="H19" s="38">
        <f t="shared" si="3"/>
        <v>-0.82928739232576354</v>
      </c>
      <c r="J19" s="97">
        <f>B19/B5*100</f>
        <v>1.534529702281193</v>
      </c>
      <c r="K19" s="97">
        <f>C19/C5*100</f>
        <v>2.7826200644992594</v>
      </c>
      <c r="L19" s="97">
        <f>D19/D5*100</f>
        <v>1.5838674782440221</v>
      </c>
    </row>
  </sheetData>
  <mergeCells count="1">
    <mergeCell ref="A1:E1"/>
  </mergeCells>
  <phoneticPr fontId="0" type="noConversion"/>
  <pageMargins left="0.75" right="0.75" top="1" bottom="1" header="0.5" footer="0.5"/>
  <pageSetup paperSize="9" orientation="landscape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8:G18"/>
  <sheetViews>
    <sheetView workbookViewId="0">
      <selection activeCell="D10" sqref="D10"/>
    </sheetView>
  </sheetViews>
  <sheetFormatPr defaultRowHeight="18"/>
  <cols>
    <col min="1" max="1" width="9.140625" style="91"/>
    <col min="2" max="2" width="6.28515625" style="91" customWidth="1"/>
    <col min="3" max="3" width="4.42578125" style="91" customWidth="1"/>
    <col min="4" max="4" width="13.140625" style="90" bestFit="1" customWidth="1"/>
    <col min="5" max="5" width="14.5703125" style="90" customWidth="1"/>
    <col min="6" max="6" width="16.28515625" style="91" customWidth="1"/>
    <col min="7" max="7" width="13.42578125" style="91" customWidth="1"/>
    <col min="8" max="16384" width="9.140625" style="91"/>
  </cols>
  <sheetData>
    <row r="8" spans="1:7">
      <c r="D8" s="94" t="s">
        <v>121</v>
      </c>
      <c r="E8" s="94" t="s">
        <v>122</v>
      </c>
      <c r="F8" s="91" t="s">
        <v>123</v>
      </c>
      <c r="G8" s="91" t="s">
        <v>124</v>
      </c>
    </row>
    <row r="10" spans="1:7">
      <c r="D10" s="90">
        <v>31439</v>
      </c>
      <c r="E10" s="90">
        <v>47768</v>
      </c>
      <c r="F10" s="95">
        <f>E10-D10</f>
        <v>16329</v>
      </c>
      <c r="G10" s="91">
        <f>E10/D10*100</f>
        <v>151.93867489423965</v>
      </c>
    </row>
    <row r="11" spans="1:7">
      <c r="D11" s="90">
        <v>36145</v>
      </c>
      <c r="E11" s="90">
        <v>49589</v>
      </c>
      <c r="F11" s="95">
        <f>E11-D11</f>
        <v>13444</v>
      </c>
      <c r="G11" s="91">
        <f t="shared" ref="G11:G18" si="0">E11/D11*100</f>
        <v>137.19463272928482</v>
      </c>
    </row>
    <row r="12" spans="1:7">
      <c r="D12" s="90">
        <v>17307</v>
      </c>
      <c r="E12" s="90">
        <v>15732</v>
      </c>
      <c r="F12" s="95">
        <f>E12-D12</f>
        <v>-1575</v>
      </c>
      <c r="G12" s="91">
        <f t="shared" si="0"/>
        <v>90.899635985439417</v>
      </c>
    </row>
    <row r="13" spans="1:7">
      <c r="D13" s="90">
        <v>406</v>
      </c>
      <c r="E13" s="90">
        <v>556</v>
      </c>
      <c r="F13" s="95">
        <f>E13-D13</f>
        <v>150</v>
      </c>
      <c r="G13" s="91">
        <f t="shared" si="0"/>
        <v>136.94581280788179</v>
      </c>
    </row>
    <row r="14" spans="1:7">
      <c r="D14" s="90">
        <v>24510</v>
      </c>
      <c r="E14" s="90">
        <v>27067</v>
      </c>
      <c r="F14" s="95">
        <f>E14-D14</f>
        <v>2557</v>
      </c>
      <c r="G14" s="91">
        <f t="shared" si="0"/>
        <v>110.43247654018768</v>
      </c>
    </row>
    <row r="15" spans="1:7">
      <c r="A15" s="90" t="s">
        <v>118</v>
      </c>
      <c r="D15" s="90">
        <f>SUM(D10:D14)</f>
        <v>109807</v>
      </c>
      <c r="E15" s="90">
        <f>SUM(E10:E14)</f>
        <v>140712</v>
      </c>
      <c r="F15" s="90">
        <f>SUM(F10:F14)</f>
        <v>30905</v>
      </c>
      <c r="G15" s="91">
        <f t="shared" si="0"/>
        <v>128.144835939421</v>
      </c>
    </row>
    <row r="16" spans="1:7">
      <c r="A16" s="91" t="s">
        <v>119</v>
      </c>
      <c r="D16" s="90">
        <v>9432</v>
      </c>
      <c r="E16" s="90">
        <v>9230</v>
      </c>
      <c r="F16" s="95">
        <f>E16-D16</f>
        <v>-202</v>
      </c>
      <c r="G16" s="91">
        <f t="shared" si="0"/>
        <v>97.85835453774385</v>
      </c>
    </row>
    <row r="17" spans="1:7">
      <c r="A17" s="91" t="s">
        <v>120</v>
      </c>
      <c r="D17" s="90">
        <v>3712</v>
      </c>
      <c r="E17" s="90">
        <v>653</v>
      </c>
      <c r="F17" s="95">
        <f>E17-D17</f>
        <v>-3059</v>
      </c>
      <c r="G17" s="91">
        <f t="shared" si="0"/>
        <v>17.591594827586206</v>
      </c>
    </row>
    <row r="18" spans="1:7" s="92" customFormat="1">
      <c r="D18" s="93">
        <f>D15+D16+D17</f>
        <v>122951</v>
      </c>
      <c r="E18" s="93">
        <f>E15+E16+E17</f>
        <v>150595</v>
      </c>
      <c r="F18" s="96">
        <f>E18-D18</f>
        <v>27644</v>
      </c>
      <c r="G18" s="91">
        <f t="shared" si="0"/>
        <v>122.48375369049458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NHNo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 Thach</cp:lastModifiedBy>
  <cp:lastPrinted>2017-06-21T10:08:51Z</cp:lastPrinted>
  <dcterms:created xsi:type="dcterms:W3CDTF">2004-09-29T00:22:07Z</dcterms:created>
  <dcterms:modified xsi:type="dcterms:W3CDTF">2019-07-14T14:51:09Z</dcterms:modified>
</cp:coreProperties>
</file>