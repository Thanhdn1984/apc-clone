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120" windowWidth="15480" windowHeight="7935" tabRatio="933"/>
  </bookViews>
  <sheets>
    <sheet name="KQKD- Bảng 4  (2)" sheetId="29" r:id="rId1"/>
    <sheet name="Thông tin giả định" sheetId="28" r:id="rId2"/>
    <sheet name="Thong so - Độ nhậy - Bảng 1" sheetId="1" r:id="rId3"/>
    <sheet name="Tổng mức đầu tư-Bảng 2" sheetId="24" r:id="rId4"/>
    <sheet name="Khấu hao- Bảng 3" sheetId="25" r:id="rId5"/>
    <sheet name="KQKD- Bảng 4 " sheetId="26" r:id="rId6"/>
    <sheet name="KH trả nợ-Bảng 5" sheetId="5" r:id="rId7"/>
    <sheet name="VLD- Bảng 6" sheetId="6" r:id="rId8"/>
    <sheet name="NPV (Tong dau tu) -Bảng 7" sheetId="7" r:id="rId9"/>
    <sheet name="NPV - CĐT" sheetId="8" state="hidden" r:id="rId10"/>
    <sheet name="CP SXC -Bảng 9" sheetId="15" state="hidden" r:id="rId11"/>
    <sheet name="Bảng 10 -CP Quản lý" sheetId="10" state="hidden" r:id="rId12"/>
    <sheet name="Bảng 11-CP Bán hàng" sheetId="11" state="hidden" r:id="rId13"/>
    <sheet name="Bảng 12-Quỹ lương" sheetId="12" state="hidden" r:id="rId14"/>
    <sheet name="Bảng 13 - CP Kính trắng" sheetId="13" state="hidden" r:id="rId15"/>
    <sheet name="Bảng 14 -CP Kính màu" sheetId="14" state="hidden" r:id="rId16"/>
    <sheet name="Bảng 15 -Giá bán" sheetId="18" state="hidden" r:id="rId17"/>
    <sheet name="Sheet1" sheetId="19" state="hidden" r:id="rId18"/>
    <sheet name="Sheet2" sheetId="20" state="hidden" r:id="rId19"/>
    <sheet name="Sheet3" sheetId="21" state="hidden" r:id="rId20"/>
    <sheet name="Sheet4" sheetId="22" state="hidden" r:id="rId21"/>
    <sheet name="Lãi vay thi công" sheetId="27" r:id="rId22"/>
  </sheets>
  <externalReferences>
    <externalReference r:id="rId23"/>
    <externalReference r:id="rId24"/>
    <externalReference r:id="rId25"/>
    <externalReference r:id="rId26"/>
  </externalReferences>
  <definedNames>
    <definedName name="_xlnm.Print_Area" localSheetId="6">'KH trả nợ-Bảng 5'!$A$2:$L$18</definedName>
    <definedName name="_xlnm.Print_Area" localSheetId="9">'NPV - CĐT'!$B$1:$O$22</definedName>
    <definedName name="_xlnm.Print_Area" localSheetId="8">'NPV (Tong dau tu) -Bảng 7'!$A$1:$N$24</definedName>
    <definedName name="_xlnm.Print_Area" localSheetId="2">'Thong so - Độ nhậy - Bảng 1'!$A$1:$O$38</definedName>
    <definedName name="_xlnm.Print_Area" localSheetId="7">'VLD- Bảng 6'!$A$2:$M$18</definedName>
    <definedName name="_xlnm.Print_Titles" localSheetId="6">'KH trả nợ-Bảng 5'!$A:$B,'KH trả nợ-Bảng 5'!$3:$4</definedName>
    <definedName name="_xlnm.Print_Titles" localSheetId="4">'Khấu hao- Bảng 3'!$A:$B</definedName>
    <definedName name="_xlnm.Print_Titles" localSheetId="5">'KQKD- Bảng 4 '!$3:$4</definedName>
    <definedName name="_xlnm.Print_Titles" localSheetId="0">'KQKD- Bảng 4  (2)'!$3:$4</definedName>
    <definedName name="_xlnm.Print_Titles" localSheetId="9">'NPV - CĐT'!$B:$C,'NPV - CĐT'!$3:$4</definedName>
    <definedName name="_xlnm.Print_Titles" localSheetId="8">'NPV (Tong dau tu) -Bảng 7'!$A:$B,'NPV (Tong dau tu) -Bảng 7'!$3:$4</definedName>
  </definedNames>
  <calcPr calcId="125725" fullCalcOnLoad="1"/>
</workbook>
</file>

<file path=xl/calcChain.xml><?xml version="1.0" encoding="utf-8"?>
<calcChain xmlns="http://schemas.openxmlformats.org/spreadsheetml/2006/main">
  <c r="F19" i="26"/>
  <c r="G51" i="29"/>
  <c r="H51"/>
  <c r="I51"/>
  <c r="S50"/>
  <c r="R50"/>
  <c r="Q50"/>
  <c r="P50"/>
  <c r="O50"/>
  <c r="N50"/>
  <c r="M50"/>
  <c r="L50"/>
  <c r="K50"/>
  <c r="J50"/>
  <c r="I50"/>
  <c r="H50"/>
  <c r="G50"/>
  <c r="G49"/>
  <c r="F50"/>
  <c r="E50"/>
  <c r="E49"/>
  <c r="F49"/>
  <c r="S42"/>
  <c r="R42"/>
  <c r="Q42"/>
  <c r="P42"/>
  <c r="O42"/>
  <c r="N42"/>
  <c r="M42"/>
  <c r="E42"/>
  <c r="L40"/>
  <c r="I40"/>
  <c r="S33"/>
  <c r="R33"/>
  <c r="Q33"/>
  <c r="P33"/>
  <c r="O33"/>
  <c r="N33"/>
  <c r="M33"/>
  <c r="L33"/>
  <c r="K33"/>
  <c r="J33"/>
  <c r="I33"/>
  <c r="H33"/>
  <c r="G33"/>
  <c r="F33"/>
  <c r="E33"/>
  <c r="E32"/>
  <c r="F32"/>
  <c r="G32"/>
  <c r="H32"/>
  <c r="I32"/>
  <c r="J32"/>
  <c r="K32"/>
  <c r="L32"/>
  <c r="M32"/>
  <c r="N32"/>
  <c r="O32"/>
  <c r="P32"/>
  <c r="Q32"/>
  <c r="R32"/>
  <c r="S32"/>
  <c r="S31"/>
  <c r="R31"/>
  <c r="Q31"/>
  <c r="P31"/>
  <c r="O31"/>
  <c r="N31"/>
  <c r="M31"/>
  <c r="L31"/>
  <c r="K31"/>
  <c r="J31"/>
  <c r="I31"/>
  <c r="H31"/>
  <c r="G31"/>
  <c r="F31"/>
  <c r="E31"/>
  <c r="E30"/>
  <c r="F30"/>
  <c r="G30"/>
  <c r="H30"/>
  <c r="I30"/>
  <c r="J30"/>
  <c r="K30"/>
  <c r="L30"/>
  <c r="M30"/>
  <c r="N30"/>
  <c r="O30"/>
  <c r="P30"/>
  <c r="Q30"/>
  <c r="R30"/>
  <c r="S30"/>
  <c r="S29"/>
  <c r="R29"/>
  <c r="Q29"/>
  <c r="P29"/>
  <c r="O29"/>
  <c r="N29"/>
  <c r="M29"/>
  <c r="L29"/>
  <c r="K29"/>
  <c r="J29"/>
  <c r="I29"/>
  <c r="H29"/>
  <c r="G29"/>
  <c r="F29"/>
  <c r="E29"/>
  <c r="E28"/>
  <c r="S24"/>
  <c r="S22"/>
  <c r="R24"/>
  <c r="Q24"/>
  <c r="Q22"/>
  <c r="P24"/>
  <c r="O24"/>
  <c r="O22"/>
  <c r="N24"/>
  <c r="N22"/>
  <c r="M24"/>
  <c r="M22"/>
  <c r="L24"/>
  <c r="L22"/>
  <c r="K24"/>
  <c r="K22"/>
  <c r="J24"/>
  <c r="I24"/>
  <c r="I22"/>
  <c r="H24"/>
  <c r="G24"/>
  <c r="G22"/>
  <c r="F24"/>
  <c r="E24"/>
  <c r="E22"/>
  <c r="R22"/>
  <c r="P22"/>
  <c r="J22"/>
  <c r="H22"/>
  <c r="F22"/>
  <c r="S21"/>
  <c r="S19"/>
  <c r="R21"/>
  <c r="R19"/>
  <c r="Q21"/>
  <c r="Q19"/>
  <c r="P21"/>
  <c r="O21"/>
  <c r="O19"/>
  <c r="N21"/>
  <c r="M21"/>
  <c r="M19"/>
  <c r="L21"/>
  <c r="K21"/>
  <c r="J21"/>
  <c r="I21"/>
  <c r="I19"/>
  <c r="H21"/>
  <c r="G21"/>
  <c r="G19"/>
  <c r="F21"/>
  <c r="E21"/>
  <c r="E19"/>
  <c r="P19"/>
  <c r="N19"/>
  <c r="L19"/>
  <c r="K19"/>
  <c r="J19"/>
  <c r="H19"/>
  <c r="F19"/>
  <c r="S18"/>
  <c r="S16"/>
  <c r="R18"/>
  <c r="R16"/>
  <c r="Q18"/>
  <c r="Q16"/>
  <c r="P18"/>
  <c r="P16"/>
  <c r="O18"/>
  <c r="O16"/>
  <c r="N18"/>
  <c r="M18"/>
  <c r="M16"/>
  <c r="L18"/>
  <c r="K18"/>
  <c r="K16"/>
  <c r="J18"/>
  <c r="J16"/>
  <c r="I18"/>
  <c r="I16"/>
  <c r="H18"/>
  <c r="H16"/>
  <c r="G18"/>
  <c r="G16"/>
  <c r="F18"/>
  <c r="E18"/>
  <c r="E16"/>
  <c r="N16"/>
  <c r="L16"/>
  <c r="F16"/>
  <c r="D13"/>
  <c r="C13"/>
  <c r="Q13"/>
  <c r="Q14" s="1"/>
  <c r="C9"/>
  <c r="J9" s="1"/>
  <c r="C13" i="26"/>
  <c r="K13" s="1"/>
  <c r="K14" s="1"/>
  <c r="C9"/>
  <c r="G9" s="1"/>
  <c r="N14" i="1"/>
  <c r="I17"/>
  <c r="I16"/>
  <c r="D7" i="6"/>
  <c r="D14" s="1"/>
  <c r="D17" i="7"/>
  <c r="E7" i="6"/>
  <c r="E14" s="1"/>
  <c r="F7"/>
  <c r="G7"/>
  <c r="H7"/>
  <c r="I7"/>
  <c r="I14" s="1"/>
  <c r="J7"/>
  <c r="K7"/>
  <c r="L7"/>
  <c r="M7"/>
  <c r="M14" s="1"/>
  <c r="N7"/>
  <c r="O7"/>
  <c r="P7"/>
  <c r="Q7"/>
  <c r="Q14" s="1"/>
  <c r="R7"/>
  <c r="E22" i="26"/>
  <c r="E30"/>
  <c r="C6" i="25"/>
  <c r="E6"/>
  <c r="N16" i="1"/>
  <c r="N18" s="1"/>
  <c r="I15"/>
  <c r="I14"/>
  <c r="C12"/>
  <c r="D12"/>
  <c r="C10"/>
  <c r="D10"/>
  <c r="C9"/>
  <c r="C8"/>
  <c r="D8"/>
  <c r="C7"/>
  <c r="D7"/>
  <c r="C10" i="27"/>
  <c r="C9"/>
  <c r="C8" s="1"/>
  <c r="C7" s="1"/>
  <c r="D11"/>
  <c r="C12" i="7"/>
  <c r="C18" s="1"/>
  <c r="C19" s="1"/>
  <c r="E11" i="27"/>
  <c r="F11"/>
  <c r="M12"/>
  <c r="G11"/>
  <c r="H11"/>
  <c r="I11"/>
  <c r="N12"/>
  <c r="J12"/>
  <c r="L12"/>
  <c r="E13"/>
  <c r="F13"/>
  <c r="I13"/>
  <c r="J14"/>
  <c r="D13"/>
  <c r="J13"/>
  <c r="D13" i="26"/>
  <c r="I16"/>
  <c r="J16"/>
  <c r="L16"/>
  <c r="Q16"/>
  <c r="E18"/>
  <c r="E16"/>
  <c r="F18"/>
  <c r="F16"/>
  <c r="G18"/>
  <c r="G16"/>
  <c r="H18"/>
  <c r="H16"/>
  <c r="I18"/>
  <c r="J18"/>
  <c r="K18"/>
  <c r="K16"/>
  <c r="L18"/>
  <c r="M18"/>
  <c r="M16"/>
  <c r="N18"/>
  <c r="N16"/>
  <c r="O18"/>
  <c r="O16"/>
  <c r="P18"/>
  <c r="P16"/>
  <c r="Q18"/>
  <c r="R18"/>
  <c r="R16"/>
  <c r="S18"/>
  <c r="S16"/>
  <c r="H19"/>
  <c r="K19"/>
  <c r="N19"/>
  <c r="P19"/>
  <c r="S19"/>
  <c r="E21"/>
  <c r="E19"/>
  <c r="F21"/>
  <c r="G21"/>
  <c r="G19"/>
  <c r="H21"/>
  <c r="I21"/>
  <c r="I19"/>
  <c r="J21"/>
  <c r="J19"/>
  <c r="K21"/>
  <c r="L21"/>
  <c r="L19"/>
  <c r="M21"/>
  <c r="M19"/>
  <c r="N21"/>
  <c r="O21"/>
  <c r="O19"/>
  <c r="P21"/>
  <c r="Q21"/>
  <c r="Q19"/>
  <c r="R21"/>
  <c r="R19"/>
  <c r="S21"/>
  <c r="H22"/>
  <c r="I22"/>
  <c r="M22"/>
  <c r="P22"/>
  <c r="E24"/>
  <c r="F24"/>
  <c r="F22"/>
  <c r="G24"/>
  <c r="G22"/>
  <c r="H24"/>
  <c r="I24"/>
  <c r="J24"/>
  <c r="J22"/>
  <c r="K24"/>
  <c r="K22"/>
  <c r="L24"/>
  <c r="L22"/>
  <c r="M24"/>
  <c r="N24"/>
  <c r="N22"/>
  <c r="O24"/>
  <c r="O22"/>
  <c r="P24"/>
  <c r="Q24"/>
  <c r="Q22"/>
  <c r="R24"/>
  <c r="R22"/>
  <c r="S24"/>
  <c r="S22"/>
  <c r="E28"/>
  <c r="F28"/>
  <c r="G28"/>
  <c r="E29"/>
  <c r="F29"/>
  <c r="G29"/>
  <c r="H29"/>
  <c r="I29"/>
  <c r="J29"/>
  <c r="K29"/>
  <c r="L29"/>
  <c r="M29"/>
  <c r="N29"/>
  <c r="O29"/>
  <c r="P29"/>
  <c r="Q29"/>
  <c r="R29"/>
  <c r="S29"/>
  <c r="F30"/>
  <c r="G30"/>
  <c r="H30"/>
  <c r="I30"/>
  <c r="J30"/>
  <c r="K30"/>
  <c r="L30"/>
  <c r="M30"/>
  <c r="N30"/>
  <c r="O30"/>
  <c r="P30"/>
  <c r="Q30"/>
  <c r="R30"/>
  <c r="S30"/>
  <c r="E31"/>
  <c r="E27"/>
  <c r="F31"/>
  <c r="G31"/>
  <c r="H31"/>
  <c r="I31"/>
  <c r="J31"/>
  <c r="K31"/>
  <c r="L31"/>
  <c r="M31"/>
  <c r="N31"/>
  <c r="O31"/>
  <c r="P31"/>
  <c r="Q31"/>
  <c r="R31"/>
  <c r="S31"/>
  <c r="E32"/>
  <c r="F32"/>
  <c r="G32"/>
  <c r="H32"/>
  <c r="I32"/>
  <c r="J32"/>
  <c r="K32"/>
  <c r="L32"/>
  <c r="M32"/>
  <c r="N32"/>
  <c r="O32"/>
  <c r="P32"/>
  <c r="Q32"/>
  <c r="R32"/>
  <c r="S32"/>
  <c r="E33"/>
  <c r="F33"/>
  <c r="G33"/>
  <c r="H33"/>
  <c r="I33"/>
  <c r="J33"/>
  <c r="K33"/>
  <c r="L33"/>
  <c r="M33"/>
  <c r="N33"/>
  <c r="O33"/>
  <c r="P33"/>
  <c r="Q33"/>
  <c r="R33"/>
  <c r="S33"/>
  <c r="E36"/>
  <c r="F36"/>
  <c r="G36"/>
  <c r="H36"/>
  <c r="I36"/>
  <c r="J36"/>
  <c r="K36"/>
  <c r="L36"/>
  <c r="M36"/>
  <c r="N36"/>
  <c r="O36"/>
  <c r="P36"/>
  <c r="Q36"/>
  <c r="R36"/>
  <c r="S36"/>
  <c r="E40"/>
  <c r="F40"/>
  <c r="G40"/>
  <c r="H40"/>
  <c r="I40"/>
  <c r="J40"/>
  <c r="K40"/>
  <c r="L40"/>
  <c r="M40"/>
  <c r="N40"/>
  <c r="O40"/>
  <c r="P40"/>
  <c r="Q40"/>
  <c r="R40"/>
  <c r="S40"/>
  <c r="E42"/>
  <c r="M42"/>
  <c r="N42"/>
  <c r="O42"/>
  <c r="P42"/>
  <c r="Q42"/>
  <c r="R42"/>
  <c r="S42"/>
  <c r="E50"/>
  <c r="E49"/>
  <c r="F50"/>
  <c r="F49"/>
  <c r="G50"/>
  <c r="G49"/>
  <c r="H50"/>
  <c r="I50"/>
  <c r="J50"/>
  <c r="K50"/>
  <c r="L50"/>
  <c r="M50"/>
  <c r="N50"/>
  <c r="O50"/>
  <c r="P50"/>
  <c r="Q50"/>
  <c r="R50"/>
  <c r="S50"/>
  <c r="G51"/>
  <c r="H51"/>
  <c r="I51"/>
  <c r="C5" i="25"/>
  <c r="C8"/>
  <c r="H42" i="24"/>
  <c r="I41"/>
  <c r="G41"/>
  <c r="C41"/>
  <c r="D41"/>
  <c r="I40"/>
  <c r="G40"/>
  <c r="D40"/>
  <c r="C40"/>
  <c r="G39"/>
  <c r="D39"/>
  <c r="C39"/>
  <c r="G38"/>
  <c r="D38"/>
  <c r="C38"/>
  <c r="G37"/>
  <c r="D37"/>
  <c r="C37"/>
  <c r="G36"/>
  <c r="D36"/>
  <c r="D30"/>
  <c r="D48"/>
  <c r="C36"/>
  <c r="C30"/>
  <c r="C48"/>
  <c r="G35"/>
  <c r="D35"/>
  <c r="C35"/>
  <c r="G34"/>
  <c r="D34"/>
  <c r="C34"/>
  <c r="G33"/>
  <c r="D33"/>
  <c r="C33"/>
  <c r="G32"/>
  <c r="D32"/>
  <c r="C32"/>
  <c r="G31"/>
  <c r="D31"/>
  <c r="C31"/>
  <c r="G30"/>
  <c r="E30"/>
  <c r="I29"/>
  <c r="G29"/>
  <c r="D29"/>
  <c r="C29"/>
  <c r="I28"/>
  <c r="G28"/>
  <c r="D28"/>
  <c r="C28"/>
  <c r="H27"/>
  <c r="I27"/>
  <c r="G27"/>
  <c r="D27"/>
  <c r="C27"/>
  <c r="C18"/>
  <c r="I26"/>
  <c r="H26"/>
  <c r="G26"/>
  <c r="D26"/>
  <c r="C26"/>
  <c r="I25"/>
  <c r="G25"/>
  <c r="D25"/>
  <c r="C25"/>
  <c r="I24"/>
  <c r="G24"/>
  <c r="D24"/>
  <c r="C24"/>
  <c r="I23"/>
  <c r="G23"/>
  <c r="D23"/>
  <c r="C23"/>
  <c r="I22"/>
  <c r="G22"/>
  <c r="D22"/>
  <c r="C22"/>
  <c r="I21"/>
  <c r="G21"/>
  <c r="D21"/>
  <c r="C21"/>
  <c r="I20"/>
  <c r="G20"/>
  <c r="D20"/>
  <c r="C20"/>
  <c r="I19"/>
  <c r="G19"/>
  <c r="G18"/>
  <c r="D19"/>
  <c r="C19"/>
  <c r="E18"/>
  <c r="I18"/>
  <c r="H17"/>
  <c r="I17"/>
  <c r="G17"/>
  <c r="D17"/>
  <c r="C17"/>
  <c r="H16"/>
  <c r="I16"/>
  <c r="G16"/>
  <c r="D16"/>
  <c r="C16"/>
  <c r="I15"/>
  <c r="G15"/>
  <c r="D15"/>
  <c r="C15"/>
  <c r="I14"/>
  <c r="G14"/>
  <c r="D14"/>
  <c r="C14"/>
  <c r="I13"/>
  <c r="G13"/>
  <c r="D13"/>
  <c r="C13"/>
  <c r="I12"/>
  <c r="G12"/>
  <c r="D12"/>
  <c r="C12"/>
  <c r="I11"/>
  <c r="G11"/>
  <c r="D11"/>
  <c r="C11"/>
  <c r="I10"/>
  <c r="G10"/>
  <c r="G9"/>
  <c r="D10"/>
  <c r="C10"/>
  <c r="C9"/>
  <c r="H9"/>
  <c r="E9"/>
  <c r="H8"/>
  <c r="E8"/>
  <c r="I8" i="1"/>
  <c r="E13"/>
  <c r="D11"/>
  <c r="E11"/>
  <c r="F5" i="21"/>
  <c r="F6"/>
  <c r="F7"/>
  <c r="F8"/>
  <c r="F9"/>
  <c r="L9"/>
  <c r="E10"/>
  <c r="F10"/>
  <c r="F12"/>
  <c r="F13"/>
  <c r="F16"/>
  <c r="F17"/>
  <c r="F18"/>
  <c r="F19"/>
  <c r="D20"/>
  <c r="F20"/>
  <c r="F21"/>
  <c r="F22"/>
  <c r="F23"/>
  <c r="L7"/>
  <c r="F24"/>
  <c r="F25"/>
  <c r="G11" i="20"/>
  <c r="G12"/>
  <c r="G5" i="18"/>
  <c r="I5"/>
  <c r="L5"/>
  <c r="M5"/>
  <c r="F6"/>
  <c r="G6"/>
  <c r="L6"/>
  <c r="M6"/>
  <c r="F7"/>
  <c r="G7"/>
  <c r="L7"/>
  <c r="M7"/>
  <c r="F8"/>
  <c r="G8"/>
  <c r="L8"/>
  <c r="M8"/>
  <c r="G9"/>
  <c r="L9"/>
  <c r="M9"/>
  <c r="G10"/>
  <c r="L10"/>
  <c r="M10"/>
  <c r="G11"/>
  <c r="L11"/>
  <c r="M11"/>
  <c r="G12"/>
  <c r="L12"/>
  <c r="M12"/>
  <c r="F13"/>
  <c r="G13"/>
  <c r="L13"/>
  <c r="M13"/>
  <c r="G14"/>
  <c r="L14"/>
  <c r="M14"/>
  <c r="G15"/>
  <c r="F16"/>
  <c r="G16"/>
  <c r="G17"/>
  <c r="G18"/>
  <c r="G19"/>
  <c r="G20"/>
  <c r="G21"/>
  <c r="G22"/>
  <c r="D23"/>
  <c r="G25"/>
  <c r="D7" i="14"/>
  <c r="E7"/>
  <c r="F7"/>
  <c r="D8"/>
  <c r="E8"/>
  <c r="F8"/>
  <c r="G8"/>
  <c r="D9"/>
  <c r="E9"/>
  <c r="F9"/>
  <c r="G9"/>
  <c r="D10"/>
  <c r="E10"/>
  <c r="F10"/>
  <c r="G10"/>
  <c r="D11"/>
  <c r="E11"/>
  <c r="F11"/>
  <c r="G11"/>
  <c r="D12"/>
  <c r="F12"/>
  <c r="G12"/>
  <c r="E12"/>
  <c r="D14"/>
  <c r="E14"/>
  <c r="F14"/>
  <c r="D15"/>
  <c r="E15"/>
  <c r="F15"/>
  <c r="G15"/>
  <c r="F16"/>
  <c r="G16"/>
  <c r="E18"/>
  <c r="F18"/>
  <c r="G18"/>
  <c r="F17"/>
  <c r="G17"/>
  <c r="E19"/>
  <c r="F19"/>
  <c r="G19"/>
  <c r="E20"/>
  <c r="F20"/>
  <c r="G20"/>
  <c r="F21"/>
  <c r="G21"/>
  <c r="D22"/>
  <c r="F22"/>
  <c r="G22"/>
  <c r="E22"/>
  <c r="E23"/>
  <c r="F23"/>
  <c r="G23"/>
  <c r="F24"/>
  <c r="G24"/>
  <c r="F25"/>
  <c r="G25"/>
  <c r="F27"/>
  <c r="G27"/>
  <c r="F28"/>
  <c r="G28"/>
  <c r="F6" i="13"/>
  <c r="F7"/>
  <c r="G7"/>
  <c r="F8"/>
  <c r="G8"/>
  <c r="F9"/>
  <c r="G9"/>
  <c r="F10"/>
  <c r="G10"/>
  <c r="E11"/>
  <c r="F11"/>
  <c r="G11"/>
  <c r="F13"/>
  <c r="F14"/>
  <c r="G14"/>
  <c r="G15"/>
  <c r="F17"/>
  <c r="G17"/>
  <c r="F18"/>
  <c r="F16"/>
  <c r="G16"/>
  <c r="G18"/>
  <c r="F19"/>
  <c r="G19"/>
  <c r="F20"/>
  <c r="G20"/>
  <c r="D21"/>
  <c r="F21"/>
  <c r="G21"/>
  <c r="F22"/>
  <c r="G22"/>
  <c r="F23"/>
  <c r="G23"/>
  <c r="F24"/>
  <c r="G24"/>
  <c r="F26"/>
  <c r="G26"/>
  <c r="F27"/>
  <c r="G27"/>
  <c r="G28"/>
  <c r="D4" i="12"/>
  <c r="H4"/>
  <c r="H7"/>
  <c r="E4"/>
  <c r="F4"/>
  <c r="H6"/>
  <c r="H16"/>
  <c r="H9"/>
  <c r="E5" i="11"/>
  <c r="E4"/>
  <c r="E6"/>
  <c r="E7"/>
  <c r="E8"/>
  <c r="E9"/>
  <c r="E10"/>
  <c r="E11"/>
  <c r="D5" i="10"/>
  <c r="D6"/>
  <c r="D7"/>
  <c r="D8"/>
  <c r="D17"/>
  <c r="I4" i="12"/>
  <c r="D9" i="10"/>
  <c r="D11"/>
  <c r="D12"/>
  <c r="K4" i="15"/>
  <c r="K5"/>
  <c r="K6"/>
  <c r="G5"/>
  <c r="G6"/>
  <c r="E7"/>
  <c r="G7"/>
  <c r="G8"/>
  <c r="G9"/>
  <c r="G10"/>
  <c r="G11"/>
  <c r="G12"/>
  <c r="I12"/>
  <c r="G13"/>
  <c r="G14"/>
  <c r="F10" i="8"/>
  <c r="G10"/>
  <c r="H10"/>
  <c r="I10"/>
  <c r="J10"/>
  <c r="K10"/>
  <c r="L10"/>
  <c r="D11"/>
  <c r="E11"/>
  <c r="L27" i="7"/>
  <c r="E13" i="8"/>
  <c r="E19"/>
  <c r="E20"/>
  <c r="V29" i="1"/>
  <c r="W29"/>
  <c r="X29"/>
  <c r="C4" i="19"/>
  <c r="C5" s="1"/>
  <c r="D3" s="1"/>
  <c r="C20" i="1"/>
  <c r="C3" i="19"/>
  <c r="C14" i="1"/>
  <c r="D16"/>
  <c r="B13" i="5"/>
  <c r="C9"/>
  <c r="D13" i="8"/>
  <c r="D19"/>
  <c r="D20" s="1"/>
  <c r="E22" s="1"/>
  <c r="G13" i="13"/>
  <c r="F12"/>
  <c r="G12"/>
  <c r="J4" i="18"/>
  <c r="J6"/>
  <c r="J7"/>
  <c r="J8"/>
  <c r="F15" i="21"/>
  <c r="I4" i="18"/>
  <c r="I6"/>
  <c r="I7"/>
  <c r="I8"/>
  <c r="L8" i="21"/>
  <c r="F11"/>
  <c r="L4"/>
  <c r="F4"/>
  <c r="L5"/>
  <c r="H4" i="18"/>
  <c r="L12" i="15"/>
  <c r="L14"/>
  <c r="L13"/>
  <c r="G16"/>
  <c r="F5" i="13"/>
  <c r="G6"/>
  <c r="H11" i="12"/>
  <c r="E15" i="11"/>
  <c r="C19" i="1"/>
  <c r="C18"/>
  <c r="L6" i="21"/>
  <c r="G5" i="13"/>
  <c r="F4"/>
  <c r="G24" i="18"/>
  <c r="G26"/>
  <c r="H13" i="12"/>
  <c r="H15"/>
  <c r="H14"/>
  <c r="H17"/>
  <c r="F3" i="21"/>
  <c r="L3"/>
  <c r="L10"/>
  <c r="M3"/>
  <c r="G3"/>
  <c r="F27"/>
  <c r="G28" i="18"/>
  <c r="G27"/>
  <c r="G29"/>
  <c r="H18" i="12"/>
  <c r="F25" i="13"/>
  <c r="G4"/>
  <c r="G7" i="21"/>
  <c r="G16"/>
  <c r="G21"/>
  <c r="G19"/>
  <c r="G27"/>
  <c r="G8"/>
  <c r="G13"/>
  <c r="G9"/>
  <c r="G26"/>
  <c r="G17"/>
  <c r="G20"/>
  <c r="G25"/>
  <c r="G6"/>
  <c r="G23"/>
  <c r="G22"/>
  <c r="G14"/>
  <c r="G12"/>
  <c r="G5"/>
  <c r="G24"/>
  <c r="G15"/>
  <c r="G18"/>
  <c r="G10"/>
  <c r="G4"/>
  <c r="G11"/>
  <c r="M8"/>
  <c r="M9"/>
  <c r="M10"/>
  <c r="M7"/>
  <c r="M6"/>
  <c r="M4"/>
  <c r="M5"/>
  <c r="F29" i="13"/>
  <c r="G25"/>
  <c r="G29"/>
  <c r="F27" i="26"/>
  <c r="D15" i="1"/>
  <c r="H15" i="27"/>
  <c r="H16"/>
  <c r="G27" i="26"/>
  <c r="H28"/>
  <c r="D18" i="24"/>
  <c r="C8"/>
  <c r="D9"/>
  <c r="H27" i="26"/>
  <c r="I28"/>
  <c r="D8" i="24"/>
  <c r="C47"/>
  <c r="C49"/>
  <c r="C42"/>
  <c r="I27" i="26"/>
  <c r="J28"/>
  <c r="D47" i="24"/>
  <c r="D49"/>
  <c r="D42"/>
  <c r="K14" i="6"/>
  <c r="K28" i="26"/>
  <c r="J27"/>
  <c r="G14" i="6"/>
  <c r="O14"/>
  <c r="F14"/>
  <c r="L14"/>
  <c r="R14"/>
  <c r="K27" i="26"/>
  <c r="L28"/>
  <c r="J14" i="6"/>
  <c r="N14"/>
  <c r="H14"/>
  <c r="P14"/>
  <c r="M28" i="26"/>
  <c r="L27"/>
  <c r="M27"/>
  <c r="N28"/>
  <c r="E26" i="7"/>
  <c r="N27" i="26"/>
  <c r="O28"/>
  <c r="C8" i="5"/>
  <c r="O27" i="26"/>
  <c r="P28"/>
  <c r="C15" i="5"/>
  <c r="F18" i="8"/>
  <c r="C13" i="5"/>
  <c r="D9"/>
  <c r="P27" i="26"/>
  <c r="Q28"/>
  <c r="C14" i="5"/>
  <c r="R28" i="26"/>
  <c r="Q27"/>
  <c r="F26" i="7"/>
  <c r="S28" i="26"/>
  <c r="S27"/>
  <c r="R27"/>
  <c r="G26" i="7"/>
  <c r="H26"/>
  <c r="I26"/>
  <c r="J26"/>
  <c r="K26"/>
  <c r="L26"/>
  <c r="J15" i="5"/>
  <c r="J14"/>
  <c r="M18" i="8"/>
  <c r="M26" i="7"/>
  <c r="N18" i="8"/>
  <c r="O18"/>
  <c r="E8" i="1"/>
  <c r="E10"/>
  <c r="C6"/>
  <c r="E7"/>
  <c r="D9"/>
  <c r="D6"/>
  <c r="D5"/>
  <c r="E12"/>
  <c r="E9"/>
  <c r="E6"/>
  <c r="E5"/>
  <c r="C5"/>
  <c r="F5"/>
  <c r="F11"/>
  <c r="F8"/>
  <c r="F13"/>
  <c r="F7"/>
  <c r="F10"/>
  <c r="F12"/>
  <c r="F9"/>
  <c r="F6"/>
  <c r="J11" i="27"/>
  <c r="K12"/>
  <c r="I15"/>
  <c r="I16"/>
  <c r="E5" i="25"/>
  <c r="F5"/>
  <c r="S40" i="29"/>
  <c r="K40"/>
  <c r="R36"/>
  <c r="J36"/>
  <c r="R40"/>
  <c r="J40"/>
  <c r="Q36"/>
  <c r="M40"/>
  <c r="E40"/>
  <c r="L36"/>
  <c r="Q40"/>
  <c r="F40"/>
  <c r="H36"/>
  <c r="E36"/>
  <c r="P40"/>
  <c r="S36"/>
  <c r="G36"/>
  <c r="N40"/>
  <c r="O36"/>
  <c r="H40"/>
  <c r="K36"/>
  <c r="G40"/>
  <c r="I36"/>
  <c r="O40"/>
  <c r="P36"/>
  <c r="F36"/>
  <c r="M36"/>
  <c r="N36"/>
  <c r="F28"/>
  <c r="E27"/>
  <c r="G28"/>
  <c r="F27"/>
  <c r="H28"/>
  <c r="G27"/>
  <c r="H27"/>
  <c r="I28"/>
  <c r="I27"/>
  <c r="J28"/>
  <c r="J27"/>
  <c r="K28"/>
  <c r="L28"/>
  <c r="K27"/>
  <c r="L27"/>
  <c r="M28"/>
  <c r="N28"/>
  <c r="M27"/>
  <c r="O28"/>
  <c r="N27"/>
  <c r="P28"/>
  <c r="O27"/>
  <c r="Q28"/>
  <c r="P27"/>
  <c r="R28"/>
  <c r="Q27"/>
  <c r="R27"/>
  <c r="S28"/>
  <c r="S27"/>
  <c r="E15" i="27"/>
  <c r="E16"/>
  <c r="D15"/>
  <c r="D16"/>
  <c r="F15"/>
  <c r="F16"/>
  <c r="G15"/>
  <c r="G16"/>
  <c r="J51" i="26"/>
  <c r="I49"/>
  <c r="F8" i="25"/>
  <c r="D5" i="5"/>
  <c r="G5" i="25"/>
  <c r="F6"/>
  <c r="G6"/>
  <c r="H6"/>
  <c r="I6"/>
  <c r="J6"/>
  <c r="K6"/>
  <c r="L6"/>
  <c r="M6"/>
  <c r="N6"/>
  <c r="E8"/>
  <c r="T6"/>
  <c r="H49" i="29"/>
  <c r="J51"/>
  <c r="K51"/>
  <c r="I49"/>
  <c r="F6" i="14"/>
  <c r="G14"/>
  <c r="F13"/>
  <c r="G13"/>
  <c r="G7"/>
  <c r="C7" i="25"/>
  <c r="H49" i="26"/>
  <c r="J16" i="27"/>
  <c r="F5" i="14"/>
  <c r="G6"/>
  <c r="J49" i="29"/>
  <c r="C5" i="5"/>
  <c r="R7" i="25"/>
  <c r="P7"/>
  <c r="O7"/>
  <c r="S7"/>
  <c r="N13" i="7"/>
  <c r="Q7" i="25"/>
  <c r="H5"/>
  <c r="G8"/>
  <c r="E5" i="5"/>
  <c r="L51" i="29"/>
  <c r="K49"/>
  <c r="J49" i="26"/>
  <c r="K51"/>
  <c r="K49"/>
  <c r="L51"/>
  <c r="F26" i="14"/>
  <c r="G5"/>
  <c r="T7" i="25"/>
  <c r="R8" i="7"/>
  <c r="M51" i="29"/>
  <c r="L49"/>
  <c r="I5" i="25"/>
  <c r="H8"/>
  <c r="F5" i="5"/>
  <c r="I8" i="25"/>
  <c r="J5"/>
  <c r="N51" i="29"/>
  <c r="M49"/>
  <c r="G26" i="14"/>
  <c r="G30"/>
  <c r="F30"/>
  <c r="M51" i="26"/>
  <c r="L49"/>
  <c r="M49"/>
  <c r="N51"/>
  <c r="N49" i="29"/>
  <c r="O51"/>
  <c r="J8" i="25"/>
  <c r="H5" i="5"/>
  <c r="K5" i="25"/>
  <c r="G5" i="5"/>
  <c r="P51" i="29"/>
  <c r="O49"/>
  <c r="L5" i="25"/>
  <c r="K8"/>
  <c r="O51" i="26"/>
  <c r="N49"/>
  <c r="Q51" i="29"/>
  <c r="P49"/>
  <c r="P51" i="26"/>
  <c r="O49"/>
  <c r="I5" i="5"/>
  <c r="L8" i="25"/>
  <c r="J5" i="5"/>
  <c r="M5" i="25"/>
  <c r="R51" i="29"/>
  <c r="Q49"/>
  <c r="M8" i="25"/>
  <c r="K5" i="5"/>
  <c r="N5" i="25"/>
  <c r="P49" i="26"/>
  <c r="Q51"/>
  <c r="O5" i="25"/>
  <c r="N8"/>
  <c r="L5" i="5"/>
  <c r="S51" i="29"/>
  <c r="S49"/>
  <c r="R49"/>
  <c r="R51" i="26"/>
  <c r="Q49"/>
  <c r="S51"/>
  <c r="S49"/>
  <c r="R49"/>
  <c r="O8" i="25"/>
  <c r="M5" i="5"/>
  <c r="P5" i="25"/>
  <c r="Q5"/>
  <c r="P8"/>
  <c r="N5" i="5"/>
  <c r="Q8" i="25"/>
  <c r="O5" i="5"/>
  <c r="R5" i="25"/>
  <c r="S5"/>
  <c r="R8"/>
  <c r="P5" i="5"/>
  <c r="S8" i="25"/>
  <c r="T5"/>
  <c r="Q5" i="5"/>
  <c r="T8" i="25"/>
  <c r="E9" i="29"/>
  <c r="K9"/>
  <c r="P9"/>
  <c r="F9"/>
  <c r="M9"/>
  <c r="H9"/>
  <c r="N9"/>
  <c r="R9"/>
  <c r="G9"/>
  <c r="G10"/>
  <c r="G7" s="1"/>
  <c r="I9"/>
  <c r="Q9"/>
  <c r="M13"/>
  <c r="M14" s="1"/>
  <c r="L9"/>
  <c r="M10" s="1"/>
  <c r="M7" s="1"/>
  <c r="L13" i="26"/>
  <c r="L14" s="1"/>
  <c r="P13" i="29"/>
  <c r="P14" s="1"/>
  <c r="F13" i="26"/>
  <c r="F14" s="1"/>
  <c r="R9"/>
  <c r="O13" i="29"/>
  <c r="O14" s="1"/>
  <c r="F13"/>
  <c r="F14" s="1"/>
  <c r="N13" i="26"/>
  <c r="N14" s="1"/>
  <c r="E13" i="29"/>
  <c r="E14" s="1"/>
  <c r="R13"/>
  <c r="R14" s="1"/>
  <c r="G13"/>
  <c r="G14" s="1"/>
  <c r="J13"/>
  <c r="J14" s="1"/>
  <c r="K13"/>
  <c r="K14" s="1"/>
  <c r="I13"/>
  <c r="I14" s="1"/>
  <c r="N13"/>
  <c r="N14" s="1"/>
  <c r="L13"/>
  <c r="L14" s="1"/>
  <c r="S13"/>
  <c r="S14" s="1"/>
  <c r="H13"/>
  <c r="H14" s="1"/>
  <c r="E13" i="26"/>
  <c r="E14" s="1"/>
  <c r="I13"/>
  <c r="I14" s="1"/>
  <c r="R13"/>
  <c r="R14" s="1"/>
  <c r="M13"/>
  <c r="M14" s="1"/>
  <c r="G13"/>
  <c r="G14" s="1"/>
  <c r="Q13"/>
  <c r="Q14" s="1"/>
  <c r="J13"/>
  <c r="J14" s="1"/>
  <c r="H13"/>
  <c r="H14" s="1"/>
  <c r="P13"/>
  <c r="P14" s="1"/>
  <c r="O13"/>
  <c r="O14" s="1"/>
  <c r="S13"/>
  <c r="S14" s="1"/>
  <c r="E10" i="29"/>
  <c r="E7" s="1"/>
  <c r="F10"/>
  <c r="F7" s="1"/>
  <c r="S9"/>
  <c r="S10" s="1"/>
  <c r="S7" s="1"/>
  <c r="O9"/>
  <c r="O10" s="1"/>
  <c r="O7" s="1"/>
  <c r="I10" l="1"/>
  <c r="I7" s="1"/>
  <c r="G15"/>
  <c r="G11" s="1"/>
  <c r="G6" s="1"/>
  <c r="G48" s="1"/>
  <c r="N10"/>
  <c r="N7" s="1"/>
  <c r="I15" i="26"/>
  <c r="I11" s="1"/>
  <c r="G15"/>
  <c r="G11" s="1"/>
  <c r="K9"/>
  <c r="D12" i="5"/>
  <c r="E15" i="29"/>
  <c r="E11" s="1"/>
  <c r="E6" s="1"/>
  <c r="E48" s="1"/>
  <c r="F15"/>
  <c r="F11" s="1"/>
  <c r="F6" s="1"/>
  <c r="M15"/>
  <c r="M11" s="1"/>
  <c r="M6" s="1"/>
  <c r="M48" s="1"/>
  <c r="P10"/>
  <c r="P7" s="1"/>
  <c r="J9" i="26"/>
  <c r="Q9"/>
  <c r="R10" s="1"/>
  <c r="R7" s="1"/>
  <c r="S9"/>
  <c r="S10" s="1"/>
  <c r="S7" s="1"/>
  <c r="H9"/>
  <c r="P9"/>
  <c r="H10" i="29"/>
  <c r="H7" s="1"/>
  <c r="C22" i="7"/>
  <c r="C23" s="1"/>
  <c r="M9" i="26"/>
  <c r="D4" i="19"/>
  <c r="O9" i="26"/>
  <c r="L15" i="29"/>
  <c r="L11" s="1"/>
  <c r="F9" i="26"/>
  <c r="G10" s="1"/>
  <c r="G7" s="1"/>
  <c r="G6" s="1"/>
  <c r="P15" i="29"/>
  <c r="P11" s="1"/>
  <c r="L9" i="26"/>
  <c r="I15" i="29"/>
  <c r="I11" s="1"/>
  <c r="I6" s="1"/>
  <c r="I46" s="1"/>
  <c r="N9" i="26"/>
  <c r="I9"/>
  <c r="E9"/>
  <c r="R10" i="29"/>
  <c r="R7" s="1"/>
  <c r="Q15"/>
  <c r="Q11" s="1"/>
  <c r="R15"/>
  <c r="R11" s="1"/>
  <c r="E15" i="26"/>
  <c r="E11" s="1"/>
  <c r="F15"/>
  <c r="F11" s="1"/>
  <c r="S15"/>
  <c r="S11" s="1"/>
  <c r="P15"/>
  <c r="P11" s="1"/>
  <c r="H15" i="29"/>
  <c r="H11" s="1"/>
  <c r="H6" s="1"/>
  <c r="H46" s="1"/>
  <c r="L15" i="26"/>
  <c r="L11" s="1"/>
  <c r="S15" i="29"/>
  <c r="S11" s="1"/>
  <c r="S6" s="1"/>
  <c r="S45" s="1"/>
  <c r="Q10"/>
  <c r="Q7" s="1"/>
  <c r="G47"/>
  <c r="G45"/>
  <c r="N15" i="26"/>
  <c r="N11" s="1"/>
  <c r="M15"/>
  <c r="M11" s="1"/>
  <c r="K15" i="29"/>
  <c r="K11" s="1"/>
  <c r="J15"/>
  <c r="J11" s="1"/>
  <c r="O15" i="26"/>
  <c r="O11" s="1"/>
  <c r="S46" i="29"/>
  <c r="S48"/>
  <c r="S47"/>
  <c r="S5"/>
  <c r="K10"/>
  <c r="K7" s="1"/>
  <c r="J10"/>
  <c r="J7" s="1"/>
  <c r="H15" i="26"/>
  <c r="H11" s="1"/>
  <c r="K15"/>
  <c r="K11" s="1"/>
  <c r="J15"/>
  <c r="J11" s="1"/>
  <c r="Q15"/>
  <c r="Q11" s="1"/>
  <c r="R15"/>
  <c r="R11" s="1"/>
  <c r="R6" s="1"/>
  <c r="O15" i="29"/>
  <c r="O11" s="1"/>
  <c r="O6" s="1"/>
  <c r="N15"/>
  <c r="N11" s="1"/>
  <c r="N6" s="1"/>
  <c r="L10"/>
  <c r="L7" s="1"/>
  <c r="F5" l="1"/>
  <c r="F48"/>
  <c r="F45"/>
  <c r="F47"/>
  <c r="F46"/>
  <c r="O10" i="26"/>
  <c r="O7" s="1"/>
  <c r="O6" s="1"/>
  <c r="L6" i="29"/>
  <c r="L46" s="1"/>
  <c r="M5"/>
  <c r="H47"/>
  <c r="G5"/>
  <c r="S6" i="26"/>
  <c r="S47" s="1"/>
  <c r="M45" i="29"/>
  <c r="M47"/>
  <c r="G46"/>
  <c r="Q10" i="26"/>
  <c r="Q7" s="1"/>
  <c r="K10"/>
  <c r="K7" s="1"/>
  <c r="K6" s="1"/>
  <c r="M46" i="29"/>
  <c r="I48"/>
  <c r="L10" i="26"/>
  <c r="L7" s="1"/>
  <c r="L6" s="1"/>
  <c r="J10"/>
  <c r="J7" s="1"/>
  <c r="J6" s="1"/>
  <c r="P10"/>
  <c r="P7" s="1"/>
  <c r="P6" s="1"/>
  <c r="E46" i="29"/>
  <c r="Q6" i="26"/>
  <c r="Q47" s="1"/>
  <c r="N10"/>
  <c r="N7" s="1"/>
  <c r="I10"/>
  <c r="I7" s="1"/>
  <c r="I6" s="1"/>
  <c r="F42"/>
  <c r="F42" i="29"/>
  <c r="H45"/>
  <c r="I45"/>
  <c r="E45"/>
  <c r="P6"/>
  <c r="S65"/>
  <c r="S66" s="1"/>
  <c r="H48"/>
  <c r="I47"/>
  <c r="I5"/>
  <c r="N6" i="26"/>
  <c r="E47" i="29"/>
  <c r="R6"/>
  <c r="M10" i="26"/>
  <c r="M7" s="1"/>
  <c r="M6" s="1"/>
  <c r="H10"/>
  <c r="H7" s="1"/>
  <c r="H6" s="1"/>
  <c r="E10"/>
  <c r="E7" s="1"/>
  <c r="E6" s="1"/>
  <c r="F10"/>
  <c r="F7" s="1"/>
  <c r="F6" s="1"/>
  <c r="E5" i="29"/>
  <c r="H5"/>
  <c r="K6"/>
  <c r="K5" s="1"/>
  <c r="G47" i="26"/>
  <c r="G5"/>
  <c r="F6" i="7" s="1"/>
  <c r="G45" i="26"/>
  <c r="G46"/>
  <c r="G48"/>
  <c r="J6" i="29"/>
  <c r="J5" s="1"/>
  <c r="S64"/>
  <c r="Q6"/>
  <c r="L48"/>
  <c r="F65"/>
  <c r="F66" s="1"/>
  <c r="F64"/>
  <c r="M64"/>
  <c r="M65"/>
  <c r="M66" s="1"/>
  <c r="H65"/>
  <c r="H66" s="1"/>
  <c r="G65"/>
  <c r="G66" s="1"/>
  <c r="G64"/>
  <c r="Q45" i="26"/>
  <c r="R46"/>
  <c r="R5"/>
  <c r="R48"/>
  <c r="R45"/>
  <c r="R47"/>
  <c r="N45"/>
  <c r="N5"/>
  <c r="N48"/>
  <c r="N46"/>
  <c r="N47"/>
  <c r="O48" i="29"/>
  <c r="O46"/>
  <c r="O45"/>
  <c r="O47"/>
  <c r="O5"/>
  <c r="N48"/>
  <c r="N46"/>
  <c r="N45"/>
  <c r="N5"/>
  <c r="N47"/>
  <c r="S67"/>
  <c r="S68" s="1"/>
  <c r="S69" s="1"/>
  <c r="O5" i="26" l="1"/>
  <c r="O46"/>
  <c r="O47"/>
  <c r="H64" i="29"/>
  <c r="G65" i="26"/>
  <c r="G66" s="1"/>
  <c r="K5"/>
  <c r="J5" i="6" s="1"/>
  <c r="K46" i="26"/>
  <c r="K47"/>
  <c r="K45"/>
  <c r="K48"/>
  <c r="J5"/>
  <c r="J46"/>
  <c r="J47"/>
  <c r="I45"/>
  <c r="I46"/>
  <c r="L47" i="29"/>
  <c r="L5"/>
  <c r="S45" i="26"/>
  <c r="M67" i="29"/>
  <c r="M68" s="1"/>
  <c r="L45"/>
  <c r="S46" i="26"/>
  <c r="J47" i="29"/>
  <c r="Q48" i="26"/>
  <c r="S48"/>
  <c r="S5"/>
  <c r="H67" i="29"/>
  <c r="H68" s="1"/>
  <c r="H5" i="26"/>
  <c r="G5" i="6" s="1"/>
  <c r="H48" i="26"/>
  <c r="H47"/>
  <c r="P5"/>
  <c r="P47"/>
  <c r="P48"/>
  <c r="P46"/>
  <c r="P45"/>
  <c r="L47"/>
  <c r="L5"/>
  <c r="L45"/>
  <c r="L46"/>
  <c r="L48"/>
  <c r="Q46"/>
  <c r="I5"/>
  <c r="I48"/>
  <c r="E26" i="29"/>
  <c r="E25" s="1"/>
  <c r="E52" s="1"/>
  <c r="E54" s="1"/>
  <c r="K47"/>
  <c r="J48" i="26"/>
  <c r="J45"/>
  <c r="J65" s="1"/>
  <c r="J66" s="1"/>
  <c r="Q5"/>
  <c r="F5" i="6"/>
  <c r="O48" i="26"/>
  <c r="I47"/>
  <c r="I64" s="1"/>
  <c r="I65" i="29"/>
  <c r="I66" s="1"/>
  <c r="O45" i="26"/>
  <c r="F6" i="6"/>
  <c r="F10" s="1"/>
  <c r="F5" i="26"/>
  <c r="F46"/>
  <c r="F45"/>
  <c r="F47"/>
  <c r="F48"/>
  <c r="M47"/>
  <c r="M5"/>
  <c r="M46"/>
  <c r="M48"/>
  <c r="M45"/>
  <c r="E47"/>
  <c r="E45"/>
  <c r="E46"/>
  <c r="E5"/>
  <c r="E48"/>
  <c r="R5" i="29"/>
  <c r="R47"/>
  <c r="R48"/>
  <c r="R46"/>
  <c r="R45"/>
  <c r="P5"/>
  <c r="P47"/>
  <c r="P48"/>
  <c r="P45"/>
  <c r="P46"/>
  <c r="E64"/>
  <c r="H46" i="26"/>
  <c r="J46" i="29"/>
  <c r="G64" i="26"/>
  <c r="G67" s="1"/>
  <c r="G68" s="1"/>
  <c r="G69" s="1"/>
  <c r="K45" i="29"/>
  <c r="E65"/>
  <c r="E66" s="1"/>
  <c r="K46"/>
  <c r="J45"/>
  <c r="J48"/>
  <c r="I64"/>
  <c r="K48"/>
  <c r="H45" i="26"/>
  <c r="H64" s="1"/>
  <c r="G67" i="29"/>
  <c r="G68" s="1"/>
  <c r="Q48"/>
  <c r="Q46"/>
  <c r="Q5"/>
  <c r="Q47"/>
  <c r="Q45"/>
  <c r="R5" i="6"/>
  <c r="R6" i="7"/>
  <c r="N64" i="26"/>
  <c r="N67" s="1"/>
  <c r="N68" s="1"/>
  <c r="N65"/>
  <c r="N66" s="1"/>
  <c r="M6" i="6"/>
  <c r="M10" s="1"/>
  <c r="N5"/>
  <c r="N6" i="7"/>
  <c r="K64" i="26"/>
  <c r="M5" i="6"/>
  <c r="M6" i="7"/>
  <c r="Q5" i="6"/>
  <c r="Q6" i="7"/>
  <c r="L5" i="6"/>
  <c r="L6" i="7"/>
  <c r="L65" i="29"/>
  <c r="L66" s="1"/>
  <c r="L64"/>
  <c r="G69"/>
  <c r="Q64" i="26"/>
  <c r="Q65"/>
  <c r="Q66" s="1"/>
  <c r="P6" i="6"/>
  <c r="P10" s="1"/>
  <c r="G6" i="7"/>
  <c r="P5" i="6"/>
  <c r="P6" i="7"/>
  <c r="F12" i="6"/>
  <c r="F8"/>
  <c r="M69" i="29"/>
  <c r="F67"/>
  <c r="F68" s="1"/>
  <c r="F69" s="1"/>
  <c r="N65"/>
  <c r="N66" s="1"/>
  <c r="N64"/>
  <c r="N6" i="6"/>
  <c r="N10" s="1"/>
  <c r="O64" i="26"/>
  <c r="O65"/>
  <c r="O66" s="1"/>
  <c r="S71" i="29"/>
  <c r="S70"/>
  <c r="I6" i="7"/>
  <c r="I5" i="6"/>
  <c r="J6" i="7"/>
  <c r="O64" i="29"/>
  <c r="O65"/>
  <c r="O66" s="1"/>
  <c r="Q6" i="6"/>
  <c r="Q10" s="1"/>
  <c r="R64" i="26"/>
  <c r="R65"/>
  <c r="R66" s="1"/>
  <c r="G6" i="8"/>
  <c r="H69" i="29"/>
  <c r="J64" l="1"/>
  <c r="M64" i="26"/>
  <c r="H6" i="6"/>
  <c r="H10" s="1"/>
  <c r="R6"/>
  <c r="R10" s="1"/>
  <c r="R11" s="1"/>
  <c r="R15" i="7" s="1"/>
  <c r="J6" i="6"/>
  <c r="J10" s="1"/>
  <c r="H65" i="26"/>
  <c r="H66" s="1"/>
  <c r="J64"/>
  <c r="K65"/>
  <c r="K66" s="1"/>
  <c r="G6" i="6"/>
  <c r="G10" s="1"/>
  <c r="G11" s="1"/>
  <c r="G15" i="7" s="1"/>
  <c r="H15" i="8" s="1"/>
  <c r="S65" i="26"/>
  <c r="S66" s="1"/>
  <c r="I67" i="29"/>
  <c r="I68" s="1"/>
  <c r="I69" s="1"/>
  <c r="S64" i="26"/>
  <c r="O6" i="7"/>
  <c r="O5" i="6"/>
  <c r="K65" i="29"/>
  <c r="K66" s="1"/>
  <c r="M65" i="26"/>
  <c r="M66" s="1"/>
  <c r="P65"/>
  <c r="P66" s="1"/>
  <c r="O6" i="6"/>
  <c r="O10" s="1"/>
  <c r="P64" i="26"/>
  <c r="K6" i="7"/>
  <c r="L6" i="8" s="1"/>
  <c r="K5" i="6"/>
  <c r="J65" i="29"/>
  <c r="J66" s="1"/>
  <c r="I6" i="6"/>
  <c r="I10" s="1"/>
  <c r="J11" s="1"/>
  <c r="J15" i="7" s="1"/>
  <c r="K15" i="8" s="1"/>
  <c r="H11" i="6"/>
  <c r="H15" i="7" s="1"/>
  <c r="I15" i="8" s="1"/>
  <c r="I65" i="26"/>
  <c r="I66" s="1"/>
  <c r="E67" i="29"/>
  <c r="E68" s="1"/>
  <c r="E69" s="1"/>
  <c r="H5" i="6"/>
  <c r="H6" i="7"/>
  <c r="I6" i="8" s="1"/>
  <c r="K6" i="6"/>
  <c r="K10" s="1"/>
  <c r="K11" s="1"/>
  <c r="K15" i="7" s="1"/>
  <c r="L15" i="8" s="1"/>
  <c r="L65" i="26"/>
  <c r="L66" s="1"/>
  <c r="L64"/>
  <c r="O11" i="6"/>
  <c r="O15" i="7" s="1"/>
  <c r="P11" i="6"/>
  <c r="P15" i="7" s="1"/>
  <c r="H67" i="26"/>
  <c r="H68" s="1"/>
  <c r="H69" s="1"/>
  <c r="D6" i="7"/>
  <c r="D5" i="6"/>
  <c r="L67" i="29"/>
  <c r="L68" s="1"/>
  <c r="F64" i="26"/>
  <c r="E6" i="6"/>
  <c r="E10" s="1"/>
  <c r="F11" s="1"/>
  <c r="F15" i="7" s="1"/>
  <c r="G15" i="8" s="1"/>
  <c r="F65" i="26"/>
  <c r="F66" s="1"/>
  <c r="L6" i="6"/>
  <c r="L10" s="1"/>
  <c r="K64" i="29"/>
  <c r="E5" i="6"/>
  <c r="E6" i="7"/>
  <c r="F6" i="8" s="1"/>
  <c r="P64" i="29"/>
  <c r="P65"/>
  <c r="P66" s="1"/>
  <c r="R65"/>
  <c r="R66" s="1"/>
  <c r="R64"/>
  <c r="D6" i="6"/>
  <c r="D10" s="1"/>
  <c r="E26" i="26"/>
  <c r="E64"/>
  <c r="E65"/>
  <c r="E66" s="1"/>
  <c r="O67" i="29"/>
  <c r="O68" s="1"/>
  <c r="O69" s="1"/>
  <c r="N67"/>
  <c r="N68" s="1"/>
  <c r="Q64"/>
  <c r="Q65"/>
  <c r="Q66" s="1"/>
  <c r="J67" i="26"/>
  <c r="J68" s="1"/>
  <c r="J69" s="1"/>
  <c r="O67"/>
  <c r="O68" s="1"/>
  <c r="O69" s="1"/>
  <c r="R12" i="6"/>
  <c r="R8"/>
  <c r="F70" i="29"/>
  <c r="F71"/>
  <c r="I71"/>
  <c r="I70"/>
  <c r="H70"/>
  <c r="H71"/>
  <c r="H6" i="8"/>
  <c r="O6"/>
  <c r="P12" i="6"/>
  <c r="Q13" s="1"/>
  <c r="Q16" i="7" s="1"/>
  <c r="P8" i="6"/>
  <c r="G8"/>
  <c r="G12"/>
  <c r="G13" s="1"/>
  <c r="G16" i="7" s="1"/>
  <c r="H16" i="8" s="1"/>
  <c r="Q8" i="6"/>
  <c r="Q12"/>
  <c r="J67" i="29"/>
  <c r="J68" s="1"/>
  <c r="J69" s="1"/>
  <c r="N69"/>
  <c r="Q67" i="26"/>
  <c r="Q68" s="1"/>
  <c r="Q69" s="1"/>
  <c r="N69"/>
  <c r="N6" i="8"/>
  <c r="J6"/>
  <c r="M70" i="29"/>
  <c r="M71"/>
  <c r="G71"/>
  <c r="G70"/>
  <c r="M6" i="8"/>
  <c r="M12" i="6"/>
  <c r="M8"/>
  <c r="N11"/>
  <c r="N15" i="7" s="1"/>
  <c r="O15" i="8" s="1"/>
  <c r="J12" i="6"/>
  <c r="J8"/>
  <c r="G71" i="26"/>
  <c r="G70"/>
  <c r="L12" i="6"/>
  <c r="L8"/>
  <c r="K6" i="8"/>
  <c r="I12" i="6"/>
  <c r="J13" s="1"/>
  <c r="J16" i="7" s="1"/>
  <c r="K16" i="8" s="1"/>
  <c r="I8" i="6"/>
  <c r="F15"/>
  <c r="F16" s="1"/>
  <c r="G9"/>
  <c r="G7" i="7" s="1"/>
  <c r="H7" i="8" s="1"/>
  <c r="N12" i="6"/>
  <c r="N8"/>
  <c r="M67" i="26"/>
  <c r="M68" s="1"/>
  <c r="M69" s="1"/>
  <c r="R67"/>
  <c r="R68" s="1"/>
  <c r="R69" s="1"/>
  <c r="Q11" i="6"/>
  <c r="Q15" i="7" s="1"/>
  <c r="K67" i="29"/>
  <c r="K68" s="1"/>
  <c r="K69" s="1"/>
  <c r="L69"/>
  <c r="K67" i="26"/>
  <c r="K68" s="1"/>
  <c r="K69" s="1"/>
  <c r="R67" i="29" l="1"/>
  <c r="R68" s="1"/>
  <c r="R69" s="1"/>
  <c r="P67" i="26"/>
  <c r="P68" s="1"/>
  <c r="S67"/>
  <c r="S68" s="1"/>
  <c r="S69" s="1"/>
  <c r="I67"/>
  <c r="I68" s="1"/>
  <c r="I69" s="1"/>
  <c r="E70" i="29"/>
  <c r="E71"/>
  <c r="H12" i="6"/>
  <c r="I13" s="1"/>
  <c r="I16" i="7" s="1"/>
  <c r="J16" i="8" s="1"/>
  <c r="H8" i="6"/>
  <c r="L67" i="26"/>
  <c r="L68" s="1"/>
  <c r="L69" s="1"/>
  <c r="K8" i="6"/>
  <c r="K12"/>
  <c r="L13" s="1"/>
  <c r="L16" i="7" s="1"/>
  <c r="M16" i="8" s="1"/>
  <c r="I9" i="6"/>
  <c r="I7" i="7" s="1"/>
  <c r="I10" s="1"/>
  <c r="I11" i="6"/>
  <c r="I15" i="7" s="1"/>
  <c r="J15" i="8" s="1"/>
  <c r="Q67" i="29"/>
  <c r="Q68" s="1"/>
  <c r="P69" i="26"/>
  <c r="O12" i="6"/>
  <c r="P13" s="1"/>
  <c r="P16" i="7" s="1"/>
  <c r="O8" i="6"/>
  <c r="K13"/>
  <c r="K16" i="7" s="1"/>
  <c r="L16" i="8" s="1"/>
  <c r="E12" i="6"/>
  <c r="F13" s="1"/>
  <c r="F16" i="7" s="1"/>
  <c r="G16" i="8" s="1"/>
  <c r="E8" i="6"/>
  <c r="D12"/>
  <c r="D8"/>
  <c r="E67" i="26"/>
  <c r="E68" s="1"/>
  <c r="E69" s="1"/>
  <c r="M11" i="6"/>
  <c r="M15" i="7" s="1"/>
  <c r="N15" i="8" s="1"/>
  <c r="L11" i="6"/>
  <c r="L15" i="7" s="1"/>
  <c r="M15" i="8" s="1"/>
  <c r="E25" i="26"/>
  <c r="E52" s="1"/>
  <c r="E54" s="1"/>
  <c r="C6" i="5" s="1"/>
  <c r="C4" s="1"/>
  <c r="D14" i="7"/>
  <c r="D11" i="6"/>
  <c r="D15" i="7" s="1"/>
  <c r="E11" i="6"/>
  <c r="E15" i="7" s="1"/>
  <c r="F15" i="8" s="1"/>
  <c r="P67" i="29"/>
  <c r="P68" s="1"/>
  <c r="P69" s="1"/>
  <c r="F67" i="26"/>
  <c r="F68" s="1"/>
  <c r="F69" s="1"/>
  <c r="R13" i="6"/>
  <c r="R16" i="7" s="1"/>
  <c r="R15" i="6"/>
  <c r="R16" s="1"/>
  <c r="Q69" i="29"/>
  <c r="K70"/>
  <c r="K71"/>
  <c r="R70" i="26"/>
  <c r="R71"/>
  <c r="L70" i="29"/>
  <c r="L71"/>
  <c r="O70"/>
  <c r="O71"/>
  <c r="M70" i="26"/>
  <c r="M71"/>
  <c r="F17" i="6"/>
  <c r="G41" i="29"/>
  <c r="G41" i="26"/>
  <c r="Q70"/>
  <c r="Q71"/>
  <c r="J71"/>
  <c r="J70"/>
  <c r="Q9" i="6"/>
  <c r="Q7" i="7" s="1"/>
  <c r="Q10" s="1"/>
  <c r="P15" i="6"/>
  <c r="P16" s="1"/>
  <c r="K70" i="26"/>
  <c r="K71"/>
  <c r="J9" i="6"/>
  <c r="J7" i="7" s="1"/>
  <c r="I15" i="6"/>
  <c r="I16" s="1"/>
  <c r="L15"/>
  <c r="L16" s="1"/>
  <c r="M9"/>
  <c r="M7" i="7" s="1"/>
  <c r="O70" i="26"/>
  <c r="O71"/>
  <c r="R9" i="6"/>
  <c r="R7" i="7" s="1"/>
  <c r="R10" s="1"/>
  <c r="Q15" i="6"/>
  <c r="Q16" s="1"/>
  <c r="G15"/>
  <c r="G16" s="1"/>
  <c r="H9"/>
  <c r="H7" i="7" s="1"/>
  <c r="N13" i="6"/>
  <c r="N16" i="7" s="1"/>
  <c r="O16" i="8" s="1"/>
  <c r="H11"/>
  <c r="J15" i="6"/>
  <c r="J16" s="1"/>
  <c r="K9"/>
  <c r="K7" i="7" s="1"/>
  <c r="J71" i="29"/>
  <c r="J70"/>
  <c r="O9" i="6"/>
  <c r="O7" i="7" s="1"/>
  <c r="O10" s="1"/>
  <c r="N15" i="6"/>
  <c r="N16" s="1"/>
  <c r="H70" i="26"/>
  <c r="H71"/>
  <c r="M15" i="6"/>
  <c r="M16" s="1"/>
  <c r="N9"/>
  <c r="N7" i="7" s="1"/>
  <c r="N71" i="26"/>
  <c r="N70"/>
  <c r="N70" i="29"/>
  <c r="N71"/>
  <c r="M13" i="6"/>
  <c r="M16" i="7" s="1"/>
  <c r="N16" i="8" s="1"/>
  <c r="G10" i="7"/>
  <c r="H13" i="6" l="1"/>
  <c r="H16" i="7" s="1"/>
  <c r="I16" i="8" s="1"/>
  <c r="H15" i="6"/>
  <c r="H16" s="1"/>
  <c r="R70" i="29"/>
  <c r="R71"/>
  <c r="S70" i="26"/>
  <c r="S71"/>
  <c r="I70"/>
  <c r="I71"/>
  <c r="L70"/>
  <c r="L71"/>
  <c r="O15" i="6"/>
  <c r="O16" s="1"/>
  <c r="P9"/>
  <c r="P7" i="7" s="1"/>
  <c r="P10" s="1"/>
  <c r="K15" i="6"/>
  <c r="K16" s="1"/>
  <c r="L9"/>
  <c r="L7" i="7" s="1"/>
  <c r="J7" i="8"/>
  <c r="J11" s="1"/>
  <c r="P70" i="26"/>
  <c r="P71"/>
  <c r="O13" i="6"/>
  <c r="O16" i="7" s="1"/>
  <c r="F71" i="26"/>
  <c r="F70"/>
  <c r="E70"/>
  <c r="E71"/>
  <c r="E15" i="6"/>
  <c r="E16" s="1"/>
  <c r="F9"/>
  <c r="F7" i="7" s="1"/>
  <c r="D13" i="6"/>
  <c r="D16" i="7" s="1"/>
  <c r="D18" s="1"/>
  <c r="E13" i="6"/>
  <c r="E16" i="7" s="1"/>
  <c r="F16" i="8" s="1"/>
  <c r="P70" i="29"/>
  <c r="P71"/>
  <c r="D15" i="6"/>
  <c r="D16" s="1"/>
  <c r="D17" s="1"/>
  <c r="E9"/>
  <c r="E7" i="7" s="1"/>
  <c r="D9" i="6"/>
  <c r="D7" i="7" s="1"/>
  <c r="D10" s="1"/>
  <c r="R17" i="6"/>
  <c r="S41" i="26"/>
  <c r="S26" s="1"/>
  <c r="S41" i="29"/>
  <c r="S26" s="1"/>
  <c r="S25" s="1"/>
  <c r="S52" s="1"/>
  <c r="S53" s="1"/>
  <c r="S54" s="1"/>
  <c r="Q71"/>
  <c r="Q70"/>
  <c r="L17" i="6"/>
  <c r="M41" i="26"/>
  <c r="M26" s="1"/>
  <c r="M41" i="29"/>
  <c r="M26" s="1"/>
  <c r="M25" s="1"/>
  <c r="M52" s="1"/>
  <c r="O41"/>
  <c r="O26" s="1"/>
  <c r="O25" s="1"/>
  <c r="O52" s="1"/>
  <c r="N17" i="6"/>
  <c r="O41" i="26"/>
  <c r="O26" s="1"/>
  <c r="H41" i="29"/>
  <c r="G17" i="6"/>
  <c r="H41" i="26"/>
  <c r="N7" i="8"/>
  <c r="N11" s="1"/>
  <c r="M10" i="7"/>
  <c r="I7" i="8"/>
  <c r="I11" s="1"/>
  <c r="H10" i="7"/>
  <c r="K7" i="8"/>
  <c r="K11" s="1"/>
  <c r="J10" i="7"/>
  <c r="R41" i="26"/>
  <c r="R26" s="1"/>
  <c r="R41" i="29"/>
  <c r="R26" s="1"/>
  <c r="R25" s="1"/>
  <c r="R52" s="1"/>
  <c r="Q17" i="6"/>
  <c r="N41" i="29"/>
  <c r="N26" s="1"/>
  <c r="N25" s="1"/>
  <c r="N52" s="1"/>
  <c r="N41" i="26"/>
  <c r="N26" s="1"/>
  <c r="M17" i="6"/>
  <c r="K41" i="29"/>
  <c r="J17" i="6"/>
  <c r="K41" i="26"/>
  <c r="O7" i="8"/>
  <c r="O11" s="1"/>
  <c r="N10" i="7"/>
  <c r="L7" i="8"/>
  <c r="L11" s="1"/>
  <c r="K10" i="7"/>
  <c r="J41" i="29"/>
  <c r="I17" i="6"/>
  <c r="J41" i="26"/>
  <c r="Q41"/>
  <c r="Q26" s="1"/>
  <c r="Q41" i="29"/>
  <c r="Q26" s="1"/>
  <c r="Q25" s="1"/>
  <c r="Q52" s="1"/>
  <c r="P17" i="6"/>
  <c r="I41" i="29" l="1"/>
  <c r="I41" i="26"/>
  <c r="H17" i="6"/>
  <c r="M7" i="8"/>
  <c r="M11" s="1"/>
  <c r="L10" i="7"/>
  <c r="L41" i="26"/>
  <c r="L41" i="29"/>
  <c r="K17" i="6"/>
  <c r="P41" i="26"/>
  <c r="P26" s="1"/>
  <c r="P41" i="29"/>
  <c r="P26" s="1"/>
  <c r="P25" s="1"/>
  <c r="P52" s="1"/>
  <c r="P53" s="1"/>
  <c r="P54" s="1"/>
  <c r="O17" i="6"/>
  <c r="D19" i="7"/>
  <c r="D22" s="1"/>
  <c r="D23" s="1"/>
  <c r="G7" i="8"/>
  <c r="G11" s="1"/>
  <c r="F10" i="7"/>
  <c r="E17" i="6"/>
  <c r="F41" i="29"/>
  <c r="F26" s="1"/>
  <c r="F25" s="1"/>
  <c r="F52" s="1"/>
  <c r="F53" s="1"/>
  <c r="F54" s="1"/>
  <c r="F41" i="26"/>
  <c r="F26" s="1"/>
  <c r="E10" i="7"/>
  <c r="F7" i="8"/>
  <c r="F11" s="1"/>
  <c r="R14" i="7"/>
  <c r="S25" i="26"/>
  <c r="S52" s="1"/>
  <c r="P14" i="7"/>
  <c r="Q25" i="26"/>
  <c r="Q52" s="1"/>
  <c r="Q14" i="7"/>
  <c r="R25" i="26"/>
  <c r="R52" s="1"/>
  <c r="N14" i="7"/>
  <c r="O25" i="26"/>
  <c r="O52" s="1"/>
  <c r="Q53" i="29"/>
  <c r="Q54" s="1"/>
  <c r="N54"/>
  <c r="N53"/>
  <c r="R53"/>
  <c r="R54" s="1"/>
  <c r="O53"/>
  <c r="O54" s="1"/>
  <c r="M25" i="26"/>
  <c r="M52" s="1"/>
  <c r="L14" i="7"/>
  <c r="M14"/>
  <c r="N25" i="26"/>
  <c r="N52" s="1"/>
  <c r="M53" i="29"/>
  <c r="M54" s="1"/>
  <c r="P25" i="26" l="1"/>
  <c r="P52" s="1"/>
  <c r="P53" s="1"/>
  <c r="O17" i="7" s="1"/>
  <c r="O18" s="1"/>
  <c r="O19" s="1"/>
  <c r="O22" s="1"/>
  <c r="O14"/>
  <c r="F25" i="26"/>
  <c r="F52" s="1"/>
  <c r="E14" i="7"/>
  <c r="S53" i="26"/>
  <c r="R17" i="7" s="1"/>
  <c r="R18" s="1"/>
  <c r="R19" s="1"/>
  <c r="R22" s="1"/>
  <c r="N53" i="26"/>
  <c r="M17" i="7" s="1"/>
  <c r="N17" i="8" s="1"/>
  <c r="O14"/>
  <c r="M53" i="26"/>
  <c r="L17" i="7" s="1"/>
  <c r="M17" i="8" s="1"/>
  <c r="O53" i="26"/>
  <c r="N17" i="7" s="1"/>
  <c r="O17" i="8" s="1"/>
  <c r="Q53" i="26"/>
  <c r="P17" i="7" s="1"/>
  <c r="P18" s="1"/>
  <c r="P19" s="1"/>
  <c r="P22" s="1"/>
  <c r="R53" i="26"/>
  <c r="Q17" i="7" s="1"/>
  <c r="Q18" s="1"/>
  <c r="Q19" s="1"/>
  <c r="Q22" s="1"/>
  <c r="N14" i="8"/>
  <c r="N19" s="1"/>
  <c r="N20" s="1"/>
  <c r="L18" i="7"/>
  <c r="L19" s="1"/>
  <c r="L22" s="1"/>
  <c r="M14" i="8"/>
  <c r="M18" i="7" l="1"/>
  <c r="M19" s="1"/>
  <c r="M22" s="1"/>
  <c r="P54" i="26"/>
  <c r="N6" i="5" s="1"/>
  <c r="N4" s="1"/>
  <c r="S54" i="26"/>
  <c r="Q6" i="5" s="1"/>
  <c r="Q4" s="1"/>
  <c r="M19" i="8"/>
  <c r="M20" s="1"/>
  <c r="Q54" i="26"/>
  <c r="O6" i="5" s="1"/>
  <c r="O4" s="1"/>
  <c r="F14" i="8"/>
  <c r="E18" i="7"/>
  <c r="E19" s="1"/>
  <c r="F53" i="26"/>
  <c r="E17" i="7" s="1"/>
  <c r="F17" i="8" s="1"/>
  <c r="M54" i="26"/>
  <c r="K6" i="5" s="1"/>
  <c r="K4" s="1"/>
  <c r="O54" i="26"/>
  <c r="M6" i="5" s="1"/>
  <c r="M4" s="1"/>
  <c r="N18" i="7"/>
  <c r="N19" s="1"/>
  <c r="N22" s="1"/>
  <c r="M27"/>
  <c r="N54" i="26"/>
  <c r="L6" i="5" s="1"/>
  <c r="L4" s="1"/>
  <c r="R54" i="26"/>
  <c r="P6" i="5" s="1"/>
  <c r="P4" s="1"/>
  <c r="O19" i="8"/>
  <c r="O20" s="1"/>
  <c r="N27" i="7" l="1"/>
  <c r="F19" i="8"/>
  <c r="F20" s="1"/>
  <c r="E22" i="7"/>
  <c r="E23" s="1"/>
  <c r="E27"/>
  <c r="F54" i="26"/>
  <c r="D6" i="5" s="1"/>
  <c r="D4" s="1"/>
  <c r="D8" l="1"/>
  <c r="D11"/>
  <c r="D15" l="1"/>
  <c r="D13"/>
  <c r="E9" s="1"/>
  <c r="E12" s="1"/>
  <c r="G18" i="8" l="1"/>
  <c r="D14" i="5"/>
  <c r="G42" i="26"/>
  <c r="G26" s="1"/>
  <c r="G42" i="29"/>
  <c r="G26" s="1"/>
  <c r="G25" s="1"/>
  <c r="G52" s="1"/>
  <c r="G53" s="1"/>
  <c r="G54" s="1"/>
  <c r="G25" i="26" l="1"/>
  <c r="G52" s="1"/>
  <c r="F14" i="7"/>
  <c r="G53" i="26" l="1"/>
  <c r="F17" i="7" s="1"/>
  <c r="G17" i="8" s="1"/>
  <c r="G14"/>
  <c r="G54" i="26" l="1"/>
  <c r="E6" i="5" s="1"/>
  <c r="E4" s="1"/>
  <c r="G19" i="8"/>
  <c r="G20" s="1"/>
  <c r="F18" i="7"/>
  <c r="F19" s="1"/>
  <c r="E11" i="5" l="1"/>
  <c r="E8"/>
  <c r="F27" i="7"/>
  <c r="F22"/>
  <c r="F23" s="1"/>
  <c r="E15" i="5" l="1"/>
  <c r="E13"/>
  <c r="F9" s="1"/>
  <c r="F12" s="1"/>
  <c r="H18" i="8" l="1"/>
  <c r="E14" i="5"/>
  <c r="H42" i="26"/>
  <c r="H26" s="1"/>
  <c r="H42" i="29"/>
  <c r="H26" s="1"/>
  <c r="H25" s="1"/>
  <c r="H52" s="1"/>
  <c r="H53" s="1"/>
  <c r="H54" s="1"/>
  <c r="G14" i="7" l="1"/>
  <c r="H25" i="26"/>
  <c r="H52" s="1"/>
  <c r="H14" i="8" l="1"/>
  <c r="H19" s="1"/>
  <c r="H20" s="1"/>
  <c r="G18" i="7"/>
  <c r="G19" s="1"/>
  <c r="H53" i="26"/>
  <c r="G17" i="7" s="1"/>
  <c r="H17" i="8" s="1"/>
  <c r="G27" i="7" l="1"/>
  <c r="G22"/>
  <c r="G23" s="1"/>
  <c r="H54" i="26"/>
  <c r="F6" i="5" s="1"/>
  <c r="F4" s="1"/>
  <c r="F8" l="1"/>
  <c r="F11"/>
  <c r="F13" l="1"/>
  <c r="G9" s="1"/>
  <c r="G12" s="1"/>
  <c r="F15"/>
  <c r="I42" i="26" l="1"/>
  <c r="I26" s="1"/>
  <c r="I42" i="29"/>
  <c r="I26" s="1"/>
  <c r="I25" s="1"/>
  <c r="I52" s="1"/>
  <c r="I53" s="1"/>
  <c r="I54" s="1"/>
  <c r="F14" i="5"/>
  <c r="I18" i="8"/>
  <c r="H14" i="7" l="1"/>
  <c r="I25" i="26"/>
  <c r="I52" s="1"/>
  <c r="I53" s="1"/>
  <c r="H17" i="7" s="1"/>
  <c r="I17" i="8" s="1"/>
  <c r="I54" i="26" l="1"/>
  <c r="G6" i="5" s="1"/>
  <c r="G4" s="1"/>
  <c r="G11" s="1"/>
  <c r="I14" i="8"/>
  <c r="I19" s="1"/>
  <c r="I20" s="1"/>
  <c r="H18" i="7"/>
  <c r="H19" s="1"/>
  <c r="G8" i="5" l="1"/>
  <c r="H27" i="7"/>
  <c r="H22"/>
  <c r="H23" s="1"/>
  <c r="G15" i="5"/>
  <c r="G13"/>
  <c r="H9" s="1"/>
  <c r="J18" i="8" l="1"/>
  <c r="G14" i="5"/>
  <c r="H12"/>
  <c r="J42" i="29" l="1"/>
  <c r="J26" s="1"/>
  <c r="J25" s="1"/>
  <c r="J52" s="1"/>
  <c r="J42" i="26"/>
  <c r="J26" s="1"/>
  <c r="J53" i="29" l="1"/>
  <c r="J54" s="1"/>
  <c r="I14" i="7"/>
  <c r="J25" i="26"/>
  <c r="J52" s="1"/>
  <c r="I18" i="7" l="1"/>
  <c r="I19" s="1"/>
  <c r="J14" i="8"/>
  <c r="J19" s="1"/>
  <c r="J20" s="1"/>
  <c r="J53" i="26"/>
  <c r="I17" i="7" s="1"/>
  <c r="J17" i="8" s="1"/>
  <c r="I22" i="7" l="1"/>
  <c r="I23" s="1"/>
  <c r="I27"/>
  <c r="J54" i="26"/>
  <c r="H6" i="5" s="1"/>
  <c r="H4" s="1"/>
  <c r="H11" l="1"/>
  <c r="H8"/>
  <c r="H15" l="1"/>
  <c r="H13"/>
  <c r="I9" s="1"/>
  <c r="K18" i="8" l="1"/>
  <c r="H14" i="5"/>
  <c r="I12"/>
  <c r="K42" i="29" l="1"/>
  <c r="K26" s="1"/>
  <c r="K25" s="1"/>
  <c r="K52" s="1"/>
  <c r="K42" i="26"/>
  <c r="K26" s="1"/>
  <c r="K53" i="29" l="1"/>
  <c r="K54" s="1"/>
  <c r="K25" i="26"/>
  <c r="K52" s="1"/>
  <c r="J14" i="7"/>
  <c r="K53" i="26" l="1"/>
  <c r="J17" i="7" s="1"/>
  <c r="K17" i="8" s="1"/>
  <c r="K14"/>
  <c r="K19" l="1"/>
  <c r="K20" s="1"/>
  <c r="K54" i="26"/>
  <c r="I6" i="5" s="1"/>
  <c r="I4" s="1"/>
  <c r="J18" i="7"/>
  <c r="J19" s="1"/>
  <c r="I11" i="5" l="1"/>
  <c r="I8"/>
  <c r="J22" i="7"/>
  <c r="J23" s="1"/>
  <c r="J27"/>
  <c r="I15" i="5" l="1"/>
  <c r="I13"/>
  <c r="J9" s="1"/>
  <c r="I14" l="1"/>
  <c r="L18" i="8"/>
  <c r="J13" i="5"/>
  <c r="K8" s="1"/>
  <c r="J12"/>
  <c r="L42" i="26" l="1"/>
  <c r="L26" s="1"/>
  <c r="L42" i="29"/>
  <c r="L26" s="1"/>
  <c r="L25" s="1"/>
  <c r="L52" s="1"/>
  <c r="L25" i="26" l="1"/>
  <c r="L52" s="1"/>
  <c r="K14" i="7"/>
  <c r="L53" i="29"/>
  <c r="L54" s="1"/>
  <c r="L53" i="26" l="1"/>
  <c r="K17" i="7" s="1"/>
  <c r="L17" i="8" s="1"/>
  <c r="L14"/>
  <c r="L54" i="26" l="1"/>
  <c r="J6" i="5" s="1"/>
  <c r="J4" s="1"/>
  <c r="J8" s="1"/>
  <c r="K18" i="7"/>
  <c r="K19" s="1"/>
  <c r="L19" i="8"/>
  <c r="L20" s="1"/>
  <c r="E21" s="1"/>
  <c r="K22" i="7" l="1"/>
  <c r="K23" s="1"/>
  <c r="L23" s="1"/>
  <c r="M23" s="1"/>
  <c r="N23" s="1"/>
  <c r="O23" s="1"/>
  <c r="P23" s="1"/>
  <c r="Q23" s="1"/>
  <c r="R23" s="1"/>
  <c r="C21"/>
  <c r="C20"/>
  <c r="K27"/>
  <c r="T6" i="1" l="1"/>
  <c r="T17"/>
  <c r="T11"/>
  <c r="N32"/>
  <c r="S29"/>
  <c r="N31"/>
  <c r="T5"/>
  <c r="T16"/>
  <c r="T10"/>
  <c r="S20"/>
</calcChain>
</file>

<file path=xl/sharedStrings.xml><?xml version="1.0" encoding="utf-8"?>
<sst xmlns="http://schemas.openxmlformats.org/spreadsheetml/2006/main" count="993" uniqueCount="616">
  <si>
    <t>BẢNG 1: CÁC THÔNG SỐ ĐẦU VÀO CỦA DỰ ÁN</t>
  </si>
  <si>
    <t>Thông số về dự án và vận hành dự án</t>
  </si>
  <si>
    <t>Phương án trả nợ</t>
  </si>
  <si>
    <t>TT</t>
  </si>
  <si>
    <t>Thời gian xây dựng</t>
  </si>
  <si>
    <t>Tổng cộng</t>
  </si>
  <si>
    <t>STT</t>
  </si>
  <si>
    <t>KHOẢN MỤC</t>
  </si>
  <si>
    <t>NĂM ĐẦU TƯ</t>
  </si>
  <si>
    <t>NĂM HOẠT ĐỘNG</t>
  </si>
  <si>
    <t>Trước thuế</t>
  </si>
  <si>
    <t>VAT</t>
  </si>
  <si>
    <t>Sau thuế</t>
  </si>
  <si>
    <t>Tỷ trọng</t>
  </si>
  <si>
    <t>Địa điểm xây dựng:</t>
  </si>
  <si>
    <t>I</t>
  </si>
  <si>
    <t>Khoản vay NHTM và nước ngoài</t>
  </si>
  <si>
    <t>Năm XDCB</t>
  </si>
  <si>
    <t>A</t>
  </si>
  <si>
    <t>Tổng nhu cầu vốn trong thời gian xây dựng</t>
  </si>
  <si>
    <t>Xây lắp</t>
  </si>
  <si>
    <t>Nguồn trả nợ</t>
  </si>
  <si>
    <t>Dòng tiền vào</t>
  </si>
  <si>
    <t>Tổng mức đầu tư chưa bao gồm lãi vay</t>
  </si>
  <si>
    <t xml:space="preserve">Thời gian cho vay </t>
  </si>
  <si>
    <t>năm</t>
  </si>
  <si>
    <t>-</t>
  </si>
  <si>
    <t>Khấu hao cơ bản</t>
  </si>
  <si>
    <t>Doanh thu</t>
  </si>
  <si>
    <t>- Doanh thu</t>
  </si>
  <si>
    <t>NPV</t>
  </si>
  <si>
    <t>Chỉ tiêu về chế độ dự án</t>
  </si>
  <si>
    <t>Thời gian trả nợ</t>
  </si>
  <si>
    <t>Thiết bị</t>
  </si>
  <si>
    <t>Chi phí hoạt động</t>
  </si>
  <si>
    <t>- DAR</t>
  </si>
  <si>
    <t>IRR</t>
  </si>
  <si>
    <t>Công suất thiết kế</t>
  </si>
  <si>
    <t>Thời gian ân hạn</t>
  </si>
  <si>
    <t xml:space="preserve"> Các khoản phải thu AR </t>
  </si>
  <si>
    <t>- Thanh lý tài sản</t>
  </si>
  <si>
    <t>CSTK</t>
  </si>
  <si>
    <t>III</t>
  </si>
  <si>
    <t>DAR = AR1 - AR2</t>
  </si>
  <si>
    <t>- Hoàn thuế VAT</t>
  </si>
  <si>
    <t>Khi tăng lãi suất</t>
  </si>
  <si>
    <t>IV</t>
  </si>
  <si>
    <t>Chi phí</t>
  </si>
  <si>
    <t>Cân đối trả nợ</t>
  </si>
  <si>
    <t xml:space="preserve">Các khoản phải trả AP </t>
  </si>
  <si>
    <t>Tổng ngân lưu vào</t>
  </si>
  <si>
    <t>KHCB</t>
  </si>
  <si>
    <t>DAP = AP1 - AP2</t>
  </si>
  <si>
    <t>Dòng tiền ra</t>
  </si>
  <si>
    <t>Lợi nhuận sau thuế dùng trả nợ</t>
  </si>
  <si>
    <t>LT thuần</t>
  </si>
  <si>
    <t xml:space="preserve">Cân đối tiền mặt CB </t>
  </si>
  <si>
    <t>- Chi phí đầu tư</t>
  </si>
  <si>
    <t>Dự phòng</t>
  </si>
  <si>
    <t>Nguồn khác (.............)</t>
  </si>
  <si>
    <t>trđ</t>
  </si>
  <si>
    <t>DCB = CB2 - CB1</t>
  </si>
  <si>
    <t>- Chi phí hoạt động</t>
  </si>
  <si>
    <t>Lãi vay trong thời gian thi công</t>
  </si>
  <si>
    <t>*</t>
  </si>
  <si>
    <t>V</t>
  </si>
  <si>
    <t>Chi phí sử dụng VTC (chi phí cơ hội)</t>
  </si>
  <si>
    <t>- DAP</t>
  </si>
  <si>
    <t>B</t>
  </si>
  <si>
    <t>Cơ cấu nguồn vốn</t>
  </si>
  <si>
    <t>Lãi suất vay vốn cố định</t>
  </si>
  <si>
    <t>- DCB</t>
  </si>
  <si>
    <t>Khi giảm giá bán</t>
  </si>
  <si>
    <t>- Thuế TNDN</t>
  </si>
  <si>
    <t>II</t>
  </si>
  <si>
    <t>Chi phí dự phòng</t>
  </si>
  <si>
    <t>Tổng ngân lưu ra</t>
  </si>
  <si>
    <t>2.1</t>
  </si>
  <si>
    <t>Cơ cấu vốn vay NHTM</t>
  </si>
  <si>
    <t>Ngân lưu ròng</t>
  </si>
  <si>
    <t>Đầu tư XDCB</t>
  </si>
  <si>
    <t>DT</t>
  </si>
  <si>
    <t>Tỷ suất chiết khấu (WACC)</t>
  </si>
  <si>
    <t>Thời hạn cho vay</t>
  </si>
  <si>
    <t>Lãi vay trong thời gian xây dựng</t>
  </si>
  <si>
    <t>2.2</t>
  </si>
  <si>
    <t>Dòng tiền chiết khẩu</t>
  </si>
  <si>
    <t>Dòng tiền chiết khấu lũy kế</t>
  </si>
  <si>
    <t>Thuế TNDN</t>
  </si>
  <si>
    <t>Thời gian hoàn vốn</t>
  </si>
  <si>
    <t>Hồ sơ biến đổi</t>
  </si>
  <si>
    <t>Khi chi phí hoạt động tăng</t>
  </si>
  <si>
    <t>Tăng tổng mức đầu tư</t>
  </si>
  <si>
    <t>Giá bán giảm</t>
  </si>
  <si>
    <t>Thông số về vốn lưu động</t>
  </si>
  <si>
    <t>Khoản phải thu</t>
  </si>
  <si>
    <t>Khoản phải trả</t>
  </si>
  <si>
    <t>CP</t>
  </si>
  <si>
    <t>Cân đối tiền mặt</t>
  </si>
  <si>
    <t>Vòng quay VLĐ</t>
  </si>
  <si>
    <t>Vòng/năm</t>
  </si>
  <si>
    <t>Thông số về thuế</t>
  </si>
  <si>
    <t>- Vay NHTM trong nước</t>
  </si>
  <si>
    <t>- Trả nợ NHTM trong nước</t>
  </si>
  <si>
    <r>
      <t>NPV</t>
    </r>
    <r>
      <rPr>
        <vertAlign val="superscript"/>
        <sz val="10"/>
        <rFont val="Times New Roman"/>
        <family val="1"/>
      </rPr>
      <t>EPV</t>
    </r>
  </si>
  <si>
    <r>
      <t>IRR</t>
    </r>
    <r>
      <rPr>
        <vertAlign val="superscript"/>
        <sz val="10"/>
        <rFont val="Times New Roman"/>
        <family val="1"/>
      </rPr>
      <t>EPV</t>
    </r>
  </si>
  <si>
    <t>Chi phi khác</t>
  </si>
  <si>
    <t>Lãi vay VLĐ</t>
  </si>
  <si>
    <t>Chi phí nguyên, nhiên vật liệu</t>
  </si>
  <si>
    <t>Vốn lưu động (4-6+8+10)</t>
  </si>
  <si>
    <t xml:space="preserve"> Tồn kho hàng hóa</t>
  </si>
  <si>
    <t>Tỷ lệ giảm sản lượng</t>
  </si>
  <si>
    <t>Nhu cầu vay vốn</t>
  </si>
  <si>
    <t>VLĐ</t>
  </si>
  <si>
    <t xml:space="preserve">Nhu cầu vay vốn </t>
  </si>
  <si>
    <t>Hiệu quả của dự án</t>
  </si>
  <si>
    <t>Vòng quay hàng tồn kho</t>
  </si>
  <si>
    <t>Đơn vị</t>
  </si>
  <si>
    <t>Chi phí quản lý doanh nghiệp</t>
  </si>
  <si>
    <t>Vốn vay NHTM</t>
  </si>
  <si>
    <t>Vốn vay nội tệ NHTM</t>
  </si>
  <si>
    <t>Thông số về vốn đầu tư và nguồn vốn</t>
  </si>
  <si>
    <t>BẢNG 7: DÒNG TIỀN THEO QUAN ĐIỂM CHỦ ĐẦU TƯ (EPV)</t>
  </si>
  <si>
    <t>Nội dung</t>
  </si>
  <si>
    <t xml:space="preserve">Vay Agribank </t>
  </si>
  <si>
    <t>Vốn tự có tham gia dự án (không tính VAT)</t>
  </si>
  <si>
    <t xml:space="preserve">Tỷ trọng </t>
  </si>
  <si>
    <t>C/Phí nguyên vật liệu đầu vào</t>
  </si>
  <si>
    <t>Chi phí sản xuất chung</t>
  </si>
  <si>
    <t>Chi phí bán hàng</t>
  </si>
  <si>
    <t>(Tính cho 1 năm hoạt động)</t>
  </si>
  <si>
    <t xml:space="preserve">                           Đơn vị tính: 1000 đồng</t>
  </si>
  <si>
    <t>Khoản mục chi phí</t>
  </si>
  <si>
    <t>Diễn giải</t>
  </si>
  <si>
    <t xml:space="preserve">Thành tiền </t>
  </si>
  <si>
    <t>Chi phí nhân viên quản lý + phục vụ</t>
  </si>
  <si>
    <t>Tiền điện, nước, điện thoại, fax</t>
  </si>
  <si>
    <t xml:space="preserve">50.000.000 đ/tháng x 12 tháng </t>
  </si>
  <si>
    <t>Văn phòng phẩm + báo, tạp chí</t>
  </si>
  <si>
    <t xml:space="preserve">10.000.000 đ/tháng x 12 tháng </t>
  </si>
  <si>
    <t xml:space="preserve">Công tác phí </t>
  </si>
  <si>
    <t>Hoá đơn, chứng từ, in ấn...</t>
  </si>
  <si>
    <t xml:space="preserve">7.000.000 đ/tháng x 12 tháng </t>
  </si>
  <si>
    <t>Chi phí hội họp, hội nghị</t>
  </si>
  <si>
    <t>Trang bị, sửa chữa dụng cụ văn phòng</t>
  </si>
  <si>
    <t xml:space="preserve">20.000.000 đ/tháng x 12 tháng </t>
  </si>
  <si>
    <t>Bảo hiểm máy móc thiết bị</t>
  </si>
  <si>
    <t>0,25%Tbi + 0,5%Cháy nổ</t>
  </si>
  <si>
    <t>Nâng cao tay nghề, huấn luyện an toàn lao động</t>
  </si>
  <si>
    <t>Chi sáng kiến cải tiến kỹ thuật</t>
  </si>
  <si>
    <t>Chi phí nghiên cứu chạy thử</t>
  </si>
  <si>
    <t>Chi khác bằng tiền</t>
  </si>
  <si>
    <t xml:space="preserve">Tổng cộng </t>
  </si>
  <si>
    <t>Đơn vị tính: 1000 đồng</t>
  </si>
  <si>
    <t>Số TT</t>
  </si>
  <si>
    <t>Hạng mục</t>
  </si>
  <si>
    <t>Cộng</t>
  </si>
  <si>
    <t>Ghi chú</t>
  </si>
  <si>
    <t>Chi phí vận tải tiêu thụ nội địa</t>
  </si>
  <si>
    <t>1.1</t>
  </si>
  <si>
    <t>Vận tải vào TPHCM và các vùng lân cận (10%)</t>
  </si>
  <si>
    <t>1000.000 đ/tấn</t>
  </si>
  <si>
    <t>1.2</t>
  </si>
  <si>
    <t>600.000 đ/tấn</t>
  </si>
  <si>
    <t>1.3</t>
  </si>
  <si>
    <t>150.000 đ/tấn</t>
  </si>
  <si>
    <t>Chi phí vận tải, xếp dỡ hàng tiêu thụ xuất khẩu (20%)</t>
  </si>
  <si>
    <t>Lương nhân viên bán hàng</t>
  </si>
  <si>
    <t>0,5% doanh thu bán hàng</t>
  </si>
  <si>
    <t>Quảng cáo</t>
  </si>
  <si>
    <t>1% doanh thu bán hàng</t>
  </si>
  <si>
    <t>Khuyến mại</t>
  </si>
  <si>
    <t>2% doanh thu bán hàng</t>
  </si>
  <si>
    <t>Chi phí đi lại, công tác phí và nghiên cứu thị trường</t>
  </si>
  <si>
    <t>Chi phí điện thoại, fax và khác</t>
  </si>
  <si>
    <t>Chi phí tiếp khách, hội nghị KH, hội trợ triển lãm ...</t>
  </si>
  <si>
    <t>Tổng chi phí</t>
  </si>
  <si>
    <t>ĐVT</t>
  </si>
  <si>
    <t>Số lượng</t>
  </si>
  <si>
    <t>Giá bán 
(1000 đ)</t>
  </si>
  <si>
    <t>Doanh thu 
(1000 đ)</t>
  </si>
  <si>
    <t>Đơn giá
 tiền lương 
(1000 đ)</t>
  </si>
  <si>
    <t>Quỹ lương 
(1000 đ)</t>
  </si>
  <si>
    <t>Tổng quỹ tiền lương SX</t>
  </si>
  <si>
    <t>Sản lượng sản xuất QTC</t>
  </si>
  <si>
    <t>Tấn</t>
  </si>
  <si>
    <t>Tiền lương bán hàng</t>
  </si>
  <si>
    <t>Tiền lương lễ + phép</t>
  </si>
  <si>
    <t>( Theo mức lương 850.000đ )</t>
  </si>
  <si>
    <t xml:space="preserve">(550 người x 1,8 x 22 ngày x 850.000 )/24 ngày </t>
  </si>
  <si>
    <t>Tổng cộng quĩ tiền lương</t>
  </si>
  <si>
    <t>( I + II + III )</t>
  </si>
  <si>
    <t xml:space="preserve">Trong đó tiền lương các bộ phận </t>
  </si>
  <si>
    <t>Quản lý doanh nghiệp</t>
  </si>
  <si>
    <t>Quản lý phân xưởng</t>
  </si>
  <si>
    <t>Bảo vệ + Phục vụ + Lái xe con</t>
  </si>
  <si>
    <t xml:space="preserve">Bán hàng </t>
  </si>
  <si>
    <t>Công nhân sản xuất</t>
  </si>
  <si>
    <t>Cộng :</t>
  </si>
  <si>
    <t>(Không kể lãi vay ngân hàng và khấu hao TSCĐ)</t>
  </si>
  <si>
    <t>Đơn giá
(1000đ)</t>
  </si>
  <si>
    <t>Định mức 
tiêu hao</t>
  </si>
  <si>
    <t>Giá thành
 (1000đ)</t>
  </si>
  <si>
    <t>Tổng chi phí
(1000đ)</t>
  </si>
  <si>
    <t>Chi phí trực tiếp</t>
  </si>
  <si>
    <t>Nguyên liệu trong nước</t>
  </si>
  <si>
    <t>Cát trắng</t>
  </si>
  <si>
    <t>Fenspat</t>
  </si>
  <si>
    <t>Đô lô mít</t>
  </si>
  <si>
    <t>1.4</t>
  </si>
  <si>
    <t>Đá vôi</t>
  </si>
  <si>
    <t>1.5</t>
  </si>
  <si>
    <t>Than</t>
  </si>
  <si>
    <t>1.6</t>
  </si>
  <si>
    <t>Kính vụn</t>
  </si>
  <si>
    <t>Nguyên liệu nhập ngoại</t>
  </si>
  <si>
    <t>Sô đa</t>
  </si>
  <si>
    <t>Sun phát Natri</t>
  </si>
  <si>
    <t>2.3</t>
  </si>
  <si>
    <t>Hoá chất tạo màu</t>
  </si>
  <si>
    <t>Nhiên liệu</t>
  </si>
  <si>
    <t>3.1</t>
  </si>
  <si>
    <t>Khí thiên nhiên</t>
  </si>
  <si>
    <t>M3</t>
  </si>
  <si>
    <t>3.2</t>
  </si>
  <si>
    <t>Dầu</t>
  </si>
  <si>
    <t>Điện sản xuất</t>
  </si>
  <si>
    <t>Kwh</t>
  </si>
  <si>
    <t>Chi phí SX Nitơ và Hiđro</t>
  </si>
  <si>
    <t>Thiếc</t>
  </si>
  <si>
    <t>Kg</t>
  </si>
  <si>
    <t>Bao bì</t>
  </si>
  <si>
    <t xml:space="preserve"> 1000 đồng</t>
  </si>
  <si>
    <t>Chi phí nhân công trực tiếp</t>
  </si>
  <si>
    <t>C</t>
  </si>
  <si>
    <t>Giá thành công xưởng</t>
  </si>
  <si>
    <t>D</t>
  </si>
  <si>
    <t>E</t>
  </si>
  <si>
    <t>Định mức</t>
  </si>
  <si>
    <t>Đơn giá  (1000đ)</t>
  </si>
  <si>
    <t>Thành tiền (1000.đồng)</t>
  </si>
  <si>
    <t>Chi phí lương quản lý phân xưởng</t>
  </si>
  <si>
    <t>Quần áo bảo hộ lao động</t>
  </si>
  <si>
    <t>bộ/người</t>
  </si>
  <si>
    <t>Giày, mũ, găng tay</t>
  </si>
  <si>
    <t>Công cụ, dụng cụ khác (kể cả dụng cụ thí nghiệm)</t>
  </si>
  <si>
    <t>1.000đ /tháng</t>
  </si>
  <si>
    <t>Chi phí dầu mỡ bôi trơn, dầu DO chạy máy phát, dầu Do phục vụ xe máy, dầu thuỷ lực, hoá chất thí nghiệm, vật tư phụ,...</t>
  </si>
  <si>
    <t>Chi phí nước sản xuất</t>
  </si>
  <si>
    <t>1000đ/m3</t>
  </si>
  <si>
    <t>Chi phí bảo dưỡng, sửa chữa thường xuyên và phụ tùng thay thế</t>
  </si>
  <si>
    <t>Chi phí bảo dưỡng khu công nghiệp</t>
  </si>
  <si>
    <t>USD/m2</t>
  </si>
  <si>
    <t>Chi phí sử lý nước thải</t>
  </si>
  <si>
    <t>Chi phí trích lập dự phòng sửa chữa lớn</t>
  </si>
  <si>
    <t>1.000đ</t>
  </si>
  <si>
    <t xml:space="preserve">Chi phí bằng tiền khác </t>
  </si>
  <si>
    <t>Chi phí xây dựng</t>
  </si>
  <si>
    <t>Khấu hao</t>
  </si>
  <si>
    <t>Vốn vay cá nhân</t>
  </si>
  <si>
    <t>Chi phí quản lý dự án</t>
  </si>
  <si>
    <t>F</t>
  </si>
  <si>
    <t>Tổng mức đầu tư</t>
  </si>
  <si>
    <t>Chủng loại kính</t>
  </si>
  <si>
    <t>Kg/m2</t>
  </si>
  <si>
    <t>Tỷ lệ</t>
  </si>
  <si>
    <t>Giá bán 
(đồng)</t>
  </si>
  <si>
    <t>Giá dự án</t>
  </si>
  <si>
    <t>Giá bán Bình quân tấn/m2QTC
 (đồng)</t>
  </si>
  <si>
    <t>Kính trắng 2mm</t>
  </si>
  <si>
    <t>Kính trắng 4mm</t>
  </si>
  <si>
    <t>Kính mầu 4mm</t>
  </si>
  <si>
    <t>Kính trắng 5 mm</t>
  </si>
  <si>
    <t>Kính mầu 5 mm</t>
  </si>
  <si>
    <t>Kính trắng 6 mm</t>
  </si>
  <si>
    <t>Kính trắng 7 mm</t>
  </si>
  <si>
    <t>Kính mầu 7 mm</t>
  </si>
  <si>
    <t>Kính trắng 8 mm</t>
  </si>
  <si>
    <t>Kính mầu 8 mm</t>
  </si>
  <si>
    <t>Kính trắng 9 mm</t>
  </si>
  <si>
    <t>Kính trắng 10 mm</t>
  </si>
  <si>
    <t>Kính mầu 10 mm</t>
  </si>
  <si>
    <t>Kính trắng 10 mm (khổ lớn)</t>
  </si>
  <si>
    <t>Kính trắng 12 mm</t>
  </si>
  <si>
    <t>Kính mầu 12 mm</t>
  </si>
  <si>
    <t>Kính trắng 12 mm (khổ lớn)</t>
  </si>
  <si>
    <t>Kính trắng 15 mm</t>
  </si>
  <si>
    <t>Kính trắng 19mm</t>
  </si>
  <si>
    <t>Giá bán thưc tế BQ/m2QTC</t>
  </si>
  <si>
    <t>Tổng sản lượng dự kiến 1 năm</t>
  </si>
  <si>
    <t>Giá bán thực tế BQ/tấn SP QTC</t>
  </si>
  <si>
    <t>Giá bán nội địa DA/tấn QTC</t>
  </si>
  <si>
    <t>Giá bán thực tế</t>
  </si>
  <si>
    <t>Giá bán xuất khẩu DA/tấn QTC</t>
  </si>
  <si>
    <t>Giá bán bình quân DA/tấn QTC</t>
  </si>
  <si>
    <t>đồng/m2</t>
  </si>
  <si>
    <t>Lãi vay vốn lưu động</t>
  </si>
  <si>
    <t>Năm 2018</t>
  </si>
  <si>
    <t>Năm 2019</t>
  </si>
  <si>
    <r>
      <t>NPV</t>
    </r>
    <r>
      <rPr>
        <vertAlign val="superscript"/>
        <sz val="10"/>
        <rFont val="Times New Roman"/>
        <family val="1"/>
      </rPr>
      <t>TIP -15 năm</t>
    </r>
  </si>
  <si>
    <r>
      <t>IRR</t>
    </r>
    <r>
      <rPr>
        <vertAlign val="superscript"/>
        <sz val="10"/>
        <rFont val="Times New Roman"/>
        <family val="1"/>
      </rPr>
      <t>TIP- 15 năm</t>
    </r>
  </si>
  <si>
    <t>Năm 2020</t>
  </si>
  <si>
    <t>Năm 2021</t>
  </si>
  <si>
    <t>Năm 2022</t>
  </si>
  <si>
    <t>Năm 2023</t>
  </si>
  <si>
    <t>Năm 2024</t>
  </si>
  <si>
    <t>Năm 2025</t>
  </si>
  <si>
    <t>Năm 2026</t>
  </si>
  <si>
    <t>Năm 2027</t>
  </si>
  <si>
    <t>Năm 2028</t>
  </si>
  <si>
    <t>Năm 2029</t>
  </si>
  <si>
    <t>Năm 2030</t>
  </si>
  <si>
    <t>Năm 2031</t>
  </si>
  <si>
    <t>Giá bán bình quân sản phẩm</t>
  </si>
  <si>
    <t>Tăng lãi suất cho vay</t>
  </si>
  <si>
    <t>Chi phí nguyên liệu đầu vào tăng</t>
  </si>
  <si>
    <t xml:space="preserve"> Tổng mức ĐT </t>
  </si>
  <si>
    <t>Số tiền</t>
  </si>
  <si>
    <t xml:space="preserve"> Tỷ trọng </t>
  </si>
  <si>
    <t xml:space="preserve">Vốn tự có </t>
  </si>
  <si>
    <t>Chi phí tư vấn dự án</t>
  </si>
  <si>
    <t xml:space="preserve"> Trả nợ gốc theo nguồn ngân lưu thực tế của dự án</t>
  </si>
  <si>
    <t>Tổng giá bán bình quân</t>
  </si>
  <si>
    <t>Giá bán bq kính trắng</t>
  </si>
  <si>
    <t>Giá bán bq kính màu</t>
  </si>
  <si>
    <t>BẢNG 6: NHU CẦU VỐN LƯU ĐỘNG</t>
  </si>
  <si>
    <t>BẢNG 7: DÒNG TIỀN THEO QUAN ĐIỂM TỔNG ĐẦU TƯ (TIP)</t>
  </si>
  <si>
    <t>Bảng 8: Phân tích độ nhạy dự án</t>
  </si>
  <si>
    <t>BẢNG 9: CHI PHÍ SX CHUNG</t>
  </si>
  <si>
    <t>BẢNG 10: CHI PHÍ QUẢN LÝ</t>
  </si>
  <si>
    <t>BẢNG 11: CHI PHÍ BÁN HÀNG</t>
  </si>
  <si>
    <t>BẢNG 12: SẢN LƯỢNG SẢN XUẤT VÀ CHI PHÍ TIỀN LƯƠNG CHO NĂM HOẠT ĐỘNG ỔN ĐỊNH</t>
  </si>
  <si>
    <t>BẢNG 13: CHI PHÍ SẢN XUẤT CHO 1 TẤN KÍNH TRẮNG</t>
  </si>
  <si>
    <t>BẢNG 14: CHI PHÍ SẢN XUẤT CHO 1 TẤN KÍNH MÀU</t>
  </si>
  <si>
    <t>BẢNG 15: TÍNH GIÁ BÁN</t>
  </si>
  <si>
    <t>Vận tải vào Miền Trung (10%)</t>
  </si>
  <si>
    <t>Vận tải miền Bắc đến Hà Nội và vùng lân cận (60%)</t>
  </si>
  <si>
    <t>Địa điểm vận chuyển</t>
  </si>
  <si>
    <t>TPHCM và vùng lân cận</t>
  </si>
  <si>
    <t>Miền Trung</t>
  </si>
  <si>
    <t>Miền bắc, Hà Nội và lân cận</t>
  </si>
  <si>
    <t>1.000.0000 đ/tấn</t>
  </si>
  <si>
    <t>150.000đ/tấn</t>
  </si>
  <si>
    <t>Giá cước vận chuyển hàng hóa</t>
  </si>
  <si>
    <t>Tỷ lệ tiêu thụ</t>
  </si>
  <si>
    <t xml:space="preserve">Xuất khẩu </t>
  </si>
  <si>
    <t>Thông số</t>
  </si>
  <si>
    <t>II. Trả nợ Agribank</t>
  </si>
  <si>
    <t>1. Khấu hao cơ bản</t>
  </si>
  <si>
    <t>1. Dư nợ đầu kỳ</t>
  </si>
  <si>
    <t xml:space="preserve">3. Trả Gốc </t>
  </si>
  <si>
    <t>4. Lãi vay</t>
  </si>
  <si>
    <t xml:space="preserve">1. Gốc </t>
  </si>
  <si>
    <t>2. Lãi vay</t>
  </si>
  <si>
    <t xml:space="preserve">Khấu hao </t>
  </si>
  <si>
    <t>Khấu hao và lãi vay</t>
  </si>
  <si>
    <t>Nhiên liệu (Dầu, khí)</t>
  </si>
  <si>
    <t>Điện</t>
  </si>
  <si>
    <t>Nhân công , quản lý, chung</t>
  </si>
  <si>
    <t>Bán hàng</t>
  </si>
  <si>
    <t>Nguyên liệu (cát, fenpast, đolomit. Natri snffat.)</t>
  </si>
  <si>
    <t>Hóa chất ( soda, tạo màu)</t>
  </si>
  <si>
    <t xml:space="preserve">Tổng </t>
  </si>
  <si>
    <t>Giá thành
(nghìn đồng)</t>
  </si>
  <si>
    <t>Quyền phán quyết cấp tín dụng theo QĐ số 31/QĐ-HĐTV-KHDN ngày 15/01/2014 và Thông báo số 371/NHNo-KHDN ngày 20/01/2016</t>
  </si>
  <si>
    <t>KHDN Xếp loại A</t>
  </si>
  <si>
    <t>Tổng mức cấp tín dụng</t>
  </si>
  <si>
    <t>Tổng mức cấp TD đến thời điểm  xin vay (1)</t>
  </si>
  <si>
    <t>Đề xuất mớí (2)</t>
  </si>
  <si>
    <t>Tổng mức cấp tín dụng (1)+(2)</t>
  </si>
  <si>
    <t>Tổng giám đốc</t>
  </si>
  <si>
    <t>Agribank Chi nhánh Sở Giao dịch</t>
  </si>
  <si>
    <t>Agribank Chi nhánh Quảng Nam</t>
  </si>
  <si>
    <t>TGĐ  phải qua Hội đồng tín dụng</t>
  </si>
  <si>
    <t>Hội đồng thành viên</t>
  </si>
  <si>
    <t>2.078 tỷ đồng</t>
  </si>
  <si>
    <t> 2.078 tỷ đồng</t>
  </si>
  <si>
    <t>≤ 120 tỷ đồng</t>
  </si>
  <si>
    <t>≤ 150 tỷ đồng</t>
  </si>
  <si>
    <t>≤ 500 tỷ đồng</t>
  </si>
  <si>
    <t>≤ 1000 tỷ đồng</t>
  </si>
  <si>
    <t>&gt; 1000 tỷ đồng</t>
  </si>
  <si>
    <t>Công ty TNHH Công nghiệp Hạ Long CFG
 (khách hàng xếp loại A)</t>
  </si>
  <si>
    <t>Chỉ tiêu đánh giá</t>
  </si>
  <si>
    <t>4. Dư nợ cuối kỳ</t>
  </si>
  <si>
    <t>III. Tổng trả nợ gốc</t>
  </si>
  <si>
    <t>I. Nguồn trả nợ gốc</t>
  </si>
  <si>
    <t>2. Lợi nhuận sau thuế</t>
  </si>
  <si>
    <t>BẢNG 5: KẾ HOẠCH TRẢ NỢ GỐC</t>
  </si>
  <si>
    <t>2. Giải ngân trong kỳ</t>
  </si>
  <si>
    <t>Sản phẩm</t>
  </si>
  <si>
    <t>Giá bán nước cho sinh hoạt</t>
  </si>
  <si>
    <t>Giá bán nước cho nhu cầu thương mại</t>
  </si>
  <si>
    <t>Giá bán nước cho công cộng và công sở</t>
  </si>
  <si>
    <t>Giá bán nước cho công nghiệp</t>
  </si>
  <si>
    <t>Xây dựng</t>
  </si>
  <si>
    <t>Đơn vị: triệu đồng</t>
  </si>
  <si>
    <t>1. Chi tiết các hạng chi phí của dự án đầu tư</t>
  </si>
  <si>
    <t>Hạng mục đầu tư</t>
  </si>
  <si>
    <t>Giá trị đầu tư trước thuế</t>
  </si>
  <si>
    <t>Giá trị đầu tư  sau thuế</t>
  </si>
  <si>
    <t>2</t>
  </si>
  <si>
    <t>2. Các hạng mục sau khi phân bổ lại chi phí đầu tư</t>
  </si>
  <si>
    <t>1</t>
  </si>
  <si>
    <t>Hạng mục xây dựng</t>
  </si>
  <si>
    <t xml:space="preserve"> Bảng 3: Kế hoạch khấu hao</t>
  </si>
  <si>
    <t xml:space="preserve"> Chỉ tiêu</t>
  </si>
  <si>
    <t xml:space="preserve">Giá trị </t>
  </si>
  <si>
    <t xml:space="preserve"> Thời gian khấu hao </t>
  </si>
  <si>
    <t xml:space="preserve"> Năm hoạt động</t>
  </si>
  <si>
    <t>Năm 2032</t>
  </si>
  <si>
    <t>Chỉ tiêu</t>
  </si>
  <si>
    <t>Giá trị</t>
  </si>
  <si>
    <t>Thời gian thực hiện</t>
  </si>
  <si>
    <t>Tổng mức đầu tư sau thuế</t>
  </si>
  <si>
    <t>Tổng mức đầu tư trước thuế</t>
  </si>
  <si>
    <t>Tiến độ thực hiện dự án</t>
  </si>
  <si>
    <t>Tiến độ vốn đối ứng</t>
  </si>
  <si>
    <t>Tiến độ giải ngân vốn vay</t>
  </si>
  <si>
    <t>Vay ngân hàng</t>
  </si>
  <si>
    <t>Tổng lãi vay phải trả</t>
  </si>
  <si>
    <t>Thanh Hóa</t>
  </si>
  <si>
    <t xml:space="preserve">ĐẦU TƯ XÂY DỰNG TRANG TRẠI GÀ XUÂN PHÚ </t>
  </si>
  <si>
    <t>GIAI ĐOẠN 1: CÔNG SUẤT 60.000 CON</t>
  </si>
  <si>
    <t>Giá trị đầu tư sau thuế</t>
  </si>
  <si>
    <t xml:space="preserve"> </t>
  </si>
  <si>
    <t>Hạ tầng</t>
  </si>
  <si>
    <t>San nền</t>
  </si>
  <si>
    <t>Đường giao thông nội bộ</t>
  </si>
  <si>
    <t>Thoát nước ngoài nhà</t>
  </si>
  <si>
    <t>Bờ kè</t>
  </si>
  <si>
    <t>Cấp nước ngoài nhà</t>
  </si>
  <si>
    <t>Cấp điện, chiếu sáng ngoài nhà</t>
  </si>
  <si>
    <t>Cảnh quan giai đoạn 1</t>
  </si>
  <si>
    <t>Đường giao thông quy hoạch</t>
  </si>
  <si>
    <t>Chuồng trại</t>
  </si>
  <si>
    <t>Nhà máy ấp trứng</t>
  </si>
  <si>
    <t>Trại gà hậu bị 1</t>
  </si>
  <si>
    <t>Trại gà đẻ 1</t>
  </si>
  <si>
    <t>Trại gà đẻ 2</t>
  </si>
  <si>
    <t>Nhà trưởng trại 1,2 (2 nhà)</t>
  </si>
  <si>
    <t>Kho chứa đệm lót cơ khí</t>
  </si>
  <si>
    <t>Nhà quản lý điều hành</t>
  </si>
  <si>
    <t>Nhà ở công nhân</t>
  </si>
  <si>
    <t>Hố sát trùng (3 bể)</t>
  </si>
  <si>
    <t>Cổng, tường rào</t>
  </si>
  <si>
    <t>Bể ngầm (bể ngầm, bể cứu hỏa, hẩm phân)</t>
  </si>
  <si>
    <t>Thiết bị trại gà</t>
  </si>
  <si>
    <t>Thiết bị trạm biến áp</t>
  </si>
  <si>
    <t>Máy phát điện (SL: 2 cái)</t>
  </si>
  <si>
    <t>Thuế Nhập Khẩu máy móc TB (3% GTNK)</t>
  </si>
  <si>
    <t>Dự phòng thiết bị</t>
  </si>
  <si>
    <t>Tiết kiệm chi phí</t>
  </si>
  <si>
    <t>Chi phí quản lý dự án GĐ1</t>
  </si>
  <si>
    <t>Chi phí tư vấn</t>
  </si>
  <si>
    <t>Chi phí khác</t>
  </si>
  <si>
    <t>VI</t>
  </si>
  <si>
    <t>Chi phí dự phòng GĐ1</t>
  </si>
  <si>
    <t>VII</t>
  </si>
  <si>
    <t>Chi phí lãi vay vốn hóa</t>
  </si>
  <si>
    <t>TỔNG MỨC ĐẦU TƯ</t>
  </si>
  <si>
    <t>Giá trị đầu tư 
sau thuế</t>
  </si>
  <si>
    <t>Hạng mục thiết bị</t>
  </si>
  <si>
    <t>Hạng mục chuồng trại</t>
  </si>
  <si>
    <t>Tái đầu tư thiết bị</t>
  </si>
  <si>
    <t>Vốn đối ứng</t>
  </si>
  <si>
    <t>Vay vốn lưu động</t>
  </si>
  <si>
    <t>Tổng nhu cầu vốn cho 1 vòng quay</t>
  </si>
  <si>
    <t>vòng</t>
  </si>
  <si>
    <t>Vòng quay (19 tuần hậu bị + 5 tuần chuyển chuồng + 3 tuần ấp nở)</t>
  </si>
  <si>
    <t>Chi phí vốn lưu động còn lại</t>
  </si>
  <si>
    <t>Vòng quay (2 tuần khử trùng + 6 tuần nuôi)</t>
  </si>
  <si>
    <t>Chi phí cho nuôi gà gia công</t>
  </si>
  <si>
    <t>Tổng nhu cầu vốn lưu động cần thiết</t>
  </si>
  <si>
    <t>Năm</t>
  </si>
  <si>
    <t>Lợi nhuận sau thuế</t>
  </si>
  <si>
    <t>Thuế TNDN (20%)</t>
  </si>
  <si>
    <t xml:space="preserve"> Lợi nhuận trước thuế</t>
  </si>
  <si>
    <t>Chi phí sửa chữa lớn</t>
  </si>
  <si>
    <t xml:space="preserve"> Định phí</t>
  </si>
  <si>
    <t xml:space="preserve"> Chi phí dự phòng (1% DTC)</t>
  </si>
  <si>
    <t>Chi phí khác (0,5% DTC)</t>
  </si>
  <si>
    <t>Chi phí bán hàng (3,0% DTC)</t>
  </si>
  <si>
    <t>Chi phí quản lý (2,0% DTC)</t>
  </si>
  <si>
    <t>Chi phí thẩm định MMTB</t>
  </si>
  <si>
    <t>Chi phí sửa chữa nhỏ, thay thế</t>
  </si>
  <si>
    <t>Chi phí lãi vay (Dài hạn)</t>
  </si>
  <si>
    <t>Chi phí lãi vay vốn lưu động</t>
  </si>
  <si>
    <t>Chi phí thuốc thú y cho gà gia công</t>
  </si>
  <si>
    <t>Chi phí cám cho gà gia công</t>
  </si>
  <si>
    <t>Chi phí trả cho bên chăn nuôi gà</t>
  </si>
  <si>
    <t>Chi phí điện</t>
  </si>
  <si>
    <t>Chi phí lương nhân viên</t>
  </si>
  <si>
    <t>Chi phí thuốc thú y</t>
  </si>
  <si>
    <t>Chi phí thức ăn chăn nuôi</t>
  </si>
  <si>
    <t>Giá mua gà màu giống - trống (EUR)</t>
  </si>
  <si>
    <t>Số lượng gà màu giống - trống</t>
  </si>
  <si>
    <t>Giá mua gà màu giống - mái (EUR)</t>
  </si>
  <si>
    <t>Số lượng gà màu giống - mái</t>
  </si>
  <si>
    <t>Giá mua gà trắng giống (EUR)</t>
  </si>
  <si>
    <t>Số lượng gà trắng giống (con)</t>
  </si>
  <si>
    <t xml:space="preserve">Nhập mua gà giống </t>
  </si>
  <si>
    <t>Biến phí</t>
  </si>
  <si>
    <t xml:space="preserve"> Tổng chi phí</t>
  </si>
  <si>
    <t>Đơn giá (Tỷ lệ tăng giá 2,5%)</t>
  </si>
  <si>
    <t>tấn</t>
  </si>
  <si>
    <t>Khối lượng phân gà thu được</t>
  </si>
  <si>
    <t>Doanh thu từ bán phân gà</t>
  </si>
  <si>
    <t>Đơn giá</t>
  </si>
  <si>
    <t>Số lượng gà bán thịt tận thu</t>
  </si>
  <si>
    <t>Doanh thu từ bán gà thịt tận thu</t>
  </si>
  <si>
    <t>Số lượng trứng loại</t>
  </si>
  <si>
    <t>Doanh thu từ bán trứng loại</t>
  </si>
  <si>
    <t>Doanh số bán gia công thực tế (Độ trễ: 09 tuần)</t>
  </si>
  <si>
    <t>Hao hụt định mức</t>
  </si>
  <si>
    <t>Đơn giá bán gà thịt (Tỷ lệ tăng giá 2,5%)</t>
  </si>
  <si>
    <t>Số lượng gà con lông trắng (Nghìn con)</t>
  </si>
  <si>
    <t>Doanh thu bán gà lông trắng gia công</t>
  </si>
  <si>
    <t>Doanh thu bán gà giống thực tế (Độ trễ: 03 tuần)</t>
  </si>
  <si>
    <t>Đơn giá bán gà con (Tỷ lệ tăng giá 2,5%)</t>
  </si>
  <si>
    <t>Số lượng gà con lông màu (Nghìn con)</t>
  </si>
  <si>
    <t>Doanh thu bán gà giống lông màu</t>
  </si>
  <si>
    <t>Doanh thu chính</t>
  </si>
  <si>
    <t xml:space="preserve"> Tổng Doanh thu</t>
  </si>
  <si>
    <t>Năm thực hiện dự án</t>
  </si>
  <si>
    <t xml:space="preserve"> Bảng 4: Bảng dự kiến Doanh thu, chi phí của dự án</t>
  </si>
  <si>
    <t>Lãi suất vay (Quý)</t>
  </si>
  <si>
    <t>Tỷ lệ vốn đối ứng</t>
  </si>
  <si>
    <t>Vốn vay NH</t>
  </si>
  <si>
    <t>Vốn tự có</t>
  </si>
  <si>
    <t>Kỳ IV (QIV/2018)</t>
  </si>
  <si>
    <t>Kỳ III (QIII/2018)</t>
  </si>
  <si>
    <t>(QII/2018)</t>
  </si>
  <si>
    <t>(QI/2018)</t>
  </si>
  <si>
    <t>Kỳ II
(QIV/2017)</t>
  </si>
  <si>
    <t>Kỳ I
(QIII/2017)</t>
  </si>
  <si>
    <t>Gà màu</t>
  </si>
  <si>
    <t>Gà trắng</t>
  </si>
  <si>
    <t>Đơn vị tính</t>
  </si>
  <si>
    <t>Tỷ lệ gà trống/ gà mái</t>
  </si>
  <si>
    <t>1:9</t>
  </si>
  <si>
    <t>Số trứng thu hoạch</t>
  </si>
  <si>
    <t>4,6</t>
  </si>
  <si>
    <t>Quả /1 tuần/1 con</t>
  </si>
  <si>
    <t>Tỷ lệ trứng đạt/ trứng đẻ ra</t>
  </si>
  <si>
    <t>Tỷ lệ trứng nở ra gà/ trứng vào ấp</t>
  </si>
  <si>
    <t>Giá bán gà con giống</t>
  </si>
  <si>
    <t>7,5</t>
  </si>
  <si>
    <t>Nghìn đồng/ con</t>
  </si>
  <si>
    <t>Giá bán gà thịt</t>
  </si>
  <si>
    <t>Nghìn đồng/ kg</t>
  </si>
  <si>
    <t>Tỷ lệ tăng giá (Tỷ lệ lạm phát)</t>
  </si>
  <si>
    <t>Trọng lượng gà</t>
  </si>
  <si>
    <t>Kg/con</t>
  </si>
  <si>
    <t>Giá bán gà thịt tận thu</t>
  </si>
  <si>
    <t>Số lượng phân gà/con/ngày</t>
  </si>
  <si>
    <t>0,08</t>
  </si>
  <si>
    <t>Giá bán trứng loại</t>
  </si>
  <si>
    <t>1,3</t>
  </si>
  <si>
    <t>Nghìn đồng/quả</t>
  </si>
  <si>
    <t>Giá bán phân gà</t>
  </si>
  <si>
    <t>Nghìn đồng/tấn</t>
  </si>
  <si>
    <t>Đơn giá thức ăn chăn nuôi gà hậu bị</t>
  </si>
  <si>
    <t>Nghìn đồng/kg</t>
  </si>
  <si>
    <t>Đơn giá thức ăn chăn nuôi gà gia công</t>
  </si>
  <si>
    <t>Triệu đồng/người</t>
  </si>
  <si>
    <t>3,3</t>
  </si>
  <si>
    <t>Nghìn đồng/con</t>
  </si>
  <si>
    <t>Chi phí trả cho bên nuôi gia công</t>
  </si>
  <si>
    <t>Nghìn đồng/kg/con</t>
  </si>
  <si>
    <t>Tỷ lệ gà chết sau giai đoạn hậu bị / gà mái</t>
  </si>
  <si>
    <t>Tỷ lệ gà chết sau giai đoạn hậu bị / gà trống</t>
  </si>
  <si>
    <t>Tỷ lệ gà chết sau giai đoạn đẻ/gà mái</t>
  </si>
  <si>
    <t>Tỷ lệ gà chết sau giai đoạn đẻ / gà trống</t>
  </si>
  <si>
    <t>Tỷ giá mua vào chuyển khoản</t>
  </si>
  <si>
    <t>VND/ EUR</t>
  </si>
  <si>
    <t>Giá mua gà giống (CIF) - mái</t>
  </si>
  <si>
    <t>EUR /1 con</t>
  </si>
  <si>
    <t>Giá mua gà giống (CIF) - trống</t>
  </si>
  <si>
    <t>Chi phí vận chuyển + Kiểm định + HQ</t>
  </si>
  <si>
    <t>Số tuần gà đẻ trứng trong 1 năm</t>
  </si>
  <si>
    <t>Tuần</t>
  </si>
  <si>
    <t>Số ngày trong 1 năm</t>
  </si>
  <si>
    <t>Ngày</t>
  </si>
  <si>
    <t>1,0%</t>
  </si>
  <si>
    <t>Chi phí quản lý</t>
  </si>
  <si>
    <t>2,0%</t>
  </si>
  <si>
    <t>3,0%</t>
  </si>
  <si>
    <t>0,5%</t>
  </si>
  <si>
    <t>Chủ đầu tư:  Công ty CP Nông sản Phú Gia</t>
  </si>
  <si>
    <t>con gà bố mẹ</t>
  </si>
  <si>
    <t>Năm đầu</t>
  </si>
  <si>
    <t>Gà giống, gà thịt, trứng và phân gà</t>
  </si>
  <si>
    <t>Các năm tiếp theo</t>
  </si>
  <si>
    <t>Giá gà con lông màu</t>
  </si>
  <si>
    <t>VNĐ/con</t>
  </si>
  <si>
    <t>Giá gà thịt lông trắng</t>
  </si>
  <si>
    <t>VNĐ/kg</t>
  </si>
  <si>
    <t>Giá trứng gà</t>
  </si>
  <si>
    <t>VNĐ/quả</t>
  </si>
  <si>
    <t>Giá phân gà</t>
  </si>
  <si>
    <t>VNĐ/tấn</t>
  </si>
  <si>
    <t>Gà trắng giống</t>
  </si>
  <si>
    <t>EUR/con</t>
  </si>
  <si>
    <t>Gà màu giống - mái</t>
  </si>
  <si>
    <t>Gà màu giống - trống</t>
  </si>
  <si>
    <t>Thức ăn chăn nuôi</t>
  </si>
  <si>
    <t>Thuốc thú y</t>
  </si>
  <si>
    <t>BẢNG 2:  TỔNG MỨC ĐẦU TƯ</t>
  </si>
  <si>
    <t>- Tái đầu tư MMTB</t>
  </si>
  <si>
    <t>Lãi suất tăng</t>
  </si>
  <si>
    <t>BẢNG 9: BẢNG TÍNH LÃI VAY THI CÔNG VÀ LỊCH RÚT VỐN</t>
  </si>
  <si>
    <t>BẢNG 10: MỘT SỐ THÔNG TIN GIẢ ĐỊNH</t>
  </si>
  <si>
    <t>tháng</t>
  </si>
  <si>
    <t>tháng (cả thời gian ân hạn)</t>
  </si>
  <si>
    <t>tháng (không kể thời gian ân hạn)</t>
  </si>
</sst>
</file>

<file path=xl/styles.xml><?xml version="1.0" encoding="utf-8"?>
<styleSheet xmlns="http://schemas.openxmlformats.org/spreadsheetml/2006/main">
  <numFmts count="19">
    <numFmt numFmtId="43" formatCode="_-* #,##0.00_-;\-* #,##0.00_-;_-* &quot;-&quot;??_-;_-@_-"/>
    <numFmt numFmtId="169" formatCode="_(* #,##0_);_(* \(#,##0\);_(* &quot;-&quot;_);_(@_)"/>
    <numFmt numFmtId="171" formatCode="_(* #,##0.00_);_(* \(#,##0.00\);_(* &quot;-&quot;??_);_(@_)"/>
    <numFmt numFmtId="172" formatCode="_(* #,##0_);_(* \(#,##0\);_(* &quot;-&quot;??_);_(@_)"/>
    <numFmt numFmtId="174" formatCode="0.0%"/>
    <numFmt numFmtId="175" formatCode="#,##0.0"/>
    <numFmt numFmtId="176" formatCode="#,##0_ ;\-#,##0\ "/>
    <numFmt numFmtId="177" formatCode="_(* #,##0.000_);_(* \(#,##0.000\);_(* &quot;-&quot;??_);_(@_)"/>
    <numFmt numFmtId="178" formatCode="#,##0.0_);\(#,##0.0\)"/>
    <numFmt numFmtId="179" formatCode="_(* #,##0.0_);_(* \(#,##0.0\);_(* &quot;-&quot;??_);_(@_)"/>
    <numFmt numFmtId="180" formatCode="_-* #,##0_-;\-* #,##0_-;_-* &quot;-&quot;??_-;_-@_-"/>
    <numFmt numFmtId="181" formatCode="#,##0_ ;[Red]\-#,##0\ "/>
    <numFmt numFmtId="184" formatCode="###\ ###\ ###\ ###"/>
    <numFmt numFmtId="185" formatCode="_ * #,##0_ ;_ * \-#,##0_ ;_ * &quot;-&quot;_ ;_ @_ "/>
    <numFmt numFmtId="186" formatCode="#,##0.000"/>
    <numFmt numFmtId="187" formatCode="_(* #,##0.0000_);_(* \(#,##0.0000\);_(* &quot;-&quot;??_);_(@_)"/>
    <numFmt numFmtId="188" formatCode="_-* #,##0.000_-;\-* #,##0.000_-;_-* &quot;-&quot;??_-;_-@_-"/>
    <numFmt numFmtId="189" formatCode="_-* #,##0.0000_-;\-* #,##0.0000_-;_-* &quot;-&quot;??_-;_-@_-"/>
    <numFmt numFmtId="190" formatCode="0.000%"/>
  </numFmts>
  <fonts count="81">
    <font>
      <sz val="10"/>
      <name val="Arial"/>
    </font>
    <font>
      <sz val="12"/>
      <name val="Arial"/>
      <family val="2"/>
    </font>
    <font>
      <b/>
      <sz val="14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  <charset val="163"/>
    </font>
    <font>
      <sz val="10"/>
      <name val="Times New Roman"/>
      <family val="1"/>
      <charset val="163"/>
    </font>
    <font>
      <b/>
      <i/>
      <sz val="10"/>
      <name val="Times New Roman"/>
      <family val="1"/>
    </font>
    <font>
      <b/>
      <i/>
      <sz val="9"/>
      <name val="Times New Roman"/>
      <family val="1"/>
    </font>
    <font>
      <sz val="11"/>
      <name val="Times New Roman"/>
      <family val="1"/>
    </font>
    <font>
      <b/>
      <i/>
      <sz val="8"/>
      <name val="Times New Roman"/>
      <family val="1"/>
    </font>
    <font>
      <vertAlign val="superscript"/>
      <sz val="10"/>
      <name val="Times New Roman"/>
      <family val="1"/>
    </font>
    <font>
      <sz val="10"/>
      <color indexed="10"/>
      <name val="Times New Roman"/>
      <family val="1"/>
    </font>
    <font>
      <sz val="10"/>
      <name val="Arial"/>
      <family val="2"/>
      <charset val="163"/>
    </font>
    <font>
      <b/>
      <sz val="13"/>
      <name val="Times New Roman"/>
      <family val="1"/>
    </font>
    <font>
      <i/>
      <sz val="10"/>
      <name val="Times New Roman"/>
      <family val="1"/>
    </font>
    <font>
      <sz val="14"/>
      <name val=".VnTime"/>
      <family val="2"/>
    </font>
    <font>
      <sz val="14"/>
      <name val="Times New Roman"/>
      <family val="1"/>
    </font>
    <font>
      <b/>
      <sz val="14"/>
      <color indexed="10"/>
      <name val="Times New Roman"/>
      <family val="1"/>
    </font>
    <font>
      <sz val="11"/>
      <name val="ＭＳ Ｐゴシック"/>
      <family val="3"/>
      <charset val="128"/>
    </font>
    <font>
      <b/>
      <i/>
      <sz val="14"/>
      <name val="Times New Roman"/>
      <family val="1"/>
    </font>
    <font>
      <sz val="14"/>
      <color indexed="10"/>
      <name val="Times New Roman"/>
      <family val="1"/>
    </font>
    <font>
      <sz val="13"/>
      <name val="Times New Roman"/>
      <family val="1"/>
    </font>
    <font>
      <b/>
      <i/>
      <sz val="13"/>
      <name val="Times New Roman"/>
      <family val="1"/>
    </font>
    <font>
      <sz val="13"/>
      <color indexed="10"/>
      <name val="Times New Roman"/>
      <family val="1"/>
    </font>
    <font>
      <b/>
      <sz val="13"/>
      <color indexed="10"/>
      <name val="Times New Roman"/>
      <family val="1"/>
    </font>
    <font>
      <b/>
      <i/>
      <sz val="13"/>
      <color indexed="10"/>
      <name val="Times New Roman"/>
      <family val="1"/>
    </font>
    <font>
      <b/>
      <u/>
      <sz val="13"/>
      <name val="Times New Roman"/>
      <family val="1"/>
    </font>
    <font>
      <b/>
      <u/>
      <sz val="13"/>
      <color indexed="10"/>
      <name val="Times New Roman"/>
      <family val="1"/>
    </font>
    <font>
      <b/>
      <sz val="10"/>
      <name val="Arial"/>
      <family val="2"/>
    </font>
    <font>
      <b/>
      <sz val="10"/>
      <name val="Arial"/>
      <family val="2"/>
    </font>
    <font>
      <sz val="12"/>
      <color indexed="12"/>
      <name val="Times New Roman"/>
      <family val="1"/>
    </font>
    <font>
      <sz val="12"/>
      <name val="Calibri"/>
      <family val="2"/>
    </font>
    <font>
      <i/>
      <sz val="13"/>
      <name val="Times New Roman"/>
      <family val="1"/>
    </font>
    <font>
      <sz val="10"/>
      <name val="Calibri"/>
      <family val="2"/>
    </font>
    <font>
      <sz val="12"/>
      <color indexed="9"/>
      <name val="Times New Roman"/>
      <family val="1"/>
    </font>
    <font>
      <i/>
      <sz val="12"/>
      <name val="Times New Roman"/>
      <family val="1"/>
    </font>
    <font>
      <b/>
      <sz val="12"/>
      <color indexed="10"/>
      <name val="Times New Roman"/>
      <family val="1"/>
    </font>
    <font>
      <b/>
      <i/>
      <sz val="12"/>
      <color indexed="10"/>
      <name val="Times New Roman"/>
      <family val="1"/>
    </font>
    <font>
      <i/>
      <sz val="12"/>
      <color indexed="10"/>
      <name val="Times New Roman"/>
      <family val="1"/>
    </font>
    <font>
      <sz val="12"/>
      <color indexed="10"/>
      <name val="Times New Roman"/>
      <family val="1"/>
    </font>
    <font>
      <b/>
      <i/>
      <sz val="12"/>
      <name val="Times New Roman"/>
      <family val="1"/>
    </font>
    <font>
      <b/>
      <sz val="20"/>
      <name val="Times New Roman"/>
      <family val="1"/>
    </font>
    <font>
      <sz val="20"/>
      <name val="Times New Roman"/>
      <family val="1"/>
    </font>
    <font>
      <b/>
      <sz val="18"/>
      <name val="Times New Roman"/>
      <family val="1"/>
    </font>
    <font>
      <sz val="18"/>
      <name val="Times New Roman"/>
      <family val="1"/>
    </font>
    <font>
      <sz val="11"/>
      <color indexed="8"/>
      <name val="Times New Roman"/>
      <family val="2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b/>
      <sz val="11"/>
      <color indexed="10"/>
      <name val="Times New Roman"/>
      <family val="1"/>
    </font>
    <font>
      <sz val="11"/>
      <color indexed="9"/>
      <name val="Times New Roman"/>
      <family val="1"/>
    </font>
    <font>
      <i/>
      <sz val="11"/>
      <name val="Times New Roman"/>
      <family val="1"/>
    </font>
    <font>
      <b/>
      <i/>
      <sz val="11"/>
      <name val="Times New Roman"/>
      <family val="1"/>
    </font>
    <font>
      <i/>
      <sz val="12"/>
      <color indexed="8"/>
      <name val="Times New Roman"/>
      <family val="1"/>
      <charset val="163"/>
    </font>
    <font>
      <sz val="12"/>
      <name val="Times New Roman"/>
      <family val="1"/>
      <charset val="163"/>
    </font>
    <font>
      <b/>
      <sz val="12"/>
      <name val="Times New Roman"/>
      <family val="1"/>
      <charset val="163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2"/>
      <color rgb="FF000000"/>
      <name val="Times New Roman"/>
      <family val="1"/>
    </font>
    <font>
      <sz val="10"/>
      <color theme="1"/>
      <name val="Times New Roman"/>
      <family val="1"/>
    </font>
    <font>
      <sz val="12"/>
      <color theme="0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i/>
      <sz val="12"/>
      <color theme="0"/>
      <name val="Times New Roman"/>
      <family val="1"/>
    </font>
    <font>
      <i/>
      <sz val="12"/>
      <color theme="0"/>
      <name val="Times New Roman"/>
      <family val="1"/>
    </font>
    <font>
      <b/>
      <sz val="11"/>
      <color theme="0"/>
      <name val="Times New Roman"/>
      <family val="1"/>
    </font>
    <font>
      <sz val="11"/>
      <color theme="0"/>
      <name val="Times New Roman"/>
      <family val="1"/>
    </font>
    <font>
      <b/>
      <sz val="11"/>
      <color rgb="FF000000"/>
      <name val="Times New Roman"/>
      <family val="1"/>
    </font>
    <font>
      <b/>
      <i/>
      <sz val="11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i/>
      <sz val="11"/>
      <color rgb="FF000000"/>
      <name val="Times New Roman"/>
      <family val="1"/>
    </font>
    <font>
      <i/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1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7">
    <xf numFmtId="0" fontId="0" fillId="0" borderId="0"/>
    <xf numFmtId="171" fontId="3" fillId="0" borderId="0" applyFont="0" applyFill="0" applyBorder="0" applyAlignment="0" applyProtection="0"/>
    <xf numFmtId="185" fontId="20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85" fontId="20" fillId="0" borderId="0" applyFont="0" applyFill="0" applyBorder="0" applyAlignment="0" applyProtection="0"/>
    <xf numFmtId="185" fontId="20" fillId="0" borderId="0" applyFont="0" applyFill="0" applyBorder="0" applyAlignment="0" applyProtection="0"/>
    <xf numFmtId="185" fontId="20" fillId="0" borderId="0" applyFont="0" applyFill="0" applyBorder="0" applyAlignment="0" applyProtection="0"/>
    <xf numFmtId="0" fontId="17" fillId="0" borderId="0"/>
    <xf numFmtId="0" fontId="20" fillId="0" borderId="0"/>
    <xf numFmtId="0" fontId="20" fillId="0" borderId="0"/>
    <xf numFmtId="0" fontId="26" fillId="0" borderId="0"/>
    <xf numFmtId="0" fontId="50" fillId="0" borderId="0"/>
    <xf numFmtId="0" fontId="23" fillId="0" borderId="0"/>
    <xf numFmtId="0" fontId="1" fillId="0" borderId="0"/>
    <xf numFmtId="9" fontId="3" fillId="0" borderId="0" applyFont="0" applyFill="0" applyBorder="0" applyAlignment="0" applyProtection="0"/>
    <xf numFmtId="9" fontId="20" fillId="0" borderId="0" applyFont="0" applyFill="0" applyBorder="0" applyAlignment="0" applyProtection="0"/>
  </cellStyleXfs>
  <cellXfs count="865">
    <xf numFmtId="0" fontId="0" fillId="0" borderId="0" xfId="0"/>
    <xf numFmtId="0" fontId="4" fillId="2" borderId="0" xfId="0" applyFont="1" applyFill="1" applyAlignment="1">
      <alignment vertical="center"/>
    </xf>
    <xf numFmtId="172" fontId="4" fillId="2" borderId="0" xfId="1" applyNumberFormat="1" applyFont="1" applyFill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3" fontId="4" fillId="2" borderId="0" xfId="0" applyNumberFormat="1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  <xf numFmtId="0" fontId="4" fillId="2" borderId="3" xfId="14" applyFont="1" applyFill="1" applyBorder="1" applyAlignment="1">
      <alignment horizontal="center" vertical="center"/>
    </xf>
    <xf numFmtId="0" fontId="4" fillId="2" borderId="3" xfId="14" applyFont="1" applyFill="1" applyBorder="1" applyAlignment="1">
      <alignment vertical="center"/>
    </xf>
    <xf numFmtId="0" fontId="7" fillId="2" borderId="3" xfId="14" applyFont="1" applyFill="1" applyBorder="1" applyAlignment="1">
      <alignment horizontal="center" vertical="center"/>
    </xf>
    <xf numFmtId="0" fontId="4" fillId="2" borderId="4" xfId="14" applyFont="1" applyFill="1" applyBorder="1" applyAlignment="1">
      <alignment vertical="center"/>
    </xf>
    <xf numFmtId="172" fontId="4" fillId="2" borderId="4" xfId="1" applyNumberFormat="1" applyFont="1" applyFill="1" applyBorder="1" applyAlignment="1">
      <alignment vertical="center"/>
    </xf>
    <xf numFmtId="0" fontId="7" fillId="2" borderId="4" xfId="14" applyFont="1" applyFill="1" applyBorder="1" applyAlignment="1">
      <alignment horizontal="center" vertical="center"/>
    </xf>
    <xf numFmtId="0" fontId="7" fillId="2" borderId="4" xfId="14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Continuous" vertical="center"/>
    </xf>
    <xf numFmtId="0" fontId="7" fillId="2" borderId="2" xfId="14" applyFont="1" applyFill="1" applyBorder="1" applyAlignment="1">
      <alignment horizontal="center" vertical="center"/>
    </xf>
    <xf numFmtId="0" fontId="7" fillId="2" borderId="2" xfId="14" applyFont="1" applyFill="1" applyBorder="1" applyAlignment="1">
      <alignment vertical="center"/>
    </xf>
    <xf numFmtId="3" fontId="7" fillId="2" borderId="2" xfId="14" applyNumberFormat="1" applyFont="1" applyFill="1" applyBorder="1" applyAlignment="1">
      <alignment horizontal="right" vertical="center"/>
    </xf>
    <xf numFmtId="9" fontId="7" fillId="2" borderId="2" xfId="15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3" fontId="7" fillId="2" borderId="2" xfId="0" applyNumberFormat="1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172" fontId="7" fillId="2" borderId="1" xfId="1" applyNumberFormat="1" applyFont="1" applyFill="1" applyBorder="1" applyAlignment="1">
      <alignment vertical="center"/>
    </xf>
    <xf numFmtId="172" fontId="7" fillId="2" borderId="0" xfId="1" applyNumberFormat="1" applyFont="1" applyFill="1" applyBorder="1" applyAlignment="1">
      <alignment vertical="center"/>
    </xf>
    <xf numFmtId="0" fontId="11" fillId="2" borderId="2" xfId="14" applyFont="1" applyFill="1" applyBorder="1" applyAlignment="1">
      <alignment horizontal="center" vertical="center"/>
    </xf>
    <xf numFmtId="0" fontId="11" fillId="2" borderId="2" xfId="14" applyFont="1" applyFill="1" applyBorder="1" applyAlignment="1">
      <alignment vertical="center"/>
    </xf>
    <xf numFmtId="3" fontId="12" fillId="2" borderId="2" xfId="14" applyNumberFormat="1" applyFont="1" applyFill="1" applyBorder="1" applyAlignment="1">
      <alignment vertical="center"/>
    </xf>
    <xf numFmtId="174" fontId="12" fillId="2" borderId="2" xfId="14" applyNumberFormat="1" applyFont="1" applyFill="1" applyBorder="1" applyAlignment="1">
      <alignment vertical="center"/>
    </xf>
    <xf numFmtId="0" fontId="4" fillId="2" borderId="4" xfId="14" applyFont="1" applyFill="1" applyBorder="1" applyAlignment="1">
      <alignment horizontal="center" vertical="center"/>
    </xf>
    <xf numFmtId="172" fontId="4" fillId="2" borderId="2" xfId="1" applyNumberFormat="1" applyFont="1" applyFill="1" applyBorder="1" applyAlignment="1">
      <alignment vertical="center"/>
    </xf>
    <xf numFmtId="9" fontId="4" fillId="2" borderId="2" xfId="15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3" fontId="4" fillId="2" borderId="4" xfId="0" applyNumberFormat="1" applyFont="1" applyFill="1" applyBorder="1" applyAlignment="1">
      <alignment vertical="center"/>
    </xf>
    <xf numFmtId="3" fontId="4" fillId="2" borderId="2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vertical="center"/>
    </xf>
    <xf numFmtId="169" fontId="4" fillId="2" borderId="0" xfId="0" applyNumberFormat="1" applyFont="1" applyFill="1" applyBorder="1" applyAlignment="1">
      <alignment vertical="center"/>
    </xf>
    <xf numFmtId="9" fontId="4" fillId="2" borderId="0" xfId="15" applyFont="1" applyFill="1" applyAlignment="1">
      <alignment vertical="center"/>
    </xf>
    <xf numFmtId="9" fontId="4" fillId="2" borderId="2" xfId="0" applyNumberFormat="1" applyFont="1" applyFill="1" applyBorder="1" applyAlignment="1">
      <alignment vertical="center"/>
    </xf>
    <xf numFmtId="37" fontId="4" fillId="2" borderId="2" xfId="0" applyNumberFormat="1" applyFont="1" applyFill="1" applyBorder="1" applyAlignment="1">
      <alignment vertical="center"/>
    </xf>
    <xf numFmtId="3" fontId="4" fillId="2" borderId="4" xfId="14" applyNumberFormat="1" applyFont="1" applyFill="1" applyBorder="1" applyAlignment="1">
      <alignment vertical="center"/>
    </xf>
    <xf numFmtId="174" fontId="4" fillId="2" borderId="4" xfId="14" applyNumberFormat="1" applyFont="1" applyFill="1" applyBorder="1" applyAlignment="1">
      <alignment vertical="center"/>
    </xf>
    <xf numFmtId="3" fontId="4" fillId="2" borderId="5" xfId="0" applyNumberFormat="1" applyFont="1" applyFill="1" applyBorder="1" applyAlignment="1">
      <alignment vertical="center"/>
    </xf>
    <xf numFmtId="172" fontId="4" fillId="2" borderId="0" xfId="1" applyNumberFormat="1" applyFont="1" applyFill="1" applyBorder="1" applyAlignment="1">
      <alignment vertical="center"/>
    </xf>
    <xf numFmtId="9" fontId="4" fillId="2" borderId="4" xfId="14" applyNumberFormat="1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178" fontId="4" fillId="2" borderId="2" xfId="0" applyNumberFormat="1" applyFont="1" applyFill="1" applyBorder="1" applyAlignment="1">
      <alignment vertical="center"/>
    </xf>
    <xf numFmtId="3" fontId="4" fillId="2" borderId="6" xfId="0" applyNumberFormat="1" applyFont="1" applyFill="1" applyBorder="1" applyAlignment="1">
      <alignment vertical="center"/>
    </xf>
    <xf numFmtId="178" fontId="4" fillId="2" borderId="0" xfId="0" applyNumberFormat="1" applyFont="1" applyFill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172" fontId="11" fillId="2" borderId="4" xfId="1" applyNumberFormat="1" applyFont="1" applyFill="1" applyBorder="1" applyAlignment="1">
      <alignment vertical="center"/>
    </xf>
    <xf numFmtId="172" fontId="11" fillId="2" borderId="0" xfId="1" applyNumberFormat="1" applyFont="1" applyFill="1" applyBorder="1" applyAlignment="1">
      <alignment vertical="center"/>
    </xf>
    <xf numFmtId="174" fontId="4" fillId="2" borderId="2" xfId="15" applyNumberFormat="1" applyFont="1" applyFill="1" applyBorder="1" applyAlignment="1">
      <alignment vertical="center"/>
    </xf>
    <xf numFmtId="176" fontId="4" fillId="2" borderId="2" xfId="0" applyNumberFormat="1" applyFont="1" applyFill="1" applyBorder="1" applyAlignment="1">
      <alignment vertical="center"/>
    </xf>
    <xf numFmtId="9" fontId="4" fillId="2" borderId="4" xfId="15" applyFont="1" applyFill="1" applyBorder="1" applyAlignment="1">
      <alignment vertical="center"/>
    </xf>
    <xf numFmtId="3" fontId="4" fillId="0" borderId="4" xfId="14" applyNumberFormat="1" applyFont="1" applyFill="1" applyBorder="1" applyAlignment="1">
      <alignment vertical="center"/>
    </xf>
    <xf numFmtId="10" fontId="4" fillId="2" borderId="2" xfId="15" applyNumberFormat="1" applyFont="1" applyFill="1" applyBorder="1" applyAlignment="1">
      <alignment vertical="center"/>
    </xf>
    <xf numFmtId="3" fontId="7" fillId="2" borderId="2" xfId="14" applyNumberFormat="1" applyFont="1" applyFill="1" applyBorder="1" applyAlignment="1">
      <alignment vertical="center" wrapText="1"/>
    </xf>
    <xf numFmtId="3" fontId="7" fillId="2" borderId="2" xfId="14" applyNumberFormat="1" applyFont="1" applyFill="1" applyBorder="1" applyAlignment="1">
      <alignment horizontal="center" vertical="center" wrapText="1"/>
    </xf>
    <xf numFmtId="0" fontId="9" fillId="2" borderId="1" xfId="14" applyFont="1" applyFill="1" applyBorder="1" applyAlignment="1">
      <alignment horizontal="center" vertical="center"/>
    </xf>
    <xf numFmtId="0" fontId="9" fillId="2" borderId="1" xfId="14" applyFont="1" applyFill="1" applyBorder="1" applyAlignment="1">
      <alignment vertical="center" wrapText="1"/>
    </xf>
    <xf numFmtId="3" fontId="9" fillId="2" borderId="1" xfId="14" applyNumberFormat="1" applyFont="1" applyFill="1" applyBorder="1" applyAlignment="1">
      <alignment vertical="center"/>
    </xf>
    <xf numFmtId="0" fontId="9" fillId="2" borderId="4" xfId="14" applyFont="1" applyFill="1" applyBorder="1" applyAlignment="1">
      <alignment horizontal="center" vertical="center"/>
    </xf>
    <xf numFmtId="0" fontId="9" fillId="2" borderId="4" xfId="14" applyFont="1" applyFill="1" applyBorder="1" applyAlignment="1">
      <alignment vertical="center"/>
    </xf>
    <xf numFmtId="3" fontId="9" fillId="2" borderId="4" xfId="14" applyNumberFormat="1" applyFont="1" applyFill="1" applyBorder="1" applyAlignment="1">
      <alignment vertical="center"/>
    </xf>
    <xf numFmtId="174" fontId="9" fillId="2" borderId="4" xfId="15" applyNumberFormat="1" applyFont="1" applyFill="1" applyBorder="1" applyAlignment="1">
      <alignment horizontal="center" vertical="center"/>
    </xf>
    <xf numFmtId="174" fontId="7" fillId="2" borderId="4" xfId="15" applyNumberFormat="1" applyFont="1" applyFill="1" applyBorder="1" applyAlignment="1">
      <alignment vertical="center"/>
    </xf>
    <xf numFmtId="38" fontId="11" fillId="2" borderId="4" xfId="0" applyNumberFormat="1" applyFont="1" applyFill="1" applyBorder="1" applyAlignment="1">
      <alignment vertical="center"/>
    </xf>
    <xf numFmtId="38" fontId="11" fillId="2" borderId="0" xfId="0" applyNumberFormat="1" applyFont="1" applyFill="1" applyBorder="1" applyAlignment="1">
      <alignment vertical="center"/>
    </xf>
    <xf numFmtId="0" fontId="10" fillId="2" borderId="4" xfId="14" applyFont="1" applyFill="1" applyBorder="1" applyAlignment="1">
      <alignment horizontal="center" vertical="center"/>
    </xf>
    <xf numFmtId="3" fontId="10" fillId="2" borderId="4" xfId="14" applyNumberFormat="1" applyFont="1" applyFill="1" applyBorder="1" applyAlignment="1">
      <alignment vertical="center"/>
    </xf>
    <xf numFmtId="10" fontId="10" fillId="2" borderId="4" xfId="15" applyNumberFormat="1" applyFont="1" applyFill="1" applyBorder="1" applyAlignment="1">
      <alignment vertical="center"/>
    </xf>
    <xf numFmtId="174" fontId="10" fillId="2" borderId="4" xfId="15" applyNumberFormat="1" applyFont="1" applyFill="1" applyBorder="1" applyAlignment="1">
      <alignment horizontal="center" vertical="center"/>
    </xf>
    <xf numFmtId="38" fontId="4" fillId="2" borderId="4" xfId="0" applyNumberFormat="1" applyFont="1" applyFill="1" applyBorder="1" applyAlignment="1">
      <alignment vertical="center"/>
    </xf>
    <xf numFmtId="38" fontId="4" fillId="2" borderId="0" xfId="0" applyNumberFormat="1" applyFont="1" applyFill="1" applyBorder="1" applyAlignment="1">
      <alignment vertical="center"/>
    </xf>
    <xf numFmtId="174" fontId="4" fillId="2" borderId="4" xfId="15" applyNumberFormat="1" applyFont="1" applyFill="1" applyBorder="1" applyAlignment="1">
      <alignment horizontal="center" vertical="center"/>
    </xf>
    <xf numFmtId="0" fontId="7" fillId="2" borderId="4" xfId="14" applyFont="1" applyFill="1" applyBorder="1" applyAlignment="1">
      <alignment horizontal="centerContinuous" vertical="center"/>
    </xf>
    <xf numFmtId="3" fontId="4" fillId="2" borderId="3" xfId="14" applyNumberFormat="1" applyFont="1" applyFill="1" applyBorder="1" applyAlignment="1">
      <alignment vertical="center"/>
    </xf>
    <xf numFmtId="174" fontId="4" fillId="2" borderId="3" xfId="15" applyNumberFormat="1" applyFont="1" applyFill="1" applyBorder="1" applyAlignment="1">
      <alignment horizontal="center" vertical="center"/>
    </xf>
    <xf numFmtId="10" fontId="4" fillId="2" borderId="5" xfId="0" applyNumberFormat="1" applyFont="1" applyFill="1" applyBorder="1" applyAlignment="1">
      <alignment vertical="center"/>
    </xf>
    <xf numFmtId="172" fontId="4" fillId="2" borderId="5" xfId="1" applyNumberFormat="1" applyFont="1" applyFill="1" applyBorder="1" applyAlignment="1">
      <alignment vertical="center"/>
    </xf>
    <xf numFmtId="3" fontId="4" fillId="2" borderId="3" xfId="14" applyNumberFormat="1" applyFont="1" applyFill="1" applyBorder="1" applyAlignment="1">
      <alignment vertical="center" wrapText="1"/>
    </xf>
    <xf numFmtId="1" fontId="4" fillId="2" borderId="0" xfId="0" applyNumberFormat="1" applyFont="1" applyFill="1" applyBorder="1" applyAlignment="1">
      <alignment vertical="center"/>
    </xf>
    <xf numFmtId="0" fontId="13" fillId="2" borderId="4" xfId="14" applyFont="1" applyFill="1" applyBorder="1" applyAlignment="1">
      <alignment vertical="center"/>
    </xf>
    <xf numFmtId="0" fontId="7" fillId="2" borderId="7" xfId="0" applyFont="1" applyFill="1" applyBorder="1" applyAlignment="1">
      <alignment horizontal="center" vertical="center" wrapText="1"/>
    </xf>
    <xf numFmtId="0" fontId="4" fillId="2" borderId="8" xfId="14" applyFont="1" applyFill="1" applyBorder="1" applyAlignment="1">
      <alignment vertical="center"/>
    </xf>
    <xf numFmtId="3" fontId="4" fillId="2" borderId="8" xfId="14" applyNumberFormat="1" applyFont="1" applyFill="1" applyBorder="1" applyAlignment="1">
      <alignment vertical="center"/>
    </xf>
    <xf numFmtId="0" fontId="4" fillId="2" borderId="6" xfId="0" applyFont="1" applyFill="1" applyBorder="1" applyAlignment="1">
      <alignment horizontal="center" vertical="center" wrapText="1"/>
    </xf>
    <xf numFmtId="172" fontId="4" fillId="2" borderId="1" xfId="1" applyNumberFormat="1" applyFont="1" applyFill="1" applyBorder="1" applyAlignment="1">
      <alignment vertical="center"/>
    </xf>
    <xf numFmtId="175" fontId="7" fillId="2" borderId="0" xfId="0" applyNumberFormat="1" applyFont="1" applyFill="1" applyBorder="1" applyAlignment="1">
      <alignment vertical="center"/>
    </xf>
    <xf numFmtId="0" fontId="4" fillId="2" borderId="8" xfId="14" applyFont="1" applyFill="1" applyBorder="1" applyAlignment="1">
      <alignment horizontal="center" vertical="center"/>
    </xf>
    <xf numFmtId="174" fontId="4" fillId="2" borderId="8" xfId="14" applyNumberFormat="1" applyFont="1" applyFill="1" applyBorder="1" applyAlignment="1">
      <alignment horizontal="center" vertical="center"/>
    </xf>
    <xf numFmtId="0" fontId="4" fillId="2" borderId="8" xfId="14" applyFont="1" applyFill="1" applyBorder="1" applyAlignment="1">
      <alignment horizontal="left" vertical="center"/>
    </xf>
    <xf numFmtId="172" fontId="4" fillId="2" borderId="4" xfId="0" applyNumberFormat="1" applyFont="1" applyFill="1" applyBorder="1" applyAlignment="1">
      <alignment vertical="center"/>
    </xf>
    <xf numFmtId="9" fontId="4" fillId="2" borderId="4" xfId="14" applyNumberFormat="1" applyFont="1" applyFill="1" applyBorder="1" applyAlignment="1">
      <alignment horizontal="center" vertical="center"/>
    </xf>
    <xf numFmtId="172" fontId="11" fillId="2" borderId="0" xfId="0" applyNumberFormat="1" applyFont="1" applyFill="1" applyBorder="1" applyAlignment="1">
      <alignment vertical="center"/>
    </xf>
    <xf numFmtId="3" fontId="4" fillId="2" borderId="0" xfId="0" applyNumberFormat="1" applyFont="1" applyFill="1" applyAlignment="1">
      <alignment vertical="center"/>
    </xf>
    <xf numFmtId="3" fontId="4" fillId="0" borderId="0" xfId="0" applyNumberFormat="1" applyFont="1" applyFill="1" applyBorder="1" applyAlignment="1">
      <alignment vertical="center"/>
    </xf>
    <xf numFmtId="38" fontId="4" fillId="2" borderId="0" xfId="0" applyNumberFormat="1" applyFont="1" applyFill="1" applyAlignment="1">
      <alignment vertical="center"/>
    </xf>
    <xf numFmtId="38" fontId="4" fillId="2" borderId="1" xfId="0" applyNumberFormat="1" applyFont="1" applyFill="1" applyBorder="1" applyAlignment="1">
      <alignment vertical="center"/>
    </xf>
    <xf numFmtId="9" fontId="4" fillId="2" borderId="3" xfId="15" applyNumberFormat="1" applyFont="1" applyFill="1" applyBorder="1" applyAlignment="1">
      <alignment vertical="center"/>
    </xf>
    <xf numFmtId="181" fontId="11" fillId="2" borderId="4" xfId="0" applyNumberFormat="1" applyFont="1" applyFill="1" applyBorder="1" applyAlignment="1">
      <alignment vertical="center"/>
    </xf>
    <xf numFmtId="181" fontId="11" fillId="2" borderId="4" xfId="0" applyNumberFormat="1" applyFont="1" applyFill="1" applyBorder="1" applyAlignment="1">
      <alignment horizontal="right" vertical="center"/>
    </xf>
    <xf numFmtId="0" fontId="4" fillId="2" borderId="3" xfId="0" applyFont="1" applyFill="1" applyBorder="1" applyAlignment="1">
      <alignment vertical="center"/>
    </xf>
    <xf numFmtId="9" fontId="10" fillId="2" borderId="4" xfId="15" applyNumberFormat="1" applyFont="1" applyFill="1" applyBorder="1" applyAlignment="1">
      <alignment horizontal="right" vertical="center"/>
    </xf>
    <xf numFmtId="9" fontId="4" fillId="2" borderId="4" xfId="15" applyNumberFormat="1" applyFont="1" applyFill="1" applyBorder="1" applyAlignment="1">
      <alignment horizontal="right" vertical="center"/>
    </xf>
    <xf numFmtId="9" fontId="4" fillId="2" borderId="3" xfId="15" applyNumberFormat="1" applyFont="1" applyFill="1" applyBorder="1" applyAlignment="1">
      <alignment horizontal="right" vertical="center"/>
    </xf>
    <xf numFmtId="9" fontId="9" fillId="2" borderId="4" xfId="15" applyNumberFormat="1" applyFont="1" applyFill="1" applyBorder="1" applyAlignment="1">
      <alignment vertical="center"/>
    </xf>
    <xf numFmtId="3" fontId="7" fillId="2" borderId="4" xfId="1" applyNumberFormat="1" applyFont="1" applyFill="1" applyBorder="1" applyAlignment="1">
      <alignment horizontal="center" vertical="center"/>
    </xf>
    <xf numFmtId="0" fontId="7" fillId="2" borderId="3" xfId="14" applyFont="1" applyFill="1" applyBorder="1" applyAlignment="1">
      <alignment vertical="center"/>
    </xf>
    <xf numFmtId="172" fontId="7" fillId="2" borderId="3" xfId="1" applyNumberFormat="1" applyFont="1" applyFill="1" applyBorder="1" applyAlignment="1">
      <alignment vertical="center"/>
    </xf>
    <xf numFmtId="9" fontId="7" fillId="2" borderId="3" xfId="15" applyNumberFormat="1" applyFont="1" applyFill="1" applyBorder="1" applyAlignment="1">
      <alignment horizontal="right" vertical="center"/>
    </xf>
    <xf numFmtId="172" fontId="16" fillId="2" borderId="4" xfId="1" applyNumberFormat="1" applyFont="1" applyFill="1" applyBorder="1" applyAlignment="1">
      <alignment horizontal="right" vertical="center"/>
    </xf>
    <xf numFmtId="0" fontId="4" fillId="2" borderId="4" xfId="14" applyFont="1" applyFill="1" applyBorder="1" applyAlignment="1">
      <alignment horizontal="center" vertical="center" wrapText="1"/>
    </xf>
    <xf numFmtId="0" fontId="6" fillId="2" borderId="4" xfId="14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3" fontId="4" fillId="2" borderId="2" xfId="0" applyNumberFormat="1" applyFont="1" applyFill="1" applyBorder="1" applyAlignment="1">
      <alignment horizontal="center" vertical="center"/>
    </xf>
    <xf numFmtId="3" fontId="4" fillId="0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0" xfId="14" applyFont="1" applyFill="1" applyBorder="1" applyAlignment="1">
      <alignment horizontal="center" vertical="center"/>
    </xf>
    <xf numFmtId="0" fontId="4" fillId="2" borderId="10" xfId="14" applyFont="1" applyFill="1" applyBorder="1" applyAlignment="1">
      <alignment vertical="center"/>
    </xf>
    <xf numFmtId="0" fontId="7" fillId="2" borderId="10" xfId="14" applyFont="1" applyFill="1" applyBorder="1" applyAlignment="1">
      <alignment horizontal="center" vertical="center"/>
    </xf>
    <xf numFmtId="0" fontId="7" fillId="2" borderId="8" xfId="14" applyFont="1" applyFill="1" applyBorder="1" applyAlignment="1">
      <alignment horizontal="center" vertical="center"/>
    </xf>
    <xf numFmtId="0" fontId="7" fillId="2" borderId="8" xfId="14" applyFont="1" applyFill="1" applyBorder="1" applyAlignment="1">
      <alignment vertical="center"/>
    </xf>
    <xf numFmtId="9" fontId="7" fillId="2" borderId="4" xfId="14" applyNumberFormat="1" applyFont="1" applyFill="1" applyBorder="1" applyAlignment="1">
      <alignment horizontal="center" vertical="center"/>
    </xf>
    <xf numFmtId="172" fontId="4" fillId="2" borderId="4" xfId="1" applyNumberFormat="1" applyFont="1" applyFill="1" applyBorder="1" applyAlignment="1">
      <alignment horizontal="center" vertical="center"/>
    </xf>
    <xf numFmtId="174" fontId="7" fillId="2" borderId="4" xfId="14" applyNumberFormat="1" applyFont="1" applyFill="1" applyBorder="1" applyAlignment="1">
      <alignment horizontal="center" vertical="center"/>
    </xf>
    <xf numFmtId="38" fontId="5" fillId="2" borderId="4" xfId="1" applyNumberFormat="1" applyFont="1" applyFill="1" applyBorder="1" applyAlignment="1">
      <alignment horizontal="center" vertical="center"/>
    </xf>
    <xf numFmtId="9" fontId="4" fillId="2" borderId="4" xfId="15" applyFont="1" applyFill="1" applyBorder="1" applyAlignment="1">
      <alignment horizontal="center" vertical="center"/>
    </xf>
    <xf numFmtId="3" fontId="14" fillId="2" borderId="2" xfId="14" applyNumberFormat="1" applyFont="1" applyFill="1" applyBorder="1" applyAlignment="1">
      <alignment horizontal="center" vertical="center" wrapText="1"/>
    </xf>
    <xf numFmtId="172" fontId="9" fillId="2" borderId="1" xfId="1" applyNumberFormat="1" applyFont="1" applyFill="1" applyBorder="1" applyAlignment="1">
      <alignment horizontal="center" vertical="center"/>
    </xf>
    <xf numFmtId="0" fontId="19" fillId="2" borderId="4" xfId="14" applyFont="1" applyFill="1" applyBorder="1" applyAlignment="1">
      <alignment vertical="center"/>
    </xf>
    <xf numFmtId="0" fontId="7" fillId="2" borderId="4" xfId="14" applyFont="1" applyFill="1" applyBorder="1" applyAlignment="1">
      <alignment vertical="center" wrapText="1"/>
    </xf>
    <xf numFmtId="0" fontId="7" fillId="2" borderId="4" xfId="14" applyFont="1" applyFill="1" applyBorder="1" applyAlignment="1">
      <alignment horizontal="left" vertical="center"/>
    </xf>
    <xf numFmtId="0" fontId="18" fillId="0" borderId="0" xfId="9" applyFont="1" applyFill="1" applyAlignment="1">
      <alignment horizontal="centerContinuous" vertical="center"/>
    </xf>
    <xf numFmtId="0" fontId="21" fillId="0" borderId="0" xfId="9" applyFont="1" applyFill="1" applyAlignment="1">
      <alignment horizontal="centerContinuous" vertical="center"/>
    </xf>
    <xf numFmtId="3" fontId="21" fillId="0" borderId="0" xfId="9" applyNumberFormat="1" applyFont="1" applyFill="1" applyAlignment="1">
      <alignment horizontal="centerContinuous" vertical="center"/>
    </xf>
    <xf numFmtId="0" fontId="2" fillId="0" borderId="0" xfId="9" applyFont="1" applyFill="1" applyAlignment="1">
      <alignment horizontal="centerContinuous" vertical="center" wrapText="1"/>
    </xf>
    <xf numFmtId="0" fontId="21" fillId="0" borderId="0" xfId="9" applyFont="1" applyFill="1" applyAlignment="1">
      <alignment horizontal="center" vertical="center"/>
    </xf>
    <xf numFmtId="0" fontId="21" fillId="0" borderId="0" xfId="9" applyFont="1" applyFill="1" applyAlignment="1">
      <alignment vertical="center"/>
    </xf>
    <xf numFmtId="3" fontId="21" fillId="0" borderId="11" xfId="9" applyNumberFormat="1" applyFont="1" applyFill="1" applyBorder="1" applyAlignment="1">
      <alignment horizontal="center" vertical="center"/>
    </xf>
    <xf numFmtId="0" fontId="2" fillId="0" borderId="2" xfId="9" applyFont="1" applyFill="1" applyBorder="1" applyAlignment="1">
      <alignment horizontal="center" vertical="center"/>
    </xf>
    <xf numFmtId="3" fontId="2" fillId="0" borderId="2" xfId="9" applyNumberFormat="1" applyFont="1" applyFill="1" applyBorder="1" applyAlignment="1">
      <alignment horizontal="center" vertical="center"/>
    </xf>
    <xf numFmtId="0" fontId="21" fillId="0" borderId="2" xfId="9" applyFont="1" applyFill="1" applyBorder="1" applyAlignment="1">
      <alignment horizontal="center" vertical="center"/>
    </xf>
    <xf numFmtId="3" fontId="22" fillId="0" borderId="2" xfId="9" applyNumberFormat="1" applyFont="1" applyFill="1" applyBorder="1" applyAlignment="1">
      <alignment horizontal="right" vertical="center"/>
    </xf>
    <xf numFmtId="0" fontId="21" fillId="0" borderId="2" xfId="9" applyFont="1" applyFill="1" applyBorder="1" applyAlignment="1">
      <alignment horizontal="center" vertical="center" wrapText="1"/>
    </xf>
    <xf numFmtId="0" fontId="21" fillId="0" borderId="2" xfId="9" applyFont="1" applyFill="1" applyBorder="1" applyAlignment="1">
      <alignment vertical="center" wrapText="1"/>
    </xf>
    <xf numFmtId="3" fontId="21" fillId="0" borderId="2" xfId="9" applyNumberFormat="1" applyFont="1" applyFill="1" applyBorder="1" applyAlignment="1">
      <alignment horizontal="right" vertical="center" wrapText="1"/>
    </xf>
    <xf numFmtId="0" fontId="21" fillId="0" borderId="0" xfId="13" applyFont="1" applyFill="1" applyAlignment="1">
      <alignment vertical="center"/>
    </xf>
    <xf numFmtId="0" fontId="21" fillId="0" borderId="0" xfId="13" applyFont="1" applyFill="1" applyAlignment="1">
      <alignment horizontal="center" vertical="center"/>
    </xf>
    <xf numFmtId="37" fontId="2" fillId="0" borderId="2" xfId="13" applyNumberFormat="1" applyFont="1" applyFill="1" applyBorder="1" applyAlignment="1">
      <alignment horizontal="center" vertical="center"/>
    </xf>
    <xf numFmtId="0" fontId="21" fillId="0" borderId="2" xfId="13" applyFont="1" applyFill="1" applyBorder="1" applyAlignment="1">
      <alignment horizontal="center" vertical="center"/>
    </xf>
    <xf numFmtId="0" fontId="2" fillId="0" borderId="2" xfId="13" applyFont="1" applyFill="1" applyBorder="1" applyAlignment="1">
      <alignment vertical="center"/>
    </xf>
    <xf numFmtId="37" fontId="22" fillId="0" borderId="2" xfId="13" applyNumberFormat="1" applyFont="1" applyFill="1" applyBorder="1" applyAlignment="1">
      <alignment vertical="center"/>
    </xf>
    <xf numFmtId="37" fontId="21" fillId="0" borderId="2" xfId="13" applyNumberFormat="1" applyFont="1" applyFill="1" applyBorder="1" applyAlignment="1">
      <alignment vertical="center"/>
    </xf>
    <xf numFmtId="37" fontId="21" fillId="0" borderId="2" xfId="13" applyNumberFormat="1" applyFont="1" applyFill="1" applyBorder="1" applyAlignment="1">
      <alignment horizontal="center" vertical="center"/>
    </xf>
    <xf numFmtId="0" fontId="21" fillId="0" borderId="2" xfId="13" applyFont="1" applyFill="1" applyBorder="1" applyAlignment="1">
      <alignment vertical="center" wrapText="1"/>
    </xf>
    <xf numFmtId="0" fontId="25" fillId="0" borderId="2" xfId="13" applyFont="1" applyFill="1" applyBorder="1" applyAlignment="1">
      <alignment horizontal="center" vertical="center" wrapText="1"/>
    </xf>
    <xf numFmtId="0" fontId="21" fillId="0" borderId="2" xfId="13" applyFont="1" applyFill="1" applyBorder="1" applyAlignment="1">
      <alignment vertical="center"/>
    </xf>
    <xf numFmtId="0" fontId="5" fillId="0" borderId="7" xfId="9" applyFont="1" applyFill="1" applyBorder="1" applyAlignment="1">
      <alignment horizontal="center" vertical="center"/>
    </xf>
    <xf numFmtId="184" fontId="5" fillId="0" borderId="7" xfId="9" applyNumberFormat="1" applyFont="1" applyFill="1" applyBorder="1" applyAlignment="1">
      <alignment horizontal="center" vertical="center"/>
    </xf>
    <xf numFmtId="184" fontId="5" fillId="0" borderId="7" xfId="9" applyNumberFormat="1" applyFont="1" applyFill="1" applyBorder="1" applyAlignment="1">
      <alignment horizontal="center" vertical="center" wrapText="1"/>
    </xf>
    <xf numFmtId="0" fontId="18" fillId="0" borderId="1" xfId="9" applyFont="1" applyFill="1" applyBorder="1" applyAlignment="1">
      <alignment horizontal="center"/>
    </xf>
    <xf numFmtId="0" fontId="18" fillId="0" borderId="1" xfId="9" applyFont="1" applyFill="1" applyBorder="1"/>
    <xf numFmtId="0" fontId="26" fillId="0" borderId="1" xfId="9" applyFont="1" applyFill="1" applyBorder="1"/>
    <xf numFmtId="184" fontId="26" fillId="0" borderId="1" xfId="9" applyNumberFormat="1" applyFont="1" applyFill="1" applyBorder="1"/>
    <xf numFmtId="0" fontId="26" fillId="0" borderId="4" xfId="9" applyFont="1" applyFill="1" applyBorder="1" applyAlignment="1">
      <alignment horizontal="center"/>
    </xf>
    <xf numFmtId="0" fontId="26" fillId="0" borderId="4" xfId="9" applyFont="1" applyFill="1" applyBorder="1"/>
    <xf numFmtId="3" fontId="26" fillId="0" borderId="4" xfId="9" applyNumberFormat="1" applyFont="1" applyFill="1" applyBorder="1"/>
    <xf numFmtId="3" fontId="18" fillId="0" borderId="4" xfId="9" applyNumberFormat="1" applyFont="1" applyFill="1" applyBorder="1"/>
    <xf numFmtId="0" fontId="18" fillId="0" borderId="4" xfId="9" applyFont="1" applyFill="1" applyBorder="1"/>
    <xf numFmtId="0" fontId="18" fillId="0" borderId="4" xfId="9" applyFont="1" applyFill="1" applyBorder="1" applyAlignment="1">
      <alignment horizontal="center"/>
    </xf>
    <xf numFmtId="3" fontId="18" fillId="0" borderId="4" xfId="2" applyNumberFormat="1" applyFont="1" applyFill="1" applyBorder="1"/>
    <xf numFmtId="0" fontId="28" fillId="0" borderId="4" xfId="9" applyFont="1" applyFill="1" applyBorder="1"/>
    <xf numFmtId="3" fontId="28" fillId="0" borderId="4" xfId="9" applyNumberFormat="1" applyFont="1" applyFill="1" applyBorder="1"/>
    <xf numFmtId="3" fontId="29" fillId="0" borderId="4" xfId="9" applyNumberFormat="1" applyFont="1" applyFill="1" applyBorder="1"/>
    <xf numFmtId="0" fontId="18" fillId="0" borderId="4" xfId="9" applyFont="1" applyFill="1" applyBorder="1" applyAlignment="1">
      <alignment horizontal="left"/>
    </xf>
    <xf numFmtId="0" fontId="26" fillId="0" borderId="5" xfId="9" applyFont="1" applyFill="1" applyBorder="1" applyAlignment="1">
      <alignment horizontal="center"/>
    </xf>
    <xf numFmtId="0" fontId="27" fillId="0" borderId="5" xfId="9" applyFont="1" applyFill="1" applyBorder="1" applyAlignment="1">
      <alignment horizontal="center"/>
    </xf>
    <xf numFmtId="0" fontId="26" fillId="0" borderId="5" xfId="9" applyFont="1" applyFill="1" applyBorder="1"/>
    <xf numFmtId="3" fontId="26" fillId="0" borderId="5" xfId="9" applyNumberFormat="1" applyFont="1" applyFill="1" applyBorder="1"/>
    <xf numFmtId="175" fontId="26" fillId="0" borderId="5" xfId="9" applyNumberFormat="1" applyFont="1" applyFill="1" applyBorder="1"/>
    <xf numFmtId="3" fontId="29" fillId="0" borderId="5" xfId="9" applyNumberFormat="1" applyFont="1" applyFill="1" applyBorder="1"/>
    <xf numFmtId="0" fontId="18" fillId="0" borderId="4" xfId="10" applyFont="1" applyFill="1" applyBorder="1" applyAlignment="1">
      <alignment horizontal="center" vertical="center"/>
    </xf>
    <xf numFmtId="0" fontId="18" fillId="0" borderId="4" xfId="10" applyFont="1" applyFill="1" applyBorder="1" applyAlignment="1">
      <alignment vertical="center"/>
    </xf>
    <xf numFmtId="175" fontId="18" fillId="0" borderId="4" xfId="10" applyNumberFormat="1" applyFont="1" applyFill="1" applyBorder="1" applyAlignment="1">
      <alignment vertical="center"/>
    </xf>
    <xf numFmtId="186" fontId="18" fillId="0" borderId="4" xfId="10" applyNumberFormat="1" applyFont="1" applyFill="1" applyBorder="1" applyAlignment="1">
      <alignment vertical="center"/>
    </xf>
    <xf numFmtId="0" fontId="27" fillId="0" borderId="4" xfId="10" applyFont="1" applyFill="1" applyBorder="1" applyAlignment="1">
      <alignment horizontal="center" vertical="center"/>
    </xf>
    <xf numFmtId="0" fontId="27" fillId="0" borderId="4" xfId="10" applyFont="1" applyFill="1" applyBorder="1" applyAlignment="1">
      <alignment vertical="center"/>
    </xf>
    <xf numFmtId="3" fontId="27" fillId="0" borderId="4" xfId="10" applyNumberFormat="1" applyFont="1" applyFill="1" applyBorder="1" applyAlignment="1">
      <alignment vertical="center"/>
    </xf>
    <xf numFmtId="186" fontId="27" fillId="0" borderId="4" xfId="10" applyNumberFormat="1" applyFont="1" applyFill="1" applyBorder="1" applyAlignment="1">
      <alignment vertical="center"/>
    </xf>
    <xf numFmtId="175" fontId="27" fillId="0" borderId="4" xfId="10" applyNumberFormat="1" applyFont="1" applyFill="1" applyBorder="1" applyAlignment="1">
      <alignment vertical="center"/>
    </xf>
    <xf numFmtId="0" fontId="26" fillId="0" borderId="4" xfId="10" applyFont="1" applyFill="1" applyBorder="1" applyAlignment="1">
      <alignment horizontal="center" vertical="center"/>
    </xf>
    <xf numFmtId="0" fontId="26" fillId="0" borderId="4" xfId="10" applyFont="1" applyFill="1" applyBorder="1" applyAlignment="1">
      <alignment vertical="center"/>
    </xf>
    <xf numFmtId="3" fontId="26" fillId="0" borderId="4" xfId="10" applyNumberFormat="1" applyFont="1" applyFill="1" applyBorder="1" applyAlignment="1">
      <alignment vertical="center"/>
    </xf>
    <xf numFmtId="10" fontId="26" fillId="0" borderId="4" xfId="16" applyNumberFormat="1" applyFont="1" applyFill="1" applyBorder="1" applyAlignment="1">
      <alignment vertical="center"/>
    </xf>
    <xf numFmtId="175" fontId="26" fillId="0" borderId="4" xfId="10" applyNumberFormat="1" applyFont="1" applyFill="1" applyBorder="1" applyAlignment="1">
      <alignment vertical="center"/>
    </xf>
    <xf numFmtId="10" fontId="27" fillId="0" borderId="4" xfId="16" applyNumberFormat="1" applyFont="1" applyFill="1" applyBorder="1" applyAlignment="1">
      <alignment vertical="center"/>
    </xf>
    <xf numFmtId="3" fontId="28" fillId="0" borderId="4" xfId="10" applyNumberFormat="1" applyFont="1" applyFill="1" applyBorder="1" applyAlignment="1">
      <alignment vertical="center"/>
    </xf>
    <xf numFmtId="10" fontId="28" fillId="0" borderId="4" xfId="16" applyNumberFormat="1" applyFont="1" applyFill="1" applyBorder="1" applyAlignment="1">
      <alignment vertical="center"/>
    </xf>
    <xf numFmtId="180" fontId="26" fillId="0" borderId="4" xfId="7" applyNumberFormat="1" applyFont="1" applyFill="1" applyBorder="1" applyAlignment="1">
      <alignment vertical="center"/>
    </xf>
    <xf numFmtId="188" fontId="28" fillId="0" borderId="4" xfId="7" applyNumberFormat="1" applyFont="1" applyFill="1" applyBorder="1" applyAlignment="1">
      <alignment horizontal="right" vertical="center"/>
    </xf>
    <xf numFmtId="3" fontId="30" fillId="0" borderId="4" xfId="10" applyNumberFormat="1" applyFont="1" applyFill="1" applyBorder="1" applyAlignment="1">
      <alignment vertical="center"/>
    </xf>
    <xf numFmtId="189" fontId="28" fillId="0" borderId="4" xfId="7" applyNumberFormat="1" applyFont="1" applyFill="1" applyBorder="1" applyAlignment="1">
      <alignment horizontal="right" vertical="center"/>
    </xf>
    <xf numFmtId="3" fontId="18" fillId="0" borderId="4" xfId="10" applyNumberFormat="1" applyFont="1" applyFill="1" applyBorder="1" applyAlignment="1">
      <alignment vertical="center"/>
    </xf>
    <xf numFmtId="0" fontId="31" fillId="0" borderId="5" xfId="10" applyFont="1" applyFill="1" applyBorder="1" applyAlignment="1">
      <alignment horizontal="center" vertical="center"/>
    </xf>
    <xf numFmtId="0" fontId="18" fillId="0" borderId="5" xfId="10" applyFont="1" applyFill="1" applyBorder="1" applyAlignment="1">
      <alignment vertical="center"/>
    </xf>
    <xf numFmtId="175" fontId="31" fillId="0" borderId="5" xfId="10" applyNumberFormat="1" applyFont="1" applyFill="1" applyBorder="1" applyAlignment="1">
      <alignment vertical="center"/>
    </xf>
    <xf numFmtId="186" fontId="31" fillId="0" borderId="5" xfId="10" applyNumberFormat="1" applyFont="1" applyFill="1" applyBorder="1" applyAlignment="1">
      <alignment vertical="center"/>
    </xf>
    <xf numFmtId="186" fontId="32" fillId="0" borderId="5" xfId="10" applyNumberFormat="1" applyFont="1" applyFill="1" applyBorder="1" applyAlignment="1">
      <alignment vertical="center"/>
    </xf>
    <xf numFmtId="175" fontId="18" fillId="0" borderId="5" xfId="10" applyNumberFormat="1" applyFont="1" applyFill="1" applyBorder="1" applyAlignment="1">
      <alignment vertical="center"/>
    </xf>
    <xf numFmtId="0" fontId="21" fillId="0" borderId="0" xfId="9" applyFont="1" applyFill="1" applyAlignment="1">
      <alignment horizontal="center" vertical="center" wrapText="1"/>
    </xf>
    <xf numFmtId="0" fontId="21" fillId="0" borderId="0" xfId="9" applyFont="1" applyFill="1" applyAlignment="1">
      <alignment vertical="center" wrapText="1"/>
    </xf>
    <xf numFmtId="3" fontId="21" fillId="0" borderId="0" xfId="9" applyNumberFormat="1" applyFont="1" applyFill="1" applyAlignment="1">
      <alignment horizontal="left" vertical="center"/>
    </xf>
    <xf numFmtId="3" fontId="21" fillId="0" borderId="0" xfId="9" applyNumberFormat="1" applyFont="1" applyFill="1" applyAlignment="1">
      <alignment vertical="center" wrapText="1"/>
    </xf>
    <xf numFmtId="0" fontId="9" fillId="2" borderId="2" xfId="14" applyFont="1" applyFill="1" applyBorder="1" applyAlignment="1">
      <alignment vertical="center" wrapText="1"/>
    </xf>
    <xf numFmtId="0" fontId="7" fillId="2" borderId="10" xfId="14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3" fontId="4" fillId="0" borderId="2" xfId="0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172" fontId="0" fillId="0" borderId="0" xfId="0" applyNumberFormat="1"/>
    <xf numFmtId="172" fontId="0" fillId="0" borderId="0" xfId="1" applyNumberFormat="1" applyFont="1"/>
    <xf numFmtId="9" fontId="4" fillId="2" borderId="4" xfId="1" applyNumberFormat="1" applyFont="1" applyFill="1" applyBorder="1" applyAlignment="1">
      <alignment vertical="center"/>
    </xf>
    <xf numFmtId="0" fontId="6" fillId="0" borderId="0" xfId="10" applyFont="1" applyFill="1" applyAlignment="1">
      <alignment vertical="center"/>
    </xf>
    <xf numFmtId="0" fontId="6" fillId="0" borderId="0" xfId="10" applyFont="1" applyAlignment="1">
      <alignment vertical="center"/>
    </xf>
    <xf numFmtId="0" fontId="5" fillId="0" borderId="2" xfId="10" applyFont="1" applyFill="1" applyBorder="1" applyAlignment="1">
      <alignment horizontal="center" vertical="center" wrapText="1"/>
    </xf>
    <xf numFmtId="0" fontId="5" fillId="0" borderId="2" xfId="10" applyFont="1" applyBorder="1" applyAlignment="1">
      <alignment horizontal="center" vertical="center" wrapText="1"/>
    </xf>
    <xf numFmtId="0" fontId="6" fillId="0" borderId="2" xfId="10" applyFont="1" applyFill="1" applyBorder="1" applyAlignment="1">
      <alignment horizontal="center" vertical="center"/>
    </xf>
    <xf numFmtId="0" fontId="6" fillId="0" borderId="2" xfId="10" applyFont="1" applyBorder="1" applyAlignment="1">
      <alignment vertical="center"/>
    </xf>
    <xf numFmtId="0" fontId="6" fillId="0" borderId="2" xfId="10" applyFont="1" applyFill="1" applyBorder="1" applyAlignment="1">
      <alignment vertical="center"/>
    </xf>
    <xf numFmtId="3" fontId="6" fillId="0" borderId="2" xfId="10" applyNumberFormat="1" applyFont="1" applyBorder="1" applyAlignment="1">
      <alignment vertical="center"/>
    </xf>
    <xf numFmtId="3" fontId="6" fillId="0" borderId="2" xfId="10" applyNumberFormat="1" applyFont="1" applyFill="1" applyBorder="1" applyAlignment="1">
      <alignment vertical="center"/>
    </xf>
    <xf numFmtId="0" fontId="5" fillId="0" borderId="2" xfId="10" applyFont="1" applyBorder="1" applyAlignment="1">
      <alignment vertical="center"/>
    </xf>
    <xf numFmtId="9" fontId="5" fillId="0" borderId="2" xfId="10" applyNumberFormat="1" applyFont="1" applyBorder="1" applyAlignment="1">
      <alignment vertical="center"/>
    </xf>
    <xf numFmtId="180" fontId="6" fillId="0" borderId="2" xfId="5" applyNumberFormat="1" applyFont="1" applyFill="1" applyBorder="1" applyAlignment="1">
      <alignment horizontal="right" vertical="center"/>
    </xf>
    <xf numFmtId="0" fontId="5" fillId="0" borderId="2" xfId="10" applyFont="1" applyFill="1" applyBorder="1" applyAlignment="1">
      <alignment vertical="center"/>
    </xf>
    <xf numFmtId="3" fontId="5" fillId="0" borderId="2" xfId="10" applyNumberFormat="1" applyFont="1" applyBorder="1" applyAlignment="1">
      <alignment vertical="center"/>
    </xf>
    <xf numFmtId="180" fontId="5" fillId="0" borderId="2" xfId="5" applyNumberFormat="1" applyFont="1" applyBorder="1" applyAlignment="1">
      <alignment horizontal="right" vertical="center"/>
    </xf>
    <xf numFmtId="9" fontId="5" fillId="0" borderId="2" xfId="16" applyFont="1" applyBorder="1" applyAlignment="1">
      <alignment vertical="center"/>
    </xf>
    <xf numFmtId="180" fontId="5" fillId="0" borderId="2" xfId="5" applyNumberFormat="1" applyFont="1" applyFill="1" applyBorder="1" applyAlignment="1">
      <alignment horizontal="right" vertical="center"/>
    </xf>
    <xf numFmtId="0" fontId="35" fillId="0" borderId="2" xfId="0" applyFont="1" applyBorder="1" applyAlignment="1">
      <alignment vertical="center" wrapText="1"/>
    </xf>
    <xf numFmtId="10" fontId="35" fillId="0" borderId="2" xfId="0" applyNumberFormat="1" applyFont="1" applyBorder="1" applyAlignment="1">
      <alignment horizontal="right" vertical="center" wrapText="1"/>
    </xf>
    <xf numFmtId="3" fontId="35" fillId="0" borderId="2" xfId="0" applyNumberFormat="1" applyFont="1" applyBorder="1" applyAlignment="1">
      <alignment horizontal="right" vertical="center" wrapText="1"/>
    </xf>
    <xf numFmtId="3" fontId="0" fillId="0" borderId="0" xfId="0" applyNumberFormat="1"/>
    <xf numFmtId="9" fontId="0" fillId="0" borderId="0" xfId="0" applyNumberFormat="1" applyAlignment="1">
      <alignment vertical="center"/>
    </xf>
    <xf numFmtId="0" fontId="6" fillId="0" borderId="0" xfId="10" applyFont="1" applyBorder="1" applyAlignment="1">
      <alignment horizontal="center" vertical="center"/>
    </xf>
    <xf numFmtId="9" fontId="0" fillId="0" borderId="2" xfId="0" applyNumberFormat="1" applyBorder="1" applyAlignment="1">
      <alignment vertical="center"/>
    </xf>
    <xf numFmtId="172" fontId="34" fillId="0" borderId="2" xfId="0" applyNumberFormat="1" applyFont="1" applyBorder="1" applyAlignment="1">
      <alignment vertical="center"/>
    </xf>
    <xf numFmtId="172" fontId="0" fillId="0" borderId="2" xfId="0" applyNumberFormat="1" applyBorder="1" applyAlignment="1">
      <alignment vertical="center"/>
    </xf>
    <xf numFmtId="3" fontId="0" fillId="0" borderId="2" xfId="0" applyNumberFormat="1" applyBorder="1" applyAlignment="1">
      <alignment vertical="center"/>
    </xf>
    <xf numFmtId="10" fontId="7" fillId="2" borderId="4" xfId="15" applyNumberFormat="1" applyFont="1" applyFill="1" applyBorder="1" applyAlignment="1">
      <alignment horizontal="center" vertical="center"/>
    </xf>
    <xf numFmtId="3" fontId="4" fillId="2" borderId="4" xfId="1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3" fontId="4" fillId="2" borderId="4" xfId="1" applyNumberFormat="1" applyFont="1" applyFill="1" applyBorder="1" applyAlignment="1">
      <alignment vertical="center"/>
    </xf>
    <xf numFmtId="3" fontId="11" fillId="2" borderId="4" xfId="0" applyNumberFormat="1" applyFont="1" applyFill="1" applyBorder="1" applyAlignment="1">
      <alignment vertical="center"/>
    </xf>
    <xf numFmtId="3" fontId="4" fillId="2" borderId="5" xfId="1" applyNumberFormat="1" applyFont="1" applyFill="1" applyBorder="1" applyAlignment="1">
      <alignment vertical="center"/>
    </xf>
    <xf numFmtId="9" fontId="4" fillId="2" borderId="5" xfId="0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9" fontId="6" fillId="0" borderId="2" xfId="15" applyFont="1" applyBorder="1" applyAlignment="1">
      <alignment vertical="center"/>
    </xf>
    <xf numFmtId="175" fontId="4" fillId="2" borderId="2" xfId="0" applyNumberFormat="1" applyFont="1" applyFill="1" applyBorder="1" applyAlignment="1">
      <alignment horizontal="center" vertical="center" wrapText="1"/>
    </xf>
    <xf numFmtId="175" fontId="7" fillId="2" borderId="6" xfId="1" applyNumberFormat="1" applyFont="1" applyFill="1" applyBorder="1" applyAlignment="1">
      <alignment horizontal="center" vertical="center"/>
    </xf>
    <xf numFmtId="175" fontId="7" fillId="2" borderId="6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38" fontId="7" fillId="2" borderId="2" xfId="0" applyNumberFormat="1" applyFont="1" applyFill="1" applyBorder="1" applyAlignment="1">
      <alignment horizontal="center" vertical="center"/>
    </xf>
    <xf numFmtId="3" fontId="4" fillId="2" borderId="8" xfId="0" applyNumberFormat="1" applyFont="1" applyFill="1" applyBorder="1" applyAlignment="1">
      <alignment vertical="center"/>
    </xf>
    <xf numFmtId="0" fontId="6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3" fontId="6" fillId="0" borderId="2" xfId="0" applyNumberFormat="1" applyFont="1" applyBorder="1" applyAlignment="1">
      <alignment horizontal="right" vertical="center" wrapText="1"/>
    </xf>
    <xf numFmtId="9" fontId="6" fillId="0" borderId="2" xfId="0" applyNumberFormat="1" applyFont="1" applyBorder="1" applyAlignment="1">
      <alignment horizontal="right" vertical="center" wrapText="1"/>
    </xf>
    <xf numFmtId="0" fontId="36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3" fontId="5" fillId="0" borderId="2" xfId="0" applyNumberFormat="1" applyFont="1" applyBorder="1" applyAlignment="1">
      <alignment horizontal="right" vertical="center" wrapText="1"/>
    </xf>
    <xf numFmtId="9" fontId="5" fillId="0" borderId="2" xfId="0" applyNumberFormat="1" applyFont="1" applyBorder="1" applyAlignment="1">
      <alignment horizontal="right" vertical="center" wrapText="1"/>
    </xf>
    <xf numFmtId="10" fontId="4" fillId="2" borderId="8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3" fontId="4" fillId="2" borderId="8" xfId="1" applyNumberFormat="1" applyFont="1" applyFill="1" applyBorder="1" applyAlignment="1">
      <alignment vertical="center"/>
    </xf>
    <xf numFmtId="10" fontId="4" fillId="2" borderId="0" xfId="0" applyNumberFormat="1" applyFont="1" applyFill="1" applyAlignment="1">
      <alignment vertical="center"/>
    </xf>
    <xf numFmtId="0" fontId="33" fillId="0" borderId="0" xfId="0" applyFont="1"/>
    <xf numFmtId="0" fontId="5" fillId="2" borderId="12" xfId="0" applyFont="1" applyFill="1" applyBorder="1" applyAlignment="1">
      <alignment vertical="center"/>
    </xf>
    <xf numFmtId="0" fontId="5" fillId="0" borderId="2" xfId="10" applyFont="1" applyBorder="1" applyAlignment="1">
      <alignment vertical="center" wrapText="1"/>
    </xf>
    <xf numFmtId="172" fontId="33" fillId="0" borderId="2" xfId="1" applyNumberFormat="1" applyFont="1" applyBorder="1" applyAlignment="1">
      <alignment vertical="center"/>
    </xf>
    <xf numFmtId="172" fontId="33" fillId="0" borderId="2" xfId="0" applyNumberFormat="1" applyFont="1" applyBorder="1" applyAlignment="1">
      <alignment vertical="center"/>
    </xf>
    <xf numFmtId="0" fontId="18" fillId="2" borderId="0" xfId="14" applyFont="1" applyFill="1" applyAlignment="1">
      <alignment vertical="center"/>
    </xf>
    <xf numFmtId="3" fontId="64" fillId="3" borderId="4" xfId="14" applyNumberFormat="1" applyFont="1" applyFill="1" applyBorder="1" applyAlignment="1">
      <alignment horizontal="center" vertical="center"/>
    </xf>
    <xf numFmtId="2" fontId="4" fillId="2" borderId="5" xfId="0" applyNumberFormat="1" applyFont="1" applyFill="1" applyBorder="1" applyAlignment="1">
      <alignment vertical="center"/>
    </xf>
    <xf numFmtId="9" fontId="0" fillId="0" borderId="0" xfId="0" applyNumberFormat="1"/>
    <xf numFmtId="172" fontId="33" fillId="0" borderId="0" xfId="1" applyNumberFormat="1" applyFont="1"/>
    <xf numFmtId="172" fontId="33" fillId="0" borderId="0" xfId="0" applyNumberFormat="1" applyFont="1"/>
    <xf numFmtId="0" fontId="18" fillId="0" borderId="2" xfId="9" applyFont="1" applyFill="1" applyBorder="1" applyAlignment="1">
      <alignment horizontal="center" vertical="center" wrapText="1"/>
    </xf>
    <xf numFmtId="3" fontId="18" fillId="0" borderId="2" xfId="9" applyNumberFormat="1" applyFont="1" applyFill="1" applyBorder="1" applyAlignment="1">
      <alignment horizontal="center" vertical="center" wrapText="1"/>
    </xf>
    <xf numFmtId="0" fontId="26" fillId="0" borderId="2" xfId="9" applyFont="1" applyFill="1" applyBorder="1" applyAlignment="1">
      <alignment horizontal="center" vertical="center" wrapText="1"/>
    </xf>
    <xf numFmtId="0" fontId="26" fillId="0" borderId="2" xfId="9" applyFont="1" applyFill="1" applyBorder="1" applyAlignment="1">
      <alignment vertical="center" wrapText="1"/>
    </xf>
    <xf numFmtId="0" fontId="26" fillId="0" borderId="2" xfId="9" applyFont="1" applyFill="1" applyBorder="1" applyAlignment="1">
      <alignment horizontal="right" vertical="center" wrapText="1"/>
    </xf>
    <xf numFmtId="3" fontId="26" fillId="0" borderId="2" xfId="9" applyNumberFormat="1" applyFont="1" applyFill="1" applyBorder="1" applyAlignment="1">
      <alignment horizontal="right" vertical="center" wrapText="1"/>
    </xf>
    <xf numFmtId="3" fontId="26" fillId="0" borderId="2" xfId="9" applyNumberFormat="1" applyFont="1" applyFill="1" applyBorder="1" applyAlignment="1">
      <alignment horizontal="center" vertical="center" wrapText="1"/>
    </xf>
    <xf numFmtId="3" fontId="26" fillId="0" borderId="2" xfId="9" applyNumberFormat="1" applyFont="1" applyFill="1" applyBorder="1" applyAlignment="1">
      <alignment horizontal="center" vertical="center"/>
    </xf>
    <xf numFmtId="0" fontId="26" fillId="0" borderId="2" xfId="9" applyFont="1" applyFill="1" applyBorder="1" applyAlignment="1">
      <alignment horizontal="right" vertical="center"/>
    </xf>
    <xf numFmtId="3" fontId="26" fillId="0" borderId="2" xfId="9" applyNumberFormat="1" applyFont="1" applyFill="1" applyBorder="1" applyAlignment="1">
      <alignment horizontal="right" vertical="center"/>
    </xf>
    <xf numFmtId="175" fontId="26" fillId="0" borderId="2" xfId="9" applyNumberFormat="1" applyFont="1" applyFill="1" applyBorder="1" applyAlignment="1">
      <alignment horizontal="right" vertical="center"/>
    </xf>
    <xf numFmtId="4" fontId="26" fillId="0" borderId="2" xfId="9" applyNumberFormat="1" applyFont="1" applyFill="1" applyBorder="1" applyAlignment="1">
      <alignment horizontal="right" vertical="center"/>
    </xf>
    <xf numFmtId="3" fontId="29" fillId="0" borderId="2" xfId="9" applyNumberFormat="1" applyFont="1" applyFill="1" applyBorder="1" applyAlignment="1">
      <alignment vertical="center" wrapText="1"/>
    </xf>
    <xf numFmtId="0" fontId="18" fillId="0" borderId="2" xfId="10" applyFont="1" applyFill="1" applyBorder="1" applyAlignment="1">
      <alignment horizontal="center" vertical="center"/>
    </xf>
    <xf numFmtId="0" fontId="18" fillId="0" borderId="2" xfId="10" applyFont="1" applyFill="1" applyBorder="1" applyAlignment="1">
      <alignment horizontal="center" vertical="center" wrapText="1"/>
    </xf>
    <xf numFmtId="187" fontId="26" fillId="0" borderId="4" xfId="1" applyNumberFormat="1" applyFont="1" applyFill="1" applyBorder="1" applyAlignment="1">
      <alignment vertical="center"/>
    </xf>
    <xf numFmtId="175" fontId="37" fillId="0" borderId="4" xfId="10" applyNumberFormat="1" applyFont="1" applyFill="1" applyBorder="1" applyAlignment="1">
      <alignment vertical="center"/>
    </xf>
    <xf numFmtId="187" fontId="27" fillId="0" borderId="4" xfId="1" applyNumberFormat="1" applyFont="1" applyFill="1" applyBorder="1" applyAlignment="1">
      <alignment vertical="center"/>
    </xf>
    <xf numFmtId="187" fontId="26" fillId="0" borderId="4" xfId="16" applyNumberFormat="1" applyFont="1" applyFill="1" applyBorder="1" applyAlignment="1">
      <alignment horizontal="right" vertical="center"/>
    </xf>
    <xf numFmtId="186" fontId="26" fillId="0" borderId="4" xfId="10" applyNumberFormat="1" applyFont="1" applyFill="1" applyBorder="1" applyAlignment="1">
      <alignment vertical="center"/>
    </xf>
    <xf numFmtId="187" fontId="27" fillId="0" borderId="4" xfId="16" applyNumberFormat="1" applyFont="1" applyFill="1" applyBorder="1" applyAlignment="1">
      <alignment vertical="center"/>
    </xf>
    <xf numFmtId="43" fontId="27" fillId="0" borderId="4" xfId="6" applyNumberFormat="1" applyFont="1" applyFill="1" applyBorder="1" applyAlignment="1">
      <alignment vertical="center"/>
    </xf>
    <xf numFmtId="180" fontId="26" fillId="0" borderId="4" xfId="6" applyNumberFormat="1" applyFont="1" applyFill="1" applyBorder="1" applyAlignment="1">
      <alignment vertical="center"/>
    </xf>
    <xf numFmtId="187" fontId="28" fillId="0" borderId="4" xfId="6" applyNumberFormat="1" applyFont="1" applyFill="1" applyBorder="1" applyAlignment="1">
      <alignment horizontal="right" vertical="center"/>
    </xf>
    <xf numFmtId="43" fontId="26" fillId="0" borderId="4" xfId="6" applyNumberFormat="1" applyFont="1" applyFill="1" applyBorder="1" applyAlignment="1">
      <alignment vertical="center"/>
    </xf>
    <xf numFmtId="187" fontId="28" fillId="0" borderId="4" xfId="10" applyNumberFormat="1" applyFont="1" applyFill="1" applyBorder="1" applyAlignment="1">
      <alignment horizontal="right" vertical="center"/>
    </xf>
    <xf numFmtId="187" fontId="27" fillId="0" borderId="4" xfId="10" applyNumberFormat="1" applyFont="1" applyFill="1" applyBorder="1" applyAlignment="1">
      <alignment vertical="center"/>
    </xf>
    <xf numFmtId="0" fontId="18" fillId="0" borderId="5" xfId="10" applyFont="1" applyFill="1" applyBorder="1" applyAlignment="1">
      <alignment horizontal="center" vertical="center"/>
    </xf>
    <xf numFmtId="3" fontId="31" fillId="0" borderId="5" xfId="10" applyNumberFormat="1" applyFont="1" applyFill="1" applyBorder="1" applyAlignment="1">
      <alignment vertical="center"/>
    </xf>
    <xf numFmtId="0" fontId="26" fillId="0" borderId="0" xfId="10" applyFont="1" applyFill="1" applyAlignment="1">
      <alignment horizontal="center" vertical="center"/>
    </xf>
    <xf numFmtId="0" fontId="26" fillId="0" borderId="0" xfId="10" applyFont="1" applyFill="1" applyAlignment="1">
      <alignment vertical="center"/>
    </xf>
    <xf numFmtId="0" fontId="4" fillId="0" borderId="0" xfId="0" applyFont="1"/>
    <xf numFmtId="9" fontId="6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horizontal="right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vertical="center"/>
    </xf>
    <xf numFmtId="174" fontId="4" fillId="2" borderId="2" xfId="0" applyNumberFormat="1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18" fillId="0" borderId="3" xfId="10" applyFont="1" applyFill="1" applyBorder="1" applyAlignment="1">
      <alignment horizontal="center" vertical="center"/>
    </xf>
    <xf numFmtId="0" fontId="18" fillId="0" borderId="3" xfId="10" applyFont="1" applyFill="1" applyBorder="1" applyAlignment="1">
      <alignment vertical="center"/>
    </xf>
    <xf numFmtId="3" fontId="18" fillId="0" borderId="3" xfId="10" applyNumberFormat="1" applyFont="1" applyFill="1" applyBorder="1" applyAlignment="1">
      <alignment vertical="center"/>
    </xf>
    <xf numFmtId="186" fontId="18" fillId="0" borderId="3" xfId="10" applyNumberFormat="1" applyFont="1" applyFill="1" applyBorder="1" applyAlignment="1">
      <alignment vertical="center"/>
    </xf>
    <xf numFmtId="175" fontId="18" fillId="0" borderId="3" xfId="10" applyNumberFormat="1" applyFont="1" applyFill="1" applyBorder="1" applyAlignment="1">
      <alignment vertical="center"/>
    </xf>
    <xf numFmtId="9" fontId="6" fillId="0" borderId="4" xfId="15" applyFont="1" applyBorder="1" applyAlignment="1">
      <alignment horizontal="center"/>
    </xf>
    <xf numFmtId="9" fontId="6" fillId="0" borderId="5" xfId="15" applyFont="1" applyBorder="1" applyAlignment="1">
      <alignment horizontal="center"/>
    </xf>
    <xf numFmtId="0" fontId="18" fillId="0" borderId="8" xfId="10" applyFont="1" applyFill="1" applyBorder="1" applyAlignment="1">
      <alignment horizontal="center" vertical="center"/>
    </xf>
    <xf numFmtId="0" fontId="18" fillId="0" borderId="8" xfId="10" applyFont="1" applyFill="1" applyBorder="1" applyAlignment="1">
      <alignment vertical="center"/>
    </xf>
    <xf numFmtId="175" fontId="18" fillId="0" borderId="8" xfId="10" applyNumberFormat="1" applyFont="1" applyFill="1" applyBorder="1" applyAlignment="1">
      <alignment vertical="center"/>
    </xf>
    <xf numFmtId="186" fontId="18" fillId="0" borderId="8" xfId="10" applyNumberFormat="1" applyFont="1" applyFill="1" applyBorder="1" applyAlignment="1">
      <alignment vertical="center"/>
    </xf>
    <xf numFmtId="9" fontId="6" fillId="0" borderId="8" xfId="15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2" xfId="10" applyFont="1" applyFill="1" applyBorder="1" applyAlignment="1">
      <alignment horizontal="center" vertical="center"/>
    </xf>
    <xf numFmtId="175" fontId="4" fillId="0" borderId="2" xfId="0" applyNumberFormat="1" applyFont="1" applyBorder="1" applyAlignment="1">
      <alignment vertical="center"/>
    </xf>
    <xf numFmtId="10" fontId="4" fillId="0" borderId="2" xfId="15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175" fontId="7" fillId="0" borderId="2" xfId="0" applyNumberFormat="1" applyFont="1" applyBorder="1" applyAlignment="1">
      <alignment vertical="center"/>
    </xf>
    <xf numFmtId="10" fontId="7" fillId="0" borderId="2" xfId="15" applyNumberFormat="1" applyFont="1" applyBorder="1" applyAlignment="1">
      <alignment vertical="center"/>
    </xf>
    <xf numFmtId="0" fontId="18" fillId="2" borderId="2" xfId="0" applyFont="1" applyFill="1" applyBorder="1" applyAlignment="1">
      <alignment horizontal="center" vertical="center"/>
    </xf>
    <xf numFmtId="10" fontId="7" fillId="2" borderId="2" xfId="0" applyNumberFormat="1" applyFont="1" applyFill="1" applyBorder="1" applyAlignment="1">
      <alignment horizontal="center" vertical="center"/>
    </xf>
    <xf numFmtId="172" fontId="64" fillId="3" borderId="2" xfId="1" applyNumberFormat="1" applyFont="1" applyFill="1" applyBorder="1" applyAlignment="1">
      <alignment vertical="center"/>
    </xf>
    <xf numFmtId="0" fontId="18" fillId="0" borderId="2" xfId="0" applyFont="1" applyBorder="1" applyAlignment="1">
      <alignment horizontal="center" vertical="center" wrapText="1"/>
    </xf>
    <xf numFmtId="0" fontId="26" fillId="0" borderId="2" xfId="0" applyFont="1" applyBorder="1" applyAlignment="1">
      <alignment vertical="center"/>
    </xf>
    <xf numFmtId="0" fontId="38" fillId="0" borderId="2" xfId="0" applyFont="1" applyBorder="1"/>
    <xf numFmtId="0" fontId="26" fillId="0" borderId="2" xfId="0" applyFont="1" applyBorder="1" applyAlignment="1">
      <alignment horizontal="right" vertical="center"/>
    </xf>
    <xf numFmtId="3" fontId="26" fillId="0" borderId="2" xfId="0" applyNumberFormat="1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vertical="center"/>
    </xf>
    <xf numFmtId="3" fontId="18" fillId="2" borderId="8" xfId="0" applyNumberFormat="1" applyFont="1" applyFill="1" applyBorder="1" applyAlignment="1">
      <alignment vertical="center"/>
    </xf>
    <xf numFmtId="0" fontId="26" fillId="2" borderId="4" xfId="0" applyFont="1" applyFill="1" applyBorder="1" applyAlignment="1">
      <alignment vertical="center"/>
    </xf>
    <xf numFmtId="3" fontId="26" fillId="2" borderId="4" xfId="0" applyNumberFormat="1" applyFont="1" applyFill="1" applyBorder="1" applyAlignment="1">
      <alignment vertical="center"/>
    </xf>
    <xf numFmtId="0" fontId="18" fillId="2" borderId="6" xfId="0" applyFont="1" applyFill="1" applyBorder="1" applyAlignment="1">
      <alignment vertical="center"/>
    </xf>
    <xf numFmtId="3" fontId="26" fillId="2" borderId="6" xfId="0" applyNumberFormat="1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3" fontId="26" fillId="2" borderId="1" xfId="0" applyNumberFormat="1" applyFont="1" applyFill="1" applyBorder="1" applyAlignment="1">
      <alignment vertical="center"/>
    </xf>
    <xf numFmtId="0" fontId="26" fillId="2" borderId="5" xfId="0" applyFont="1" applyFill="1" applyBorder="1" applyAlignment="1">
      <alignment vertical="center"/>
    </xf>
    <xf numFmtId="3" fontId="26" fillId="2" borderId="5" xfId="0" applyNumberFormat="1" applyFont="1" applyFill="1" applyBorder="1" applyAlignment="1">
      <alignment vertical="center"/>
    </xf>
    <xf numFmtId="0" fontId="18" fillId="2" borderId="2" xfId="0" applyFont="1" applyFill="1" applyBorder="1" applyAlignment="1">
      <alignment vertical="center"/>
    </xf>
    <xf numFmtId="3" fontId="26" fillId="2" borderId="2" xfId="0" applyNumberFormat="1" applyFont="1" applyFill="1" applyBorder="1" applyAlignment="1">
      <alignment vertical="center"/>
    </xf>
    <xf numFmtId="0" fontId="26" fillId="2" borderId="1" xfId="0" applyFont="1" applyFill="1" applyBorder="1" applyAlignment="1">
      <alignment vertical="center"/>
    </xf>
    <xf numFmtId="37" fontId="18" fillId="2" borderId="1" xfId="0" applyNumberFormat="1" applyFont="1" applyFill="1" applyBorder="1" applyAlignment="1">
      <alignment horizontal="center" vertical="center"/>
    </xf>
    <xf numFmtId="0" fontId="26" fillId="2" borderId="15" xfId="0" applyFont="1" applyFill="1" applyBorder="1" applyAlignment="1">
      <alignment vertical="center"/>
    </xf>
    <xf numFmtId="0" fontId="26" fillId="2" borderId="16" xfId="0" applyFont="1" applyFill="1" applyBorder="1" applyAlignment="1">
      <alignment vertical="center"/>
    </xf>
    <xf numFmtId="0" fontId="26" fillId="2" borderId="17" xfId="0" applyFont="1" applyFill="1" applyBorder="1" applyAlignment="1">
      <alignment vertical="center"/>
    </xf>
    <xf numFmtId="37" fontId="18" fillId="2" borderId="5" xfId="0" applyNumberFormat="1" applyFont="1" applyFill="1" applyBorder="1" applyAlignment="1">
      <alignment horizontal="center" vertical="center"/>
    </xf>
    <xf numFmtId="174" fontId="9" fillId="2" borderId="1" xfId="15" applyNumberFormat="1" applyFont="1" applyFill="1" applyBorder="1" applyAlignment="1">
      <alignment horizontal="right" vertical="center"/>
    </xf>
    <xf numFmtId="174" fontId="9" fillId="2" borderId="4" xfId="15" applyNumberFormat="1" applyFont="1" applyFill="1" applyBorder="1" applyAlignment="1">
      <alignment horizontal="right" vertical="center"/>
    </xf>
    <xf numFmtId="0" fontId="39" fillId="0" borderId="0" xfId="0" applyFont="1" applyBorder="1" applyAlignment="1">
      <alignment vertical="center"/>
    </xf>
    <xf numFmtId="172" fontId="40" fillId="0" borderId="0" xfId="1" applyNumberFormat="1" applyFont="1" applyBorder="1" applyAlignment="1">
      <alignment horizontal="right" vertical="center"/>
    </xf>
    <xf numFmtId="49" fontId="63" fillId="0" borderId="2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172" fontId="6" fillId="0" borderId="0" xfId="1" applyNumberFormat="1" applyFont="1" applyAlignment="1">
      <alignment vertical="center"/>
    </xf>
    <xf numFmtId="49" fontId="6" fillId="0" borderId="2" xfId="0" applyNumberFormat="1" applyFont="1" applyBorder="1" applyAlignment="1">
      <alignment horizontal="center" vertical="center"/>
    </xf>
    <xf numFmtId="172" fontId="5" fillId="0" borderId="2" xfId="1" applyNumberFormat="1" applyFont="1" applyBorder="1" applyAlignment="1">
      <alignment vertical="center"/>
    </xf>
    <xf numFmtId="49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172" fontId="6" fillId="0" borderId="2" xfId="1" applyNumberFormat="1" applyFont="1" applyFill="1" applyBorder="1" applyAlignment="1">
      <alignment vertical="center"/>
    </xf>
    <xf numFmtId="172" fontId="41" fillId="0" borderId="0" xfId="1" applyNumberFormat="1" applyFont="1" applyAlignment="1">
      <alignment vertical="center"/>
    </xf>
    <xf numFmtId="3" fontId="5" fillId="0" borderId="0" xfId="0" applyNumberFormat="1" applyFont="1" applyAlignment="1">
      <alignment vertical="center"/>
    </xf>
    <xf numFmtId="172" fontId="44" fillId="0" borderId="0" xfId="1" applyNumberFormat="1" applyFont="1" applyBorder="1" applyAlignment="1">
      <alignment vertical="center"/>
    </xf>
    <xf numFmtId="3" fontId="39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horizontal="center" vertical="center" wrapText="1"/>
    </xf>
    <xf numFmtId="172" fontId="41" fillId="0" borderId="0" xfId="1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3" fontId="5" fillId="0" borderId="0" xfId="0" applyNumberFormat="1" applyFont="1" applyBorder="1" applyAlignment="1">
      <alignment vertical="center"/>
    </xf>
    <xf numFmtId="172" fontId="42" fillId="0" borderId="0" xfId="1" applyNumberFormat="1" applyFont="1" applyBorder="1" applyAlignment="1">
      <alignment vertical="center"/>
    </xf>
    <xf numFmtId="0" fontId="45" fillId="0" borderId="0" xfId="0" applyFont="1" applyBorder="1" applyAlignment="1">
      <alignment vertical="center"/>
    </xf>
    <xf numFmtId="3" fontId="45" fillId="0" borderId="0" xfId="0" applyNumberFormat="1" applyFont="1" applyBorder="1" applyAlignment="1">
      <alignment vertical="center"/>
    </xf>
    <xf numFmtId="172" fontId="43" fillId="0" borderId="0" xfId="1" applyNumberFormat="1" applyFont="1" applyBorder="1" applyAlignment="1">
      <alignment vertical="center"/>
    </xf>
    <xf numFmtId="0" fontId="40" fillId="0" borderId="0" xfId="0" applyFont="1" applyBorder="1" applyAlignment="1">
      <alignment vertical="center"/>
    </xf>
    <xf numFmtId="3" fontId="40" fillId="0" borderId="0" xfId="0" applyNumberFormat="1" applyFont="1" applyBorder="1" applyAlignment="1">
      <alignment vertical="center"/>
    </xf>
    <xf numFmtId="172" fontId="43" fillId="0" borderId="0" xfId="1" applyNumberFormat="1" applyFont="1" applyAlignment="1">
      <alignment vertical="center"/>
    </xf>
    <xf numFmtId="0" fontId="40" fillId="0" borderId="0" xfId="0" applyFont="1" applyAlignment="1">
      <alignment vertical="center"/>
    </xf>
    <xf numFmtId="3" fontId="40" fillId="0" borderId="0" xfId="0" applyNumberFormat="1" applyFont="1" applyAlignment="1">
      <alignment vertical="center"/>
    </xf>
    <xf numFmtId="172" fontId="42" fillId="0" borderId="0" xfId="1" applyNumberFormat="1" applyFont="1" applyAlignment="1">
      <alignment vertical="center"/>
    </xf>
    <xf numFmtId="0" fontId="45" fillId="0" borderId="0" xfId="0" applyFont="1" applyAlignment="1">
      <alignment vertical="center"/>
    </xf>
    <xf numFmtId="3" fontId="45" fillId="0" borderId="0" xfId="0" applyNumberFormat="1" applyFont="1" applyAlignment="1">
      <alignment vertical="center"/>
    </xf>
    <xf numFmtId="172" fontId="44" fillId="0" borderId="0" xfId="1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0" fontId="47" fillId="0" borderId="0" xfId="11" applyFont="1"/>
    <xf numFmtId="0" fontId="48" fillId="0" borderId="0" xfId="11" applyFont="1" applyAlignment="1">
      <alignment horizontal="center"/>
    </xf>
    <xf numFmtId="0" fontId="49" fillId="0" borderId="0" xfId="11" applyFont="1"/>
    <xf numFmtId="0" fontId="5" fillId="0" borderId="2" xfId="11" applyFont="1" applyFill="1" applyBorder="1" applyAlignment="1">
      <alignment horizontal="center" vertical="center"/>
    </xf>
    <xf numFmtId="0" fontId="2" fillId="0" borderId="0" xfId="11" applyFont="1" applyFill="1" applyBorder="1" applyAlignment="1">
      <alignment vertical="center"/>
    </xf>
    <xf numFmtId="0" fontId="26" fillId="0" borderId="0" xfId="11" applyFill="1" applyAlignment="1">
      <alignment vertical="center"/>
    </xf>
    <xf numFmtId="0" fontId="18" fillId="0" borderId="0" xfId="11" applyFont="1" applyFill="1" applyAlignment="1">
      <alignment vertical="center"/>
    </xf>
    <xf numFmtId="0" fontId="26" fillId="0" borderId="0" xfId="11" applyFont="1" applyFill="1" applyAlignment="1">
      <alignment vertical="center"/>
    </xf>
    <xf numFmtId="0" fontId="18" fillId="3" borderId="0" xfId="11" applyFont="1" applyFill="1" applyAlignment="1">
      <alignment vertical="center"/>
    </xf>
    <xf numFmtId="0" fontId="18" fillId="0" borderId="0" xfId="11" applyFont="1" applyAlignment="1">
      <alignment horizontal="center"/>
    </xf>
    <xf numFmtId="0" fontId="26" fillId="0" borderId="0" xfId="11"/>
    <xf numFmtId="3" fontId="5" fillId="2" borderId="8" xfId="0" applyNumberFormat="1" applyFont="1" applyFill="1" applyBorder="1" applyAlignment="1">
      <alignment vertical="center"/>
    </xf>
    <xf numFmtId="3" fontId="5" fillId="2" borderId="4" xfId="0" applyNumberFormat="1" applyFont="1" applyFill="1" applyBorder="1" applyAlignment="1">
      <alignment vertical="center"/>
    </xf>
    <xf numFmtId="3" fontId="6" fillId="2" borderId="4" xfId="0" applyNumberFormat="1" applyFont="1" applyFill="1" applyBorder="1" applyAlignment="1">
      <alignment vertical="center"/>
    </xf>
    <xf numFmtId="3" fontId="6" fillId="2" borderId="6" xfId="0" applyNumberFormat="1" applyFont="1" applyFill="1" applyBorder="1" applyAlignment="1">
      <alignment vertical="center"/>
    </xf>
    <xf numFmtId="3" fontId="6" fillId="2" borderId="5" xfId="0" applyNumberFormat="1" applyFont="1" applyFill="1" applyBorder="1" applyAlignment="1">
      <alignment vertical="center"/>
    </xf>
    <xf numFmtId="178" fontId="6" fillId="2" borderId="5" xfId="0" applyNumberFormat="1" applyFont="1" applyFill="1" applyBorder="1" applyAlignment="1">
      <alignment vertical="center"/>
    </xf>
    <xf numFmtId="178" fontId="65" fillId="2" borderId="1" xfId="0" applyNumberFormat="1" applyFont="1" applyFill="1" applyBorder="1" applyAlignment="1">
      <alignment vertical="center"/>
    </xf>
    <xf numFmtId="178" fontId="66" fillId="2" borderId="1" xfId="0" applyNumberFormat="1" applyFont="1" applyFill="1" applyBorder="1" applyAlignment="1">
      <alignment vertical="center"/>
    </xf>
    <xf numFmtId="3" fontId="6" fillId="2" borderId="3" xfId="0" applyNumberFormat="1" applyFont="1" applyFill="1" applyBorder="1" applyAlignment="1">
      <alignment vertical="center"/>
    </xf>
    <xf numFmtId="3" fontId="5" fillId="2" borderId="2" xfId="0" applyNumberFormat="1" applyFont="1" applyFill="1" applyBorder="1" applyAlignment="1">
      <alignment vertical="center"/>
    </xf>
    <xf numFmtId="3" fontId="6" fillId="2" borderId="2" xfId="0" applyNumberFormat="1" applyFont="1" applyFill="1" applyBorder="1" applyAlignment="1">
      <alignment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172" fontId="4" fillId="0" borderId="2" xfId="1" applyNumberFormat="1" applyFont="1" applyFill="1" applyBorder="1" applyAlignment="1">
      <alignment vertical="center"/>
    </xf>
    <xf numFmtId="172" fontId="64" fillId="0" borderId="2" xfId="1" applyNumberFormat="1" applyFont="1" applyFill="1" applyBorder="1" applyAlignment="1">
      <alignment vertical="center"/>
    </xf>
    <xf numFmtId="10" fontId="4" fillId="0" borderId="2" xfId="15" applyNumberFormat="1" applyFont="1" applyFill="1" applyBorder="1" applyAlignment="1">
      <alignment vertical="center"/>
    </xf>
    <xf numFmtId="172" fontId="67" fillId="0" borderId="0" xfId="1" applyNumberFormat="1" applyFont="1" applyAlignment="1">
      <alignment vertical="center"/>
    </xf>
    <xf numFmtId="172" fontId="65" fillId="0" borderId="0" xfId="1" applyNumberFormat="1" applyFont="1" applyBorder="1" applyAlignment="1">
      <alignment horizontal="right" vertical="center"/>
    </xf>
    <xf numFmtId="172" fontId="65" fillId="0" borderId="0" xfId="1" applyNumberFormat="1" applyFont="1" applyBorder="1" applyAlignment="1">
      <alignment vertical="center"/>
    </xf>
    <xf numFmtId="172" fontId="67" fillId="0" borderId="0" xfId="1" applyNumberFormat="1" applyFont="1" applyBorder="1" applyAlignment="1">
      <alignment horizontal="right" vertical="top" wrapText="1"/>
    </xf>
    <xf numFmtId="172" fontId="68" fillId="0" borderId="0" xfId="1" applyNumberFormat="1" applyFont="1" applyBorder="1" applyAlignment="1">
      <alignment horizontal="right" vertical="top" wrapText="1"/>
    </xf>
    <xf numFmtId="172" fontId="69" fillId="3" borderId="0" xfId="1" applyNumberFormat="1" applyFont="1" applyFill="1" applyBorder="1" applyAlignment="1">
      <alignment horizontal="right" vertical="top"/>
    </xf>
    <xf numFmtId="172" fontId="69" fillId="0" borderId="0" xfId="1" applyNumberFormat="1" applyFont="1" applyBorder="1" applyAlignment="1">
      <alignment vertical="center"/>
    </xf>
    <xf numFmtId="172" fontId="68" fillId="0" borderId="0" xfId="1" applyNumberFormat="1" applyFont="1" applyBorder="1" applyAlignment="1">
      <alignment vertical="center"/>
    </xf>
    <xf numFmtId="172" fontId="65" fillId="0" borderId="0" xfId="1" applyNumberFormat="1" applyFont="1" applyAlignment="1">
      <alignment vertical="center"/>
    </xf>
    <xf numFmtId="0" fontId="7" fillId="2" borderId="0" xfId="14" applyFont="1" applyFill="1" applyBorder="1" applyAlignment="1">
      <alignment horizontal="center" vertical="center"/>
    </xf>
    <xf numFmtId="0" fontId="8" fillId="2" borderId="0" xfId="14" applyFont="1" applyFill="1" applyBorder="1" applyAlignment="1">
      <alignment horizontal="left" vertical="center"/>
    </xf>
    <xf numFmtId="0" fontId="8" fillId="2" borderId="0" xfId="14" applyFont="1" applyFill="1" applyBorder="1" applyAlignment="1">
      <alignment horizontal="center" vertical="center"/>
    </xf>
    <xf numFmtId="0" fontId="4" fillId="2" borderId="0" xfId="14" applyFont="1" applyFill="1" applyBorder="1" applyAlignment="1">
      <alignment horizontal="center" vertical="center"/>
    </xf>
    <xf numFmtId="0" fontId="4" fillId="2" borderId="0" xfId="14" applyFont="1" applyFill="1" applyBorder="1" applyAlignment="1">
      <alignment vertical="center"/>
    </xf>
    <xf numFmtId="174" fontId="7" fillId="2" borderId="0" xfId="14" applyNumberFormat="1" applyFont="1" applyFill="1" applyBorder="1" applyAlignment="1">
      <alignment horizontal="right" vertical="center"/>
    </xf>
    <xf numFmtId="9" fontId="4" fillId="2" borderId="0" xfId="14" applyNumberFormat="1" applyFont="1" applyFill="1" applyBorder="1" applyAlignment="1">
      <alignment horizontal="center" vertical="center"/>
    </xf>
    <xf numFmtId="9" fontId="4" fillId="2" borderId="0" xfId="14" applyNumberFormat="1" applyFont="1" applyFill="1" applyBorder="1" applyAlignment="1">
      <alignment horizontal="right" vertical="center"/>
    </xf>
    <xf numFmtId="0" fontId="4" fillId="2" borderId="0" xfId="14" applyFont="1" applyFill="1" applyBorder="1" applyAlignment="1">
      <alignment horizontal="left" vertical="center"/>
    </xf>
    <xf numFmtId="179" fontId="4" fillId="2" borderId="0" xfId="14" applyNumberFormat="1" applyFont="1" applyFill="1" applyBorder="1" applyAlignment="1">
      <alignment vertical="center"/>
    </xf>
    <xf numFmtId="9" fontId="4" fillId="2" borderId="0" xfId="14" applyNumberFormat="1" applyFont="1" applyFill="1" applyBorder="1" applyAlignment="1">
      <alignment vertical="center"/>
    </xf>
    <xf numFmtId="0" fontId="13" fillId="2" borderId="8" xfId="14" applyFont="1" applyFill="1" applyBorder="1" applyAlignment="1">
      <alignment vertical="center"/>
    </xf>
    <xf numFmtId="0" fontId="4" fillId="2" borderId="7" xfId="14" applyFont="1" applyFill="1" applyBorder="1" applyAlignment="1">
      <alignment horizontal="center" vertical="center"/>
    </xf>
    <xf numFmtId="0" fontId="4" fillId="2" borderId="7" xfId="14" applyFont="1" applyFill="1" applyBorder="1" applyAlignment="1">
      <alignment vertical="center"/>
    </xf>
    <xf numFmtId="3" fontId="4" fillId="2" borderId="7" xfId="14" applyNumberFormat="1" applyFont="1" applyFill="1" applyBorder="1" applyAlignment="1">
      <alignment vertical="center"/>
    </xf>
    <xf numFmtId="174" fontId="4" fillId="2" borderId="7" xfId="14" applyNumberFormat="1" applyFont="1" applyFill="1" applyBorder="1" applyAlignment="1">
      <alignment vertical="center"/>
    </xf>
    <xf numFmtId="0" fontId="4" fillId="2" borderId="6" xfId="14" applyFont="1" applyFill="1" applyBorder="1" applyAlignment="1">
      <alignment vertical="center"/>
    </xf>
    <xf numFmtId="3" fontId="4" fillId="2" borderId="6" xfId="14" applyNumberFormat="1" applyFont="1" applyFill="1" applyBorder="1" applyAlignment="1">
      <alignment vertical="center"/>
    </xf>
    <xf numFmtId="174" fontId="4" fillId="2" borderId="6" xfId="14" applyNumberFormat="1" applyFont="1" applyFill="1" applyBorder="1" applyAlignment="1">
      <alignment vertical="center"/>
    </xf>
    <xf numFmtId="172" fontId="70" fillId="0" borderId="0" xfId="1" applyNumberFormat="1" applyFont="1" applyAlignment="1">
      <alignment vertical="center"/>
    </xf>
    <xf numFmtId="0" fontId="71" fillId="0" borderId="0" xfId="0" applyFont="1" applyAlignment="1">
      <alignment horizontal="center" vertical="center"/>
    </xf>
    <xf numFmtId="172" fontId="53" fillId="0" borderId="0" xfId="1" applyNumberFormat="1" applyFont="1" applyAlignment="1">
      <alignment vertical="center"/>
    </xf>
    <xf numFmtId="171" fontId="53" fillId="0" borderId="0" xfId="1" applyNumberFormat="1" applyFont="1" applyAlignment="1">
      <alignment vertical="center"/>
    </xf>
    <xf numFmtId="3" fontId="52" fillId="0" borderId="0" xfId="0" applyNumberFormat="1" applyFont="1" applyAlignment="1">
      <alignment vertical="center"/>
    </xf>
    <xf numFmtId="0" fontId="52" fillId="0" borderId="0" xfId="0" applyFont="1" applyAlignment="1">
      <alignment vertical="center"/>
    </xf>
    <xf numFmtId="0" fontId="52" fillId="0" borderId="0" xfId="0" applyFont="1" applyBorder="1" applyAlignment="1">
      <alignment horizontal="center" vertical="center" wrapText="1"/>
    </xf>
    <xf numFmtId="49" fontId="52" fillId="0" borderId="0" xfId="0" applyNumberFormat="1" applyFont="1" applyBorder="1" applyAlignment="1">
      <alignment horizontal="left" vertical="center"/>
    </xf>
    <xf numFmtId="0" fontId="54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172" fontId="55" fillId="0" borderId="0" xfId="1" applyNumberFormat="1" applyFont="1" applyBorder="1" applyAlignment="1">
      <alignment horizontal="right" vertical="center"/>
    </xf>
    <xf numFmtId="171" fontId="44" fillId="0" borderId="0" xfId="1" applyNumberFormat="1" applyFont="1" applyBorder="1" applyAlignment="1">
      <alignment vertical="center"/>
    </xf>
    <xf numFmtId="49" fontId="72" fillId="0" borderId="2" xfId="0" applyNumberFormat="1" applyFont="1" applyBorder="1" applyAlignment="1">
      <alignment horizontal="center" vertical="center" wrapText="1"/>
    </xf>
    <xf numFmtId="0" fontId="72" fillId="0" borderId="2" xfId="0" applyFont="1" applyBorder="1" applyAlignment="1">
      <alignment horizontal="center" vertical="center" wrapText="1"/>
    </xf>
    <xf numFmtId="0" fontId="52" fillId="0" borderId="18" xfId="0" applyFont="1" applyBorder="1" applyAlignment="1">
      <alignment horizontal="center" vertical="center" wrapText="1"/>
    </xf>
    <xf numFmtId="0" fontId="52" fillId="0" borderId="2" xfId="0" applyFont="1" applyBorder="1" applyAlignment="1">
      <alignment horizontal="center" vertical="center" wrapText="1"/>
    </xf>
    <xf numFmtId="0" fontId="67" fillId="0" borderId="0" xfId="0" applyFont="1" applyBorder="1" applyAlignment="1">
      <alignment horizontal="center" vertical="center" wrapText="1"/>
    </xf>
    <xf numFmtId="0" fontId="72" fillId="0" borderId="2" xfId="0" applyFont="1" applyBorder="1" applyAlignment="1">
      <alignment horizontal="left" vertical="center" wrapText="1"/>
    </xf>
    <xf numFmtId="172" fontId="52" fillId="0" borderId="2" xfId="1" applyNumberFormat="1" applyFont="1" applyBorder="1" applyAlignment="1">
      <alignment horizontal="right" vertical="top" wrapText="1"/>
    </xf>
    <xf numFmtId="172" fontId="63" fillId="0" borderId="0" xfId="1" applyNumberFormat="1" applyFont="1" applyBorder="1" applyAlignment="1">
      <alignment horizontal="right" vertical="top" wrapText="1"/>
    </xf>
    <xf numFmtId="171" fontId="41" fillId="0" borderId="0" xfId="1" applyNumberFormat="1" applyFont="1" applyBorder="1" applyAlignment="1">
      <alignment vertical="center"/>
    </xf>
    <xf numFmtId="49" fontId="73" fillId="0" borderId="2" xfId="0" applyNumberFormat="1" applyFont="1" applyBorder="1" applyAlignment="1">
      <alignment horizontal="center" vertical="center" wrapText="1"/>
    </xf>
    <xf numFmtId="0" fontId="73" fillId="0" borderId="2" xfId="0" applyFont="1" applyBorder="1" applyAlignment="1">
      <alignment vertical="center" wrapText="1"/>
    </xf>
    <xf numFmtId="172" fontId="56" fillId="0" borderId="2" xfId="1" applyNumberFormat="1" applyFont="1" applyBorder="1" applyAlignment="1">
      <alignment horizontal="right" vertical="top" wrapText="1"/>
    </xf>
    <xf numFmtId="172" fontId="74" fillId="0" borderId="0" xfId="1" applyNumberFormat="1" applyFont="1" applyBorder="1" applyAlignment="1">
      <alignment horizontal="right" vertical="top" wrapText="1"/>
    </xf>
    <xf numFmtId="171" fontId="42" fillId="0" borderId="0" xfId="1" applyNumberFormat="1" applyFont="1" applyBorder="1" applyAlignment="1">
      <alignment vertical="center"/>
    </xf>
    <xf numFmtId="49" fontId="75" fillId="0" borderId="2" xfId="0" applyNumberFormat="1" applyFont="1" applyBorder="1" applyAlignment="1">
      <alignment horizontal="center" vertical="center" wrapText="1"/>
    </xf>
    <xf numFmtId="0" fontId="75" fillId="0" borderId="2" xfId="0" applyFont="1" applyBorder="1" applyAlignment="1">
      <alignment vertical="center"/>
    </xf>
    <xf numFmtId="172" fontId="55" fillId="0" borderId="2" xfId="1" applyNumberFormat="1" applyFont="1" applyBorder="1" applyAlignment="1">
      <alignment vertical="center"/>
    </xf>
    <xf numFmtId="179" fontId="69" fillId="0" borderId="0" xfId="1" applyNumberFormat="1" applyFont="1" applyBorder="1" applyAlignment="1">
      <alignment vertical="center"/>
    </xf>
    <xf numFmtId="171" fontId="43" fillId="0" borderId="0" xfId="1" applyNumberFormat="1" applyFont="1" applyBorder="1" applyAlignment="1">
      <alignment vertical="center"/>
    </xf>
    <xf numFmtId="49" fontId="75" fillId="0" borderId="2" xfId="0" applyNumberFormat="1" applyFont="1" applyBorder="1" applyAlignment="1">
      <alignment horizontal="center" vertical="center"/>
    </xf>
    <xf numFmtId="49" fontId="75" fillId="4" borderId="2" xfId="0" applyNumberFormat="1" applyFont="1" applyFill="1" applyBorder="1" applyAlignment="1">
      <alignment horizontal="center" vertical="center"/>
    </xf>
    <xf numFmtId="0" fontId="75" fillId="0" borderId="2" xfId="0" applyFont="1" applyBorder="1" applyAlignment="1">
      <alignment vertical="center" wrapText="1"/>
    </xf>
    <xf numFmtId="172" fontId="76" fillId="4" borderId="0" xfId="1" applyNumberFormat="1" applyFont="1" applyFill="1" applyBorder="1" applyAlignment="1">
      <alignment horizontal="right" vertical="top"/>
    </xf>
    <xf numFmtId="49" fontId="73" fillId="4" borderId="2" xfId="0" applyNumberFormat="1" applyFont="1" applyFill="1" applyBorder="1" applyAlignment="1">
      <alignment horizontal="center" vertical="center"/>
    </xf>
    <xf numFmtId="0" fontId="73" fillId="4" borderId="2" xfId="0" applyFont="1" applyFill="1" applyBorder="1" applyAlignment="1">
      <alignment vertical="center"/>
    </xf>
    <xf numFmtId="180" fontId="56" fillId="0" borderId="2" xfId="1" applyNumberFormat="1" applyFont="1" applyBorder="1" applyAlignment="1">
      <alignment vertical="center"/>
    </xf>
    <xf numFmtId="180" fontId="68" fillId="0" borderId="0" xfId="1" applyNumberFormat="1" applyFont="1" applyBorder="1" applyAlignment="1">
      <alignment vertical="center"/>
    </xf>
    <xf numFmtId="0" fontId="75" fillId="4" borderId="2" xfId="0" applyFont="1" applyFill="1" applyBorder="1" applyAlignment="1">
      <alignment vertical="center" wrapText="1"/>
    </xf>
    <xf numFmtId="0" fontId="75" fillId="4" borderId="2" xfId="0" applyFont="1" applyFill="1" applyBorder="1" applyAlignment="1">
      <alignment vertical="center"/>
    </xf>
    <xf numFmtId="172" fontId="74" fillId="4" borderId="0" xfId="1" applyNumberFormat="1" applyFont="1" applyFill="1" applyBorder="1" applyAlignment="1">
      <alignment horizontal="right" vertical="top"/>
    </xf>
    <xf numFmtId="49" fontId="72" fillId="4" borderId="2" xfId="0" applyNumberFormat="1" applyFont="1" applyFill="1" applyBorder="1" applyAlignment="1">
      <alignment horizontal="center" vertical="center"/>
    </xf>
    <xf numFmtId="0" fontId="72" fillId="4" borderId="2" xfId="0" applyFont="1" applyFill="1" applyBorder="1" applyAlignment="1">
      <alignment vertical="center"/>
    </xf>
    <xf numFmtId="172" fontId="56" fillId="0" borderId="2" xfId="1" applyNumberFormat="1" applyFont="1" applyBorder="1" applyAlignment="1">
      <alignment vertical="center"/>
    </xf>
    <xf numFmtId="172" fontId="68" fillId="3" borderId="0" xfId="1" applyNumberFormat="1" applyFont="1" applyFill="1" applyBorder="1" applyAlignment="1">
      <alignment horizontal="right" vertical="top"/>
    </xf>
    <xf numFmtId="180" fontId="52" fillId="0" borderId="2" xfId="1" applyNumberFormat="1" applyFont="1" applyBorder="1" applyAlignment="1">
      <alignment vertical="center"/>
    </xf>
    <xf numFmtId="172" fontId="52" fillId="0" borderId="2" xfId="1" applyNumberFormat="1" applyFont="1" applyBorder="1" applyAlignment="1">
      <alignment vertical="center"/>
    </xf>
    <xf numFmtId="172" fontId="67" fillId="0" borderId="0" xfId="1" applyNumberFormat="1" applyFont="1" applyBorder="1" applyAlignment="1">
      <alignment vertical="center"/>
    </xf>
    <xf numFmtId="49" fontId="77" fillId="0" borderId="2" xfId="0" applyNumberFormat="1" applyFont="1" applyBorder="1" applyAlignment="1">
      <alignment horizontal="center" vertical="center" wrapText="1"/>
    </xf>
    <xf numFmtId="3" fontId="52" fillId="0" borderId="2" xfId="0" applyNumberFormat="1" applyFont="1" applyBorder="1" applyAlignment="1">
      <alignment vertical="top"/>
    </xf>
    <xf numFmtId="3" fontId="67" fillId="0" borderId="0" xfId="0" applyNumberFormat="1" applyFont="1" applyBorder="1" applyAlignment="1">
      <alignment vertical="top"/>
    </xf>
    <xf numFmtId="3" fontId="6" fillId="0" borderId="0" xfId="0" applyNumberFormat="1" applyFont="1" applyBorder="1" applyAlignment="1">
      <alignment vertical="top"/>
    </xf>
    <xf numFmtId="171" fontId="44" fillId="0" borderId="0" xfId="1" applyNumberFormat="1" applyFont="1" applyAlignment="1">
      <alignment vertical="center"/>
    </xf>
    <xf numFmtId="180" fontId="6" fillId="0" borderId="2" xfId="1" applyNumberFormat="1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172" fontId="5" fillId="0" borderId="0" xfId="1" applyNumberFormat="1" applyFont="1" applyAlignment="1">
      <alignment horizontal="center" vertical="center"/>
    </xf>
    <xf numFmtId="171" fontId="41" fillId="0" borderId="0" xfId="1" applyNumberFormat="1" applyFont="1" applyAlignment="1">
      <alignment vertical="center"/>
    </xf>
    <xf numFmtId="179" fontId="6" fillId="0" borderId="0" xfId="1" applyNumberFormat="1" applyFont="1" applyAlignment="1">
      <alignment vertical="center"/>
    </xf>
    <xf numFmtId="49" fontId="45" fillId="0" borderId="0" xfId="0" applyNumberFormat="1" applyFont="1" applyAlignment="1">
      <alignment vertical="center"/>
    </xf>
    <xf numFmtId="172" fontId="68" fillId="0" borderId="0" xfId="1" applyNumberFormat="1" applyFont="1" applyAlignment="1">
      <alignment vertical="center"/>
    </xf>
    <xf numFmtId="171" fontId="42" fillId="0" borderId="0" xfId="1" applyNumberFormat="1" applyFont="1" applyAlignment="1">
      <alignment vertical="center"/>
    </xf>
    <xf numFmtId="0" fontId="46" fillId="0" borderId="0" xfId="0" applyFont="1" applyAlignment="1">
      <alignment vertical="center"/>
    </xf>
    <xf numFmtId="0" fontId="6" fillId="0" borderId="0" xfId="11" applyFont="1"/>
    <xf numFmtId="0" fontId="5" fillId="0" borderId="0" xfId="11" applyFont="1" applyAlignment="1">
      <alignment horizontal="center"/>
    </xf>
    <xf numFmtId="10" fontId="6" fillId="0" borderId="0" xfId="11" applyNumberFormat="1" applyFont="1"/>
    <xf numFmtId="0" fontId="26" fillId="0" borderId="0" xfId="11" applyFont="1" applyAlignment="1">
      <alignment horizontal="center"/>
    </xf>
    <xf numFmtId="0" fontId="6" fillId="0" borderId="0" xfId="11" applyFont="1" applyAlignment="1">
      <alignment horizontal="center"/>
    </xf>
    <xf numFmtId="0" fontId="5" fillId="0" borderId="0" xfId="11" applyFont="1" applyFill="1" applyBorder="1" applyAlignment="1">
      <alignment vertical="center"/>
    </xf>
    <xf numFmtId="0" fontId="5" fillId="0" borderId="0" xfId="11" applyFont="1" applyFill="1" applyAlignment="1">
      <alignment vertical="center"/>
    </xf>
    <xf numFmtId="0" fontId="6" fillId="0" borderId="2" xfId="11" applyFont="1" applyFill="1" applyBorder="1" applyAlignment="1">
      <alignment horizontal="center" vertical="center"/>
    </xf>
    <xf numFmtId="0" fontId="6" fillId="0" borderId="2" xfId="11" applyFont="1" applyFill="1" applyBorder="1" applyAlignment="1">
      <alignment horizontal="left" vertical="center"/>
    </xf>
    <xf numFmtId="172" fontId="6" fillId="0" borderId="2" xfId="1" applyNumberFormat="1" applyFont="1" applyFill="1" applyBorder="1" applyAlignment="1">
      <alignment horizontal="center" vertical="center"/>
    </xf>
    <xf numFmtId="172" fontId="6" fillId="0" borderId="0" xfId="11" applyNumberFormat="1" applyFont="1" applyFill="1" applyAlignment="1">
      <alignment vertical="center"/>
    </xf>
    <xf numFmtId="0" fontId="40" fillId="0" borderId="2" xfId="11" applyFont="1" applyFill="1" applyBorder="1" applyAlignment="1">
      <alignment horizontal="center" vertical="center"/>
    </xf>
    <xf numFmtId="0" fontId="40" fillId="0" borderId="2" xfId="11" applyFont="1" applyFill="1" applyBorder="1" applyAlignment="1">
      <alignment horizontal="left" vertical="center"/>
    </xf>
    <xf numFmtId="172" fontId="40" fillId="0" borderId="2" xfId="1" applyNumberFormat="1" applyFont="1" applyFill="1" applyBorder="1" applyAlignment="1">
      <alignment vertical="center"/>
    </xf>
    <xf numFmtId="172" fontId="40" fillId="0" borderId="2" xfId="1" applyNumberFormat="1" applyFont="1" applyFill="1" applyBorder="1" applyAlignment="1">
      <alignment horizontal="center" vertical="center"/>
    </xf>
    <xf numFmtId="172" fontId="40" fillId="0" borderId="0" xfId="11" applyNumberFormat="1" applyFont="1" applyFill="1" applyAlignment="1">
      <alignment vertical="center"/>
    </xf>
    <xf numFmtId="0" fontId="37" fillId="0" borderId="0" xfId="11" applyFont="1" applyFill="1" applyAlignment="1">
      <alignment vertical="center"/>
    </xf>
    <xf numFmtId="0" fontId="5" fillId="3" borderId="2" xfId="11" applyFont="1" applyFill="1" applyBorder="1" applyAlignment="1">
      <alignment horizontal="center" vertical="center"/>
    </xf>
    <xf numFmtId="172" fontId="5" fillId="3" borderId="2" xfId="1" applyNumberFormat="1" applyFont="1" applyFill="1" applyBorder="1" applyAlignment="1">
      <alignment vertical="center"/>
    </xf>
    <xf numFmtId="172" fontId="5" fillId="3" borderId="2" xfId="1" applyNumberFormat="1" applyFont="1" applyFill="1" applyBorder="1" applyAlignment="1">
      <alignment horizontal="center" vertical="center"/>
    </xf>
    <xf numFmtId="172" fontId="5" fillId="3" borderId="0" xfId="11" applyNumberFormat="1" applyFont="1" applyFill="1" applyAlignment="1">
      <alignment vertical="center"/>
    </xf>
    <xf numFmtId="0" fontId="2" fillId="0" borderId="0" xfId="11" applyFont="1" applyAlignment="1">
      <alignment horizontal="center"/>
    </xf>
    <xf numFmtId="0" fontId="2" fillId="0" borderId="0" xfId="11" applyFont="1"/>
    <xf numFmtId="0" fontId="5" fillId="0" borderId="0" xfId="11" applyFont="1"/>
    <xf numFmtId="0" fontId="45" fillId="0" borderId="0" xfId="11" applyFont="1" applyAlignment="1">
      <alignment horizontal="center"/>
    </xf>
    <xf numFmtId="0" fontId="45" fillId="0" borderId="0" xfId="11" applyFont="1"/>
    <xf numFmtId="0" fontId="6" fillId="0" borderId="0" xfId="11" applyFont="1" applyAlignment="1">
      <alignment vertical="center"/>
    </xf>
    <xf numFmtId="0" fontId="6" fillId="0" borderId="0" xfId="11" applyFont="1" applyAlignment="1">
      <alignment vertical="center" wrapText="1"/>
    </xf>
    <xf numFmtId="0" fontId="78" fillId="0" borderId="0" xfId="11" applyFont="1" applyAlignment="1">
      <alignment vertical="center"/>
    </xf>
    <xf numFmtId="0" fontId="78" fillId="0" borderId="0" xfId="11" applyFont="1" applyAlignment="1">
      <alignment vertical="center" wrapText="1"/>
    </xf>
    <xf numFmtId="180" fontId="6" fillId="0" borderId="2" xfId="11" applyNumberFormat="1" applyFont="1" applyBorder="1" applyAlignment="1">
      <alignment vertical="center"/>
    </xf>
    <xf numFmtId="0" fontId="6" fillId="0" borderId="2" xfId="11" applyFont="1" applyBorder="1" applyAlignment="1">
      <alignment vertical="center"/>
    </xf>
    <xf numFmtId="9" fontId="6" fillId="0" borderId="2" xfId="11" applyNumberFormat="1" applyFont="1" applyBorder="1" applyAlignment="1">
      <alignment vertical="center" wrapText="1"/>
    </xf>
    <xf numFmtId="0" fontId="5" fillId="0" borderId="0" xfId="11" applyFont="1" applyAlignment="1">
      <alignment vertical="center"/>
    </xf>
    <xf numFmtId="180" fontId="5" fillId="0" borderId="2" xfId="11" applyNumberFormat="1" applyFont="1" applyBorder="1" applyAlignment="1">
      <alignment vertical="center"/>
    </xf>
    <xf numFmtId="0" fontId="5" fillId="0" borderId="2" xfId="11" applyFont="1" applyBorder="1" applyAlignment="1">
      <alignment vertical="center"/>
    </xf>
    <xf numFmtId="0" fontId="5" fillId="0" borderId="2" xfId="11" applyFont="1" applyBorder="1" applyAlignment="1">
      <alignment vertical="center" wrapText="1"/>
    </xf>
    <xf numFmtId="0" fontId="6" fillId="0" borderId="2" xfId="11" applyFont="1" applyBorder="1" applyAlignment="1">
      <alignment horizontal="center" vertical="center"/>
    </xf>
    <xf numFmtId="0" fontId="6" fillId="0" borderId="2" xfId="11" applyFont="1" applyBorder="1" applyAlignment="1">
      <alignment vertical="center" wrapText="1"/>
    </xf>
    <xf numFmtId="172" fontId="6" fillId="0" borderId="2" xfId="11" applyNumberFormat="1" applyFont="1" applyBorder="1" applyAlignment="1">
      <alignment vertical="center"/>
    </xf>
    <xf numFmtId="0" fontId="6" fillId="0" borderId="0" xfId="11" applyFont="1" applyBorder="1" applyAlignment="1">
      <alignment vertical="center"/>
    </xf>
    <xf numFmtId="172" fontId="6" fillId="0" borderId="2" xfId="11" applyNumberFormat="1" applyFont="1" applyBorder="1" applyAlignment="1">
      <alignment horizontal="center" vertical="center"/>
    </xf>
    <xf numFmtId="0" fontId="79" fillId="0" borderId="0" xfId="11" applyFont="1" applyBorder="1" applyAlignment="1">
      <alignment vertical="center"/>
    </xf>
    <xf numFmtId="0" fontId="5" fillId="0" borderId="2" xfId="11" applyFont="1" applyBorder="1" applyAlignment="1">
      <alignment horizontal="center" vertical="center"/>
    </xf>
    <xf numFmtId="0" fontId="79" fillId="0" borderId="2" xfId="11" applyFont="1" applyBorder="1" applyAlignment="1">
      <alignment vertical="center" wrapText="1"/>
    </xf>
    <xf numFmtId="0" fontId="78" fillId="0" borderId="0" xfId="11" applyFont="1" applyBorder="1" applyAlignment="1">
      <alignment vertical="center"/>
    </xf>
    <xf numFmtId="172" fontId="78" fillId="0" borderId="0" xfId="1" applyNumberFormat="1" applyFont="1" applyBorder="1" applyAlignment="1">
      <alignment vertical="center"/>
    </xf>
    <xf numFmtId="9" fontId="78" fillId="0" borderId="0" xfId="11" applyNumberFormat="1" applyFont="1" applyBorder="1" applyAlignment="1">
      <alignment vertical="center" wrapText="1"/>
    </xf>
    <xf numFmtId="0" fontId="78" fillId="0" borderId="0" xfId="11" applyFont="1" applyBorder="1" applyAlignment="1">
      <alignment vertical="center" wrapText="1"/>
    </xf>
    <xf numFmtId="0" fontId="24" fillId="0" borderId="0" xfId="11" applyFont="1" applyBorder="1" applyAlignment="1">
      <alignment vertical="center"/>
    </xf>
    <xf numFmtId="172" fontId="24" fillId="0" borderId="0" xfId="1" applyNumberFormat="1" applyFont="1" applyBorder="1" applyAlignment="1">
      <alignment horizontal="center" vertical="center"/>
    </xf>
    <xf numFmtId="0" fontId="24" fillId="0" borderId="0" xfId="11" applyFont="1" applyBorder="1" applyAlignment="1">
      <alignment horizontal="center" vertical="center"/>
    </xf>
    <xf numFmtId="49" fontId="24" fillId="0" borderId="0" xfId="0" applyNumberFormat="1" applyFont="1" applyBorder="1" applyAlignment="1">
      <alignment horizontal="center" vertical="center"/>
    </xf>
    <xf numFmtId="172" fontId="78" fillId="3" borderId="0" xfId="11" applyNumberFormat="1" applyFont="1" applyFill="1" applyBorder="1" applyAlignment="1">
      <alignment vertical="center"/>
    </xf>
    <xf numFmtId="0" fontId="78" fillId="3" borderId="0" xfId="11" applyFont="1" applyFill="1" applyBorder="1" applyAlignment="1">
      <alignment vertical="center" wrapText="1"/>
    </xf>
    <xf numFmtId="0" fontId="78" fillId="3" borderId="0" xfId="11" applyFont="1" applyFill="1" applyBorder="1" applyAlignment="1">
      <alignment horizontal="center" vertical="center"/>
    </xf>
    <xf numFmtId="172" fontId="6" fillId="0" borderId="0" xfId="11" applyNumberFormat="1" applyFont="1" applyBorder="1" applyAlignment="1">
      <alignment vertical="center"/>
    </xf>
    <xf numFmtId="172" fontId="78" fillId="0" borderId="0" xfId="11" applyNumberFormat="1" applyFont="1" applyBorder="1" applyAlignment="1">
      <alignment vertical="center"/>
    </xf>
    <xf numFmtId="171" fontId="6" fillId="0" borderId="0" xfId="11" applyNumberFormat="1" applyFont="1" applyBorder="1" applyAlignment="1">
      <alignment vertical="center"/>
    </xf>
    <xf numFmtId="0" fontId="6" fillId="0" borderId="0" xfId="11" applyFont="1" applyBorder="1" applyAlignment="1">
      <alignment vertical="center" wrapText="1"/>
    </xf>
    <xf numFmtId="0" fontId="2" fillId="0" borderId="0" xfId="11" applyFont="1" applyBorder="1" applyAlignment="1">
      <alignment vertical="center" wrapText="1"/>
    </xf>
    <xf numFmtId="0" fontId="2" fillId="0" borderId="0" xfId="11" applyFont="1" applyBorder="1" applyAlignment="1">
      <alignment vertical="center"/>
    </xf>
    <xf numFmtId="172" fontId="5" fillId="2" borderId="0" xfId="1" applyNumberFormat="1" applyFont="1" applyFill="1" applyBorder="1" applyAlignment="1">
      <alignment horizontal="center" vertical="center"/>
    </xf>
    <xf numFmtId="172" fontId="5" fillId="2" borderId="19" xfId="1" applyNumberFormat="1" applyFont="1" applyFill="1" applyBorder="1" applyAlignment="1">
      <alignment horizontal="center" vertical="center"/>
    </xf>
    <xf numFmtId="172" fontId="5" fillId="2" borderId="0" xfId="1" applyNumberFormat="1" applyFont="1" applyFill="1" applyBorder="1" applyAlignment="1">
      <alignment vertical="center" wrapText="1"/>
    </xf>
    <xf numFmtId="172" fontId="5" fillId="2" borderId="18" xfId="1" applyNumberFormat="1" applyFont="1" applyFill="1" applyBorder="1" applyAlignment="1">
      <alignment vertical="center" wrapText="1"/>
    </xf>
    <xf numFmtId="172" fontId="6" fillId="2" borderId="2" xfId="1" applyNumberFormat="1" applyFont="1" applyFill="1" applyBorder="1" applyAlignment="1">
      <alignment horizontal="center" vertical="center"/>
    </xf>
    <xf numFmtId="9" fontId="6" fillId="2" borderId="18" xfId="15" applyFont="1" applyFill="1" applyBorder="1" applyAlignment="1">
      <alignment horizontal="center" vertical="center" wrapText="1"/>
    </xf>
    <xf numFmtId="172" fontId="6" fillId="2" borderId="18" xfId="1" applyNumberFormat="1" applyFont="1" applyFill="1" applyBorder="1" applyAlignment="1">
      <alignment vertical="center" wrapText="1"/>
    </xf>
    <xf numFmtId="172" fontId="6" fillId="2" borderId="2" xfId="1" applyNumberFormat="1" applyFont="1" applyFill="1" applyBorder="1" applyAlignment="1">
      <alignment vertical="center"/>
    </xf>
    <xf numFmtId="172" fontId="5" fillId="2" borderId="18" xfId="1" applyNumberFormat="1" applyFont="1" applyFill="1" applyBorder="1" applyAlignment="1">
      <alignment horizontal="center" vertical="center" wrapText="1"/>
    </xf>
    <xf numFmtId="174" fontId="6" fillId="2" borderId="18" xfId="15" applyNumberFormat="1" applyFont="1" applyFill="1" applyBorder="1" applyAlignment="1">
      <alignment horizontal="center" vertical="center" wrapText="1"/>
    </xf>
    <xf numFmtId="0" fontId="6" fillId="2" borderId="18" xfId="11" applyFont="1" applyFill="1" applyBorder="1" applyAlignment="1">
      <alignment vertical="center" wrapText="1"/>
    </xf>
    <xf numFmtId="0" fontId="6" fillId="2" borderId="2" xfId="11" applyFont="1" applyFill="1" applyBorder="1" applyAlignment="1">
      <alignment vertical="center"/>
    </xf>
    <xf numFmtId="0" fontId="6" fillId="2" borderId="18" xfId="11" applyFont="1" applyFill="1" applyBorder="1" applyAlignment="1">
      <alignment horizontal="center" vertical="center" wrapText="1"/>
    </xf>
    <xf numFmtId="0" fontId="45" fillId="0" borderId="0" xfId="11" applyFont="1" applyAlignment="1">
      <alignment vertical="center"/>
    </xf>
    <xf numFmtId="172" fontId="45" fillId="2" borderId="2" xfId="1" applyNumberFormat="1" applyFont="1" applyFill="1" applyBorder="1" applyAlignment="1">
      <alignment vertical="center"/>
    </xf>
    <xf numFmtId="0" fontId="45" fillId="2" borderId="18" xfId="11" applyFont="1" applyFill="1" applyBorder="1" applyAlignment="1">
      <alignment horizontal="center" vertical="center" wrapText="1"/>
    </xf>
    <xf numFmtId="0" fontId="45" fillId="2" borderId="18" xfId="11" applyFont="1" applyFill="1" applyBorder="1" applyAlignment="1">
      <alignment vertical="center" wrapText="1"/>
    </xf>
    <xf numFmtId="0" fontId="45" fillId="2" borderId="2" xfId="11" applyFont="1" applyFill="1" applyBorder="1" applyAlignment="1">
      <alignment horizontal="center" vertical="center"/>
    </xf>
    <xf numFmtId="180" fontId="6" fillId="2" borderId="2" xfId="1" applyNumberFormat="1" applyFont="1" applyFill="1" applyBorder="1" applyAlignment="1">
      <alignment vertical="center"/>
    </xf>
    <xf numFmtId="9" fontId="6" fillId="2" borderId="18" xfId="11" applyNumberFormat="1" applyFont="1" applyFill="1" applyBorder="1" applyAlignment="1">
      <alignment horizontal="center" vertical="center" wrapText="1"/>
    </xf>
    <xf numFmtId="0" fontId="66" fillId="0" borderId="0" xfId="11" applyFont="1" applyAlignment="1">
      <alignment vertical="center"/>
    </xf>
    <xf numFmtId="174" fontId="66" fillId="2" borderId="18" xfId="11" applyNumberFormat="1" applyFont="1" applyFill="1" applyBorder="1" applyAlignment="1">
      <alignment horizontal="center" vertical="center" wrapText="1"/>
    </xf>
    <xf numFmtId="0" fontId="6" fillId="2" borderId="18" xfId="1" applyNumberFormat="1" applyFont="1" applyFill="1" applyBorder="1"/>
    <xf numFmtId="0" fontId="6" fillId="2" borderId="2" xfId="11" applyFont="1" applyFill="1" applyBorder="1" applyAlignment="1">
      <alignment horizontal="center" vertical="center"/>
    </xf>
    <xf numFmtId="174" fontId="51" fillId="0" borderId="18" xfId="12" applyNumberFormat="1" applyFont="1" applyBorder="1" applyAlignment="1">
      <alignment horizontal="center"/>
    </xf>
    <xf numFmtId="0" fontId="51" fillId="0" borderId="18" xfId="12" applyFont="1" applyBorder="1"/>
    <xf numFmtId="0" fontId="51" fillId="0" borderId="18" xfId="12" applyFont="1" applyBorder="1" applyAlignment="1">
      <alignment horizontal="center"/>
    </xf>
    <xf numFmtId="0" fontId="6" fillId="0" borderId="0" xfId="11" applyFont="1" applyFill="1" applyAlignment="1">
      <alignment vertical="center"/>
    </xf>
    <xf numFmtId="0" fontId="6" fillId="0" borderId="18" xfId="11" applyFont="1" applyFill="1" applyBorder="1" applyAlignment="1">
      <alignment horizontal="center" vertical="center" wrapText="1"/>
    </xf>
    <xf numFmtId="0" fontId="6" fillId="0" borderId="18" xfId="11" applyFont="1" applyFill="1" applyBorder="1" applyAlignment="1">
      <alignment vertical="center" wrapText="1"/>
    </xf>
    <xf numFmtId="9" fontId="6" fillId="0" borderId="18" xfId="11" applyNumberFormat="1" applyFont="1" applyFill="1" applyBorder="1" applyAlignment="1">
      <alignment horizontal="center" vertical="center" wrapText="1"/>
    </xf>
    <xf numFmtId="0" fontId="66" fillId="2" borderId="18" xfId="1" applyNumberFormat="1" applyFont="1" applyFill="1" applyBorder="1" applyAlignment="1">
      <alignment horizontal="center" vertical="center" wrapText="1"/>
    </xf>
    <xf numFmtId="172" fontId="78" fillId="2" borderId="2" xfId="1" applyNumberFormat="1" applyFont="1" applyFill="1" applyBorder="1" applyAlignment="1">
      <alignment vertical="center"/>
    </xf>
    <xf numFmtId="0" fontId="78" fillId="0" borderId="18" xfId="12" applyFont="1" applyBorder="1" applyAlignment="1">
      <alignment horizontal="center"/>
    </xf>
    <xf numFmtId="0" fontId="78" fillId="0" borderId="18" xfId="12" applyFont="1" applyBorder="1"/>
    <xf numFmtId="0" fontId="78" fillId="2" borderId="2" xfId="11" applyFont="1" applyFill="1" applyBorder="1" applyAlignment="1">
      <alignment horizontal="center" vertical="center"/>
    </xf>
    <xf numFmtId="0" fontId="78" fillId="0" borderId="2" xfId="12" applyFont="1" applyBorder="1" applyAlignment="1">
      <alignment horizontal="center"/>
    </xf>
    <xf numFmtId="0" fontId="78" fillId="0" borderId="2" xfId="12" applyFont="1" applyBorder="1"/>
    <xf numFmtId="0" fontId="51" fillId="0" borderId="2" xfId="12" applyFont="1" applyBorder="1" applyAlignment="1">
      <alignment horizontal="center"/>
    </xf>
    <xf numFmtId="0" fontId="51" fillId="0" borderId="2" xfId="12" applyFont="1" applyBorder="1"/>
    <xf numFmtId="171" fontId="6" fillId="0" borderId="2" xfId="1" applyNumberFormat="1" applyFont="1" applyFill="1" applyBorder="1" applyAlignment="1">
      <alignment vertical="center"/>
    </xf>
    <xf numFmtId="0" fontId="51" fillId="0" borderId="2" xfId="12" applyFont="1" applyBorder="1" applyAlignment="1">
      <alignment horizontal="center" vertical="center"/>
    </xf>
    <xf numFmtId="0" fontId="57" fillId="0" borderId="2" xfId="12" applyFont="1" applyBorder="1" applyAlignment="1">
      <alignment wrapText="1"/>
    </xf>
    <xf numFmtId="172" fontId="51" fillId="0" borderId="2" xfId="1" applyNumberFormat="1" applyFont="1" applyBorder="1" applyAlignment="1">
      <alignment horizontal="center" vertical="center"/>
    </xf>
    <xf numFmtId="172" fontId="6" fillId="0" borderId="4" xfId="4" applyNumberFormat="1" applyFont="1" applyFill="1" applyBorder="1" applyAlignment="1">
      <alignment vertical="center"/>
    </xf>
    <xf numFmtId="0" fontId="51" fillId="0" borderId="2" xfId="12" applyFont="1" applyBorder="1" applyAlignment="1">
      <alignment wrapText="1"/>
    </xf>
    <xf numFmtId="0" fontId="40" fillId="0" borderId="0" xfId="11" applyFont="1" applyAlignment="1">
      <alignment vertical="center"/>
    </xf>
    <xf numFmtId="180" fontId="45" fillId="2" borderId="2" xfId="1" applyNumberFormat="1" applyFont="1" applyFill="1" applyBorder="1" applyAlignment="1">
      <alignment vertical="center"/>
    </xf>
    <xf numFmtId="172" fontId="5" fillId="5" borderId="6" xfId="1" applyNumberFormat="1" applyFont="1" applyFill="1" applyBorder="1" applyAlignment="1">
      <alignment vertical="center"/>
    </xf>
    <xf numFmtId="0" fontId="5" fillId="5" borderId="18" xfId="11" applyFont="1" applyFill="1" applyBorder="1" applyAlignment="1">
      <alignment horizontal="center" vertical="center" wrapText="1"/>
    </xf>
    <xf numFmtId="0" fontId="5" fillId="5" borderId="18" xfId="11" applyFont="1" applyFill="1" applyBorder="1" applyAlignment="1">
      <alignment vertical="center" wrapText="1"/>
    </xf>
    <xf numFmtId="0" fontId="5" fillId="5" borderId="2" xfId="11" applyFont="1" applyFill="1" applyBorder="1" applyAlignment="1">
      <alignment horizontal="center" vertical="center"/>
    </xf>
    <xf numFmtId="0" fontId="5" fillId="0" borderId="0" xfId="11" applyFont="1" applyFill="1" applyAlignment="1"/>
    <xf numFmtId="172" fontId="6" fillId="0" borderId="2" xfId="1" applyNumberFormat="1" applyFont="1" applyFill="1" applyBorder="1" applyAlignment="1"/>
    <xf numFmtId="172" fontId="5" fillId="0" borderId="2" xfId="1" applyNumberFormat="1" applyFont="1" applyFill="1" applyBorder="1" applyAlignment="1"/>
    <xf numFmtId="172" fontId="58" fillId="0" borderId="2" xfId="1" applyNumberFormat="1" applyFont="1" applyBorder="1" applyAlignment="1">
      <alignment horizontal="center"/>
    </xf>
    <xf numFmtId="10" fontId="58" fillId="2" borderId="2" xfId="15" applyNumberFormat="1" applyFont="1" applyFill="1" applyBorder="1" applyAlignment="1"/>
    <xf numFmtId="0" fontId="5" fillId="0" borderId="2" xfId="11" applyFont="1" applyFill="1" applyBorder="1" applyAlignment="1">
      <alignment horizontal="center"/>
    </xf>
    <xf numFmtId="0" fontId="79" fillId="0" borderId="0" xfId="11" applyFont="1" applyFill="1" applyAlignment="1"/>
    <xf numFmtId="179" fontId="78" fillId="0" borderId="2" xfId="1" applyNumberFormat="1" applyFont="1" applyFill="1" applyBorder="1" applyAlignment="1">
      <alignment vertical="center"/>
    </xf>
    <xf numFmtId="172" fontId="79" fillId="0" borderId="2" xfId="1" applyNumberFormat="1" applyFont="1" applyFill="1" applyBorder="1" applyAlignment="1"/>
    <xf numFmtId="10" fontId="78" fillId="0" borderId="2" xfId="12" applyNumberFormat="1" applyFont="1" applyBorder="1" applyAlignment="1">
      <alignment horizontal="center"/>
    </xf>
    <xf numFmtId="10" fontId="78" fillId="2" borderId="2" xfId="15" applyNumberFormat="1" applyFont="1" applyFill="1" applyBorder="1" applyAlignment="1"/>
    <xf numFmtId="0" fontId="79" fillId="0" borderId="2" xfId="11" applyFont="1" applyFill="1" applyBorder="1" applyAlignment="1">
      <alignment horizontal="center"/>
    </xf>
    <xf numFmtId="10" fontId="5" fillId="0" borderId="2" xfId="12" applyNumberFormat="1" applyFont="1" applyBorder="1" applyAlignment="1">
      <alignment horizontal="center"/>
    </xf>
    <xf numFmtId="10" fontId="5" fillId="2" borderId="2" xfId="15" applyNumberFormat="1" applyFont="1" applyFill="1" applyBorder="1" applyAlignment="1"/>
    <xf numFmtId="172" fontId="78" fillId="0" borderId="2" xfId="1" applyNumberFormat="1" applyFont="1" applyFill="1" applyBorder="1" applyAlignment="1">
      <alignment vertical="center"/>
    </xf>
    <xf numFmtId="10" fontId="79" fillId="0" borderId="2" xfId="12" applyNumberFormat="1" applyFont="1" applyBorder="1" applyAlignment="1">
      <alignment horizontal="center"/>
    </xf>
    <xf numFmtId="2" fontId="5" fillId="2" borderId="2" xfId="1" applyNumberFormat="1" applyFont="1" applyFill="1" applyBorder="1" applyAlignment="1"/>
    <xf numFmtId="179" fontId="6" fillId="0" borderId="2" xfId="1" applyNumberFormat="1" applyFont="1" applyFill="1" applyBorder="1" applyAlignment="1"/>
    <xf numFmtId="179" fontId="58" fillId="0" borderId="2" xfId="1" applyNumberFormat="1" applyFont="1" applyBorder="1" applyAlignment="1">
      <alignment horizontal="center"/>
    </xf>
    <xf numFmtId="0" fontId="6" fillId="0" borderId="0" xfId="11" applyFont="1" applyFill="1" applyAlignment="1"/>
    <xf numFmtId="180" fontId="6" fillId="0" borderId="2" xfId="1" applyNumberFormat="1" applyFont="1" applyFill="1" applyBorder="1" applyAlignment="1"/>
    <xf numFmtId="10" fontId="6" fillId="0" borderId="2" xfId="15" applyNumberFormat="1" applyFont="1" applyFill="1" applyBorder="1" applyAlignment="1"/>
    <xf numFmtId="172" fontId="6" fillId="0" borderId="2" xfId="1" applyNumberFormat="1" applyFont="1" applyBorder="1" applyAlignment="1">
      <alignment horizontal="center"/>
    </xf>
    <xf numFmtId="2" fontId="6" fillId="2" borderId="2" xfId="1" applyNumberFormat="1" applyFont="1" applyFill="1" applyBorder="1" applyAlignment="1"/>
    <xf numFmtId="0" fontId="6" fillId="0" borderId="2" xfId="11" applyFont="1" applyFill="1" applyBorder="1" applyAlignment="1">
      <alignment horizontal="center"/>
    </xf>
    <xf numFmtId="174" fontId="6" fillId="0" borderId="2" xfId="15" applyNumberFormat="1" applyFont="1" applyBorder="1" applyAlignment="1">
      <alignment horizontal="right"/>
    </xf>
    <xf numFmtId="179" fontId="6" fillId="0" borderId="2" xfId="1" applyNumberFormat="1" applyFont="1" applyBorder="1" applyAlignment="1">
      <alignment horizontal="center"/>
    </xf>
    <xf numFmtId="0" fontId="78" fillId="0" borderId="0" xfId="11" applyFont="1" applyFill="1" applyAlignment="1"/>
    <xf numFmtId="172" fontId="78" fillId="0" borderId="2" xfId="1" applyNumberFormat="1" applyFont="1" applyFill="1" applyBorder="1" applyAlignment="1"/>
    <xf numFmtId="10" fontId="78" fillId="0" borderId="2" xfId="15" applyNumberFormat="1" applyFont="1" applyFill="1" applyBorder="1" applyAlignment="1"/>
    <xf numFmtId="177" fontId="78" fillId="0" borderId="2" xfId="1" applyNumberFormat="1" applyFont="1" applyBorder="1" applyAlignment="1">
      <alignment horizontal="center"/>
    </xf>
    <xf numFmtId="2" fontId="78" fillId="2" borderId="2" xfId="1" applyNumberFormat="1" applyFont="1" applyFill="1" applyBorder="1" applyAlignment="1"/>
    <xf numFmtId="0" fontId="78" fillId="0" borderId="2" xfId="11" applyFont="1" applyFill="1" applyBorder="1" applyAlignment="1">
      <alignment horizontal="center"/>
    </xf>
    <xf numFmtId="172" fontId="59" fillId="0" borderId="0" xfId="1" applyNumberFormat="1" applyFont="1" applyFill="1" applyAlignment="1"/>
    <xf numFmtId="172" fontId="59" fillId="0" borderId="2" xfId="1" applyNumberFormat="1" applyFont="1" applyFill="1" applyBorder="1" applyAlignment="1"/>
    <xf numFmtId="172" fontId="59" fillId="0" borderId="2" xfId="1" applyNumberFormat="1" applyFont="1" applyBorder="1" applyAlignment="1"/>
    <xf numFmtId="172" fontId="59" fillId="2" borderId="2" xfId="1" applyNumberFormat="1" applyFont="1" applyFill="1" applyBorder="1" applyAlignment="1"/>
    <xf numFmtId="0" fontId="59" fillId="0" borderId="2" xfId="1" applyNumberFormat="1" applyFont="1" applyFill="1" applyBorder="1" applyAlignment="1">
      <alignment horizontal="center"/>
    </xf>
    <xf numFmtId="171" fontId="6" fillId="0" borderId="2" xfId="1" applyNumberFormat="1" applyFont="1" applyFill="1" applyBorder="1" applyAlignment="1"/>
    <xf numFmtId="172" fontId="78" fillId="0" borderId="2" xfId="1" applyNumberFormat="1" applyFont="1" applyBorder="1" applyAlignment="1">
      <alignment horizontal="center"/>
    </xf>
    <xf numFmtId="0" fontId="59" fillId="0" borderId="2" xfId="11" applyFont="1" applyFill="1" applyBorder="1" applyAlignment="1">
      <alignment horizontal="center"/>
    </xf>
    <xf numFmtId="172" fontId="5" fillId="5" borderId="2" xfId="1" applyNumberFormat="1" applyFont="1" applyFill="1" applyBorder="1" applyAlignment="1">
      <alignment vertical="center"/>
    </xf>
    <xf numFmtId="171" fontId="5" fillId="5" borderId="2" xfId="1" applyFont="1" applyFill="1" applyBorder="1" applyAlignment="1">
      <alignment vertical="center"/>
    </xf>
    <xf numFmtId="0" fontId="5" fillId="5" borderId="2" xfId="11" applyFont="1" applyFill="1" applyBorder="1" applyAlignment="1">
      <alignment vertical="center" wrapText="1"/>
    </xf>
    <xf numFmtId="0" fontId="5" fillId="2" borderId="12" xfId="11" applyFont="1" applyFill="1" applyBorder="1" applyAlignment="1">
      <alignment horizontal="center" vertical="center"/>
    </xf>
    <xf numFmtId="0" fontId="6" fillId="0" borderId="0" xfId="11" applyFont="1" applyAlignment="1">
      <alignment horizontal="center" vertical="center"/>
    </xf>
    <xf numFmtId="0" fontId="6" fillId="0" borderId="0" xfId="11" applyFont="1" applyAlignment="1">
      <alignment horizontal="center" vertical="center" wrapText="1"/>
    </xf>
    <xf numFmtId="0" fontId="47" fillId="0" borderId="0" xfId="11" applyFont="1" applyAlignment="1">
      <alignment vertical="center"/>
    </xf>
    <xf numFmtId="0" fontId="46" fillId="0" borderId="0" xfId="11" applyFont="1" applyAlignment="1">
      <alignment vertical="center"/>
    </xf>
    <xf numFmtId="0" fontId="60" fillId="0" borderId="0" xfId="0" applyFont="1"/>
    <xf numFmtId="0" fontId="61" fillId="0" borderId="0" xfId="0" applyFont="1"/>
    <xf numFmtId="0" fontId="60" fillId="0" borderId="0" xfId="0" applyFont="1" applyAlignment="1">
      <alignment horizontal="center"/>
    </xf>
    <xf numFmtId="172" fontId="60" fillId="0" borderId="0" xfId="0" applyNumberFormat="1" applyFont="1"/>
    <xf numFmtId="0" fontId="56" fillId="0" borderId="0" xfId="0" applyFont="1"/>
    <xf numFmtId="0" fontId="56" fillId="0" borderId="0" xfId="0" applyFont="1" applyAlignment="1">
      <alignment horizontal="center"/>
    </xf>
    <xf numFmtId="0" fontId="60" fillId="0" borderId="0" xfId="0" applyNumberFormat="1" applyFont="1"/>
    <xf numFmtId="0" fontId="13" fillId="2" borderId="0" xfId="0" applyFont="1" applyFill="1" applyAlignment="1">
      <alignment vertical="center"/>
    </xf>
    <xf numFmtId="0" fontId="13" fillId="2" borderId="0" xfId="0" applyFont="1" applyFill="1" applyBorder="1" applyAlignment="1">
      <alignment vertical="center"/>
    </xf>
    <xf numFmtId="0" fontId="80" fillId="0" borderId="0" xfId="0" applyFont="1"/>
    <xf numFmtId="0" fontId="52" fillId="0" borderId="0" xfId="0" applyFont="1"/>
    <xf numFmtId="0" fontId="70" fillId="0" borderId="0" xfId="0" applyFont="1"/>
    <xf numFmtId="172" fontId="70" fillId="0" borderId="0" xfId="1" applyNumberFormat="1" applyFont="1"/>
    <xf numFmtId="172" fontId="52" fillId="0" borderId="2" xfId="1" applyNumberFormat="1" applyFont="1" applyBorder="1"/>
    <xf numFmtId="172" fontId="13" fillId="0" borderId="2" xfId="1" applyNumberFormat="1" applyFont="1" applyBorder="1"/>
    <xf numFmtId="0" fontId="52" fillId="0" borderId="2" xfId="0" applyFont="1" applyBorder="1"/>
    <xf numFmtId="0" fontId="52" fillId="0" borderId="2" xfId="0" applyFont="1" applyBorder="1" applyAlignment="1">
      <alignment horizontal="center"/>
    </xf>
    <xf numFmtId="174" fontId="52" fillId="0" borderId="2" xfId="15" applyNumberFormat="1" applyFont="1" applyBorder="1" applyAlignment="1">
      <alignment horizontal="right"/>
    </xf>
    <xf numFmtId="0" fontId="70" fillId="0" borderId="0" xfId="0" applyFont="1" applyBorder="1"/>
    <xf numFmtId="172" fontId="70" fillId="0" borderId="20" xfId="1" applyNumberFormat="1" applyFont="1" applyFill="1" applyBorder="1"/>
    <xf numFmtId="172" fontId="52" fillId="0" borderId="2" xfId="0" applyNumberFormat="1" applyFont="1" applyBorder="1"/>
    <xf numFmtId="172" fontId="13" fillId="0" borderId="2" xfId="0" applyNumberFormat="1" applyFont="1" applyBorder="1"/>
    <xf numFmtId="9" fontId="52" fillId="0" borderId="2" xfId="0" applyNumberFormat="1" applyFont="1" applyBorder="1"/>
    <xf numFmtId="174" fontId="52" fillId="0" borderId="2" xfId="0" applyNumberFormat="1" applyFont="1" applyBorder="1"/>
    <xf numFmtId="190" fontId="70" fillId="0" borderId="0" xfId="15" applyNumberFormat="1" applyFont="1"/>
    <xf numFmtId="0" fontId="13" fillId="0" borderId="0" xfId="0" applyFont="1"/>
    <xf numFmtId="0" fontId="71" fillId="0" borderId="0" xfId="0" applyFont="1"/>
    <xf numFmtId="172" fontId="71" fillId="0" borderId="0" xfId="1" applyNumberFormat="1" applyFont="1"/>
    <xf numFmtId="0" fontId="13" fillId="0" borderId="2" xfId="0" applyFont="1" applyBorder="1"/>
    <xf numFmtId="172" fontId="13" fillId="0" borderId="2" xfId="1" applyNumberFormat="1" applyFont="1" applyBorder="1" applyAlignment="1">
      <alignment horizontal="right"/>
    </xf>
    <xf numFmtId="0" fontId="13" fillId="0" borderId="2" xfId="0" quotePrefix="1" applyFont="1" applyBorder="1"/>
    <xf numFmtId="0" fontId="13" fillId="0" borderId="2" xfId="0" applyFont="1" applyBorder="1" applyAlignment="1">
      <alignment horizontal="center"/>
    </xf>
    <xf numFmtId="172" fontId="52" fillId="0" borderId="2" xfId="1" applyNumberFormat="1" applyFont="1" applyBorder="1" applyAlignment="1">
      <alignment horizontal="right"/>
    </xf>
    <xf numFmtId="0" fontId="13" fillId="0" borderId="0" xfId="0" applyFont="1" applyAlignment="1">
      <alignment horizontal="center"/>
    </xf>
    <xf numFmtId="0" fontId="62" fillId="0" borderId="0" xfId="0" applyFont="1"/>
    <xf numFmtId="0" fontId="26" fillId="0" borderId="2" xfId="0" applyFont="1" applyBorder="1" applyAlignment="1">
      <alignment horizontal="center" vertical="center" wrapText="1"/>
    </xf>
    <xf numFmtId="9" fontId="26" fillId="0" borderId="2" xfId="0" applyNumberFormat="1" applyFont="1" applyBorder="1" applyAlignment="1">
      <alignment horizontal="center" vertical="center"/>
    </xf>
    <xf numFmtId="9" fontId="26" fillId="0" borderId="2" xfId="0" applyNumberFormat="1" applyFont="1" applyBorder="1" applyAlignment="1">
      <alignment horizontal="center" vertical="center" wrapText="1"/>
    </xf>
    <xf numFmtId="49" fontId="52" fillId="0" borderId="0" xfId="0" applyNumberFormat="1" applyFont="1" applyAlignment="1">
      <alignment vertical="center"/>
    </xf>
    <xf numFmtId="49" fontId="52" fillId="0" borderId="0" xfId="0" applyNumberFormat="1" applyFont="1" applyAlignment="1">
      <alignment vertical="center" wrapText="1"/>
    </xf>
    <xf numFmtId="0" fontId="52" fillId="0" borderId="0" xfId="11" applyFont="1" applyAlignment="1"/>
    <xf numFmtId="0" fontId="56" fillId="0" borderId="0" xfId="0" applyFont="1" applyAlignment="1"/>
    <xf numFmtId="0" fontId="56" fillId="0" borderId="0" xfId="0" applyFont="1" applyAlignment="1">
      <alignment wrapText="1"/>
    </xf>
    <xf numFmtId="4" fontId="4" fillId="2" borderId="4" xfId="14" applyNumberFormat="1" applyFont="1" applyFill="1" applyBorder="1" applyAlignment="1">
      <alignment vertical="center"/>
    </xf>
    <xf numFmtId="174" fontId="64" fillId="2" borderId="4" xfId="15" applyNumberFormat="1" applyFont="1" applyFill="1" applyBorder="1" applyAlignment="1">
      <alignment horizontal="right" vertical="center"/>
    </xf>
    <xf numFmtId="174" fontId="4" fillId="2" borderId="2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vertical="center"/>
    </xf>
    <xf numFmtId="38" fontId="4" fillId="2" borderId="8" xfId="0" applyNumberFormat="1" applyFont="1" applyFill="1" applyBorder="1" applyAlignment="1">
      <alignment vertical="center"/>
    </xf>
    <xf numFmtId="10" fontId="4" fillId="2" borderId="4" xfId="0" applyNumberFormat="1" applyFont="1" applyFill="1" applyBorder="1" applyAlignment="1">
      <alignment vertical="center"/>
    </xf>
    <xf numFmtId="0" fontId="46" fillId="0" borderId="0" xfId="11" applyFont="1" applyAlignment="1">
      <alignment horizontal="center" vertical="center"/>
    </xf>
    <xf numFmtId="0" fontId="5" fillId="2" borderId="7" xfId="11" applyFont="1" applyFill="1" applyBorder="1" applyAlignment="1">
      <alignment horizontal="center" vertical="center"/>
    </xf>
    <xf numFmtId="0" fontId="5" fillId="2" borderId="6" xfId="11" applyFont="1" applyFill="1" applyBorder="1" applyAlignment="1">
      <alignment horizontal="center" vertical="center"/>
    </xf>
    <xf numFmtId="0" fontId="5" fillId="2" borderId="21" xfId="11" applyFont="1" applyFill="1" applyBorder="1" applyAlignment="1">
      <alignment horizontal="center" vertical="center" wrapText="1"/>
    </xf>
    <xf numFmtId="0" fontId="5" fillId="2" borderId="13" xfId="11" applyFont="1" applyFill="1" applyBorder="1" applyAlignment="1">
      <alignment horizontal="center" vertical="center" wrapText="1"/>
    </xf>
    <xf numFmtId="0" fontId="5" fillId="2" borderId="22" xfId="11" applyFont="1" applyFill="1" applyBorder="1" applyAlignment="1">
      <alignment horizontal="center" vertical="center" wrapText="1"/>
    </xf>
    <xf numFmtId="0" fontId="5" fillId="2" borderId="14" xfId="11" applyFont="1" applyFill="1" applyBorder="1" applyAlignment="1">
      <alignment horizontal="center" vertical="center" wrapText="1"/>
    </xf>
    <xf numFmtId="0" fontId="5" fillId="2" borderId="18" xfId="11" applyFont="1" applyFill="1" applyBorder="1" applyAlignment="1">
      <alignment horizontal="center" vertical="center"/>
    </xf>
    <xf numFmtId="0" fontId="5" fillId="2" borderId="12" xfId="11" applyFont="1" applyFill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0" xfId="11" applyFont="1" applyBorder="1" applyAlignment="1">
      <alignment horizontal="center" vertical="center"/>
    </xf>
    <xf numFmtId="172" fontId="2" fillId="0" borderId="0" xfId="1" applyNumberFormat="1" applyFont="1" applyBorder="1" applyAlignment="1">
      <alignment horizontal="center" vertical="center"/>
    </xf>
    <xf numFmtId="49" fontId="24" fillId="0" borderId="0" xfId="0" applyNumberFormat="1" applyFont="1" applyBorder="1" applyAlignment="1">
      <alignment horizontal="center" vertical="center"/>
    </xf>
    <xf numFmtId="0" fontId="24" fillId="0" borderId="0" xfId="11" applyFont="1" applyBorder="1" applyAlignment="1">
      <alignment horizontal="center" vertical="center"/>
    </xf>
    <xf numFmtId="172" fontId="24" fillId="0" borderId="0" xfId="1" applyNumberFormat="1" applyFont="1" applyBorder="1" applyAlignment="1">
      <alignment horizontal="center" vertical="center"/>
    </xf>
    <xf numFmtId="0" fontId="5" fillId="0" borderId="2" xfId="11" applyFont="1" applyBorder="1" applyAlignment="1">
      <alignment horizontal="center" vertical="center"/>
    </xf>
    <xf numFmtId="0" fontId="6" fillId="0" borderId="18" xfId="11" applyFont="1" applyBorder="1" applyAlignment="1">
      <alignment horizontal="left" vertical="center"/>
    </xf>
    <xf numFmtId="0" fontId="6" fillId="0" borderId="9" xfId="11" applyFont="1" applyBorder="1" applyAlignment="1">
      <alignment horizontal="left" vertical="center"/>
    </xf>
    <xf numFmtId="0" fontId="5" fillId="0" borderId="18" xfId="11" applyFont="1" applyBorder="1" applyAlignment="1">
      <alignment horizontal="left" vertical="center"/>
    </xf>
    <xf numFmtId="0" fontId="5" fillId="0" borderId="9" xfId="11" applyFont="1" applyBorder="1" applyAlignment="1">
      <alignment horizontal="left" vertical="center"/>
    </xf>
    <xf numFmtId="0" fontId="26" fillId="0" borderId="18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174" fontId="26" fillId="0" borderId="18" xfId="0" applyNumberFormat="1" applyFont="1" applyBorder="1" applyAlignment="1">
      <alignment horizontal="center" vertical="center" wrapText="1"/>
    </xf>
    <xf numFmtId="174" fontId="26" fillId="0" borderId="9" xfId="0" applyNumberFormat="1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/>
    </xf>
    <xf numFmtId="3" fontId="26" fillId="0" borderId="18" xfId="1" applyNumberFormat="1" applyFont="1" applyBorder="1" applyAlignment="1">
      <alignment horizontal="center" vertical="center"/>
    </xf>
    <xf numFmtId="0" fontId="26" fillId="0" borderId="9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49" fontId="26" fillId="0" borderId="18" xfId="0" applyNumberFormat="1" applyFont="1" applyBorder="1" applyAlignment="1">
      <alignment horizontal="center" vertical="center"/>
    </xf>
    <xf numFmtId="49" fontId="26" fillId="0" borderId="9" xfId="0" applyNumberFormat="1" applyFont="1" applyBorder="1" applyAlignment="1">
      <alignment horizontal="center" vertical="center"/>
    </xf>
    <xf numFmtId="9" fontId="26" fillId="0" borderId="18" xfId="0" applyNumberFormat="1" applyFont="1" applyBorder="1" applyAlignment="1">
      <alignment horizontal="center" vertical="center" wrapText="1"/>
    </xf>
    <xf numFmtId="9" fontId="26" fillId="0" borderId="9" xfId="0" applyNumberFormat="1" applyFont="1" applyBorder="1" applyAlignment="1">
      <alignment horizontal="center" vertical="center" wrapText="1"/>
    </xf>
    <xf numFmtId="174" fontId="26" fillId="0" borderId="18" xfId="0" applyNumberFormat="1" applyFont="1" applyBorder="1" applyAlignment="1">
      <alignment horizontal="center" vertical="center"/>
    </xf>
    <xf numFmtId="174" fontId="26" fillId="0" borderId="9" xfId="0" applyNumberFormat="1" applyFont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18" fillId="2" borderId="11" xfId="14" applyFont="1" applyFill="1" applyBorder="1" applyAlignment="1">
      <alignment horizontal="center" vertical="center"/>
    </xf>
    <xf numFmtId="0" fontId="8" fillId="2" borderId="2" xfId="14" applyFont="1" applyFill="1" applyBorder="1" applyAlignment="1">
      <alignment horizontal="center" vertical="center"/>
    </xf>
    <xf numFmtId="0" fontId="4" fillId="2" borderId="23" xfId="14" applyFont="1" applyFill="1" applyBorder="1" applyAlignment="1">
      <alignment horizontal="left" vertical="center"/>
    </xf>
    <xf numFmtId="0" fontId="4" fillId="2" borderId="24" xfId="14" applyFont="1" applyFill="1" applyBorder="1" applyAlignment="1">
      <alignment horizontal="left" vertical="center"/>
    </xf>
    <xf numFmtId="0" fontId="4" fillId="2" borderId="23" xfId="14" applyFont="1" applyFill="1" applyBorder="1" applyAlignment="1">
      <alignment horizontal="center" vertical="center"/>
    </xf>
    <xf numFmtId="0" fontId="4" fillId="2" borderId="24" xfId="14" applyFont="1" applyFill="1" applyBorder="1" applyAlignment="1">
      <alignment horizontal="center" vertical="center"/>
    </xf>
    <xf numFmtId="0" fontId="8" fillId="2" borderId="18" xfId="14" applyFont="1" applyFill="1" applyBorder="1" applyAlignment="1">
      <alignment horizontal="center" vertical="center"/>
    </xf>
    <xf numFmtId="0" fontId="8" fillId="2" borderId="12" xfId="14" applyFont="1" applyFill="1" applyBorder="1" applyAlignment="1">
      <alignment horizontal="center" vertical="center"/>
    </xf>
    <xf numFmtId="0" fontId="8" fillId="2" borderId="9" xfId="14" applyFont="1" applyFill="1" applyBorder="1" applyAlignment="1">
      <alignment horizontal="center" vertical="center"/>
    </xf>
    <xf numFmtId="0" fontId="7" fillId="2" borderId="18" xfId="14" applyFont="1" applyFill="1" applyBorder="1" applyAlignment="1">
      <alignment horizontal="left" vertical="center" wrapText="1"/>
    </xf>
    <xf numFmtId="0" fontId="7" fillId="2" borderId="12" xfId="14" applyFont="1" applyFill="1" applyBorder="1" applyAlignment="1">
      <alignment horizontal="left" vertical="center" wrapText="1"/>
    </xf>
    <xf numFmtId="0" fontId="7" fillId="2" borderId="9" xfId="14" applyFont="1" applyFill="1" applyBorder="1" applyAlignment="1">
      <alignment horizontal="left" vertical="center" wrapText="1"/>
    </xf>
    <xf numFmtId="172" fontId="7" fillId="2" borderId="18" xfId="1" applyNumberFormat="1" applyFont="1" applyFill="1" applyBorder="1" applyAlignment="1">
      <alignment horizontal="center" vertical="center"/>
    </xf>
    <xf numFmtId="172" fontId="7" fillId="2" borderId="9" xfId="1" applyNumberFormat="1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4" fillId="2" borderId="25" xfId="14" applyFont="1" applyFill="1" applyBorder="1" applyAlignment="1">
      <alignment horizontal="left" vertical="center"/>
    </xf>
    <xf numFmtId="0" fontId="7" fillId="2" borderId="23" xfId="14" applyFont="1" applyFill="1" applyBorder="1" applyAlignment="1">
      <alignment horizontal="center" vertical="center"/>
    </xf>
    <xf numFmtId="0" fontId="7" fillId="2" borderId="25" xfId="14" applyFont="1" applyFill="1" applyBorder="1" applyAlignment="1">
      <alignment horizontal="center" vertical="center"/>
    </xf>
    <xf numFmtId="0" fontId="7" fillId="2" borderId="24" xfId="14" applyFont="1" applyFill="1" applyBorder="1" applyAlignment="1">
      <alignment horizontal="center" vertical="center"/>
    </xf>
    <xf numFmtId="0" fontId="13" fillId="2" borderId="23" xfId="14" applyFont="1" applyFill="1" applyBorder="1" applyAlignment="1">
      <alignment horizontal="left" vertical="center"/>
    </xf>
    <xf numFmtId="0" fontId="13" fillId="2" borderId="24" xfId="14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2" fillId="0" borderId="0" xfId="0" applyFont="1" applyBorder="1" applyAlignment="1">
      <alignment horizontal="center" vertical="center"/>
    </xf>
    <xf numFmtId="0" fontId="52" fillId="0" borderId="0" xfId="0" applyFont="1" applyBorder="1" applyAlignment="1">
      <alignment horizontal="center" vertical="center" wrapText="1"/>
    </xf>
    <xf numFmtId="0" fontId="46" fillId="0" borderId="0" xfId="0" applyFont="1" applyAlignment="1">
      <alignment horizontal="center" vertical="center"/>
    </xf>
    <xf numFmtId="0" fontId="5" fillId="0" borderId="2" xfId="11" applyFont="1" applyFill="1" applyBorder="1" applyAlignment="1">
      <alignment horizontal="center" vertical="center"/>
    </xf>
    <xf numFmtId="0" fontId="5" fillId="0" borderId="2" xfId="1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0" borderId="0" xfId="11" applyFont="1" applyAlignment="1">
      <alignment horizontal="center"/>
    </xf>
    <xf numFmtId="172" fontId="2" fillId="0" borderId="0" xfId="1" applyNumberFormat="1" applyFont="1" applyAlignment="1">
      <alignment horizontal="center" vertical="center"/>
    </xf>
    <xf numFmtId="49" fontId="45" fillId="0" borderId="0" xfId="0" applyNumberFormat="1" applyFont="1" applyAlignment="1">
      <alignment horizontal="center" vertical="center"/>
    </xf>
    <xf numFmtId="0" fontId="45" fillId="0" borderId="0" xfId="11" applyFont="1" applyAlignment="1">
      <alignment horizontal="center"/>
    </xf>
    <xf numFmtId="0" fontId="26" fillId="2" borderId="26" xfId="0" applyFont="1" applyFill="1" applyBorder="1" applyAlignment="1">
      <alignment horizontal="left" vertical="center"/>
    </xf>
    <xf numFmtId="0" fontId="26" fillId="2" borderId="27" xfId="0" applyFont="1" applyFill="1" applyBorder="1" applyAlignment="1">
      <alignment horizontal="left" vertical="center"/>
    </xf>
    <xf numFmtId="0" fontId="26" fillId="2" borderId="28" xfId="0" applyFont="1" applyFill="1" applyBorder="1" applyAlignment="1">
      <alignment horizontal="left" vertical="center"/>
    </xf>
    <xf numFmtId="0" fontId="18" fillId="2" borderId="7" xfId="0" applyFont="1" applyFill="1" applyBorder="1" applyAlignment="1">
      <alignment horizontal="left" vertical="center"/>
    </xf>
    <xf numFmtId="0" fontId="18" fillId="2" borderId="6" xfId="0" applyFont="1" applyFill="1" applyBorder="1" applyAlignment="1">
      <alignment horizontal="left" vertical="center"/>
    </xf>
    <xf numFmtId="0" fontId="26" fillId="2" borderId="2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3" fontId="7" fillId="2" borderId="7" xfId="0" applyNumberFormat="1" applyFont="1" applyFill="1" applyBorder="1" applyAlignment="1">
      <alignment horizontal="center" vertical="center"/>
    </xf>
    <xf numFmtId="3" fontId="7" fillId="2" borderId="6" xfId="0" applyNumberFormat="1" applyFont="1" applyFill="1" applyBorder="1" applyAlignment="1">
      <alignment horizontal="center" vertical="center"/>
    </xf>
    <xf numFmtId="3" fontId="7" fillId="2" borderId="7" xfId="0" applyNumberFormat="1" applyFont="1" applyFill="1" applyBorder="1" applyAlignment="1">
      <alignment horizontal="center" vertical="center" wrapText="1"/>
    </xf>
    <xf numFmtId="3" fontId="7" fillId="2" borderId="6" xfId="0" applyNumberFormat="1" applyFont="1" applyFill="1" applyBorder="1" applyAlignment="1">
      <alignment horizontal="center" vertical="center" wrapText="1"/>
    </xf>
    <xf numFmtId="3" fontId="7" fillId="2" borderId="2" xfId="0" applyNumberFormat="1" applyFont="1" applyFill="1" applyBorder="1" applyAlignment="1">
      <alignment horizontal="center" vertical="center"/>
    </xf>
    <xf numFmtId="3" fontId="5" fillId="2" borderId="11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2" fillId="0" borderId="0" xfId="9" applyFont="1" applyFill="1" applyAlignment="1">
      <alignment horizontal="center" vertical="center" wrapText="1"/>
    </xf>
    <xf numFmtId="0" fontId="2" fillId="0" borderId="0" xfId="13" applyFont="1" applyFill="1" applyAlignment="1">
      <alignment horizontal="center" vertical="center"/>
    </xf>
    <xf numFmtId="0" fontId="24" fillId="0" borderId="11" xfId="13" applyFont="1" applyFill="1" applyBorder="1" applyAlignment="1">
      <alignment horizontal="right"/>
    </xf>
    <xf numFmtId="0" fontId="2" fillId="0" borderId="0" xfId="9" applyFont="1" applyFill="1" applyAlignment="1">
      <alignment horizontal="center"/>
    </xf>
    <xf numFmtId="0" fontId="18" fillId="0" borderId="0" xfId="10" applyFont="1" applyFill="1" applyAlignment="1">
      <alignment horizontal="center" vertical="center"/>
    </xf>
    <xf numFmtId="3" fontId="5" fillId="0" borderId="2" xfId="10" applyNumberFormat="1" applyFont="1" applyBorder="1" applyAlignment="1">
      <alignment horizontal="center" vertical="center"/>
    </xf>
    <xf numFmtId="0" fontId="2" fillId="0" borderId="0" xfId="1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56" fillId="0" borderId="0" xfId="0" applyFont="1" applyAlignment="1">
      <alignment horizontal="center"/>
    </xf>
    <xf numFmtId="49" fontId="52" fillId="0" borderId="0" xfId="0" applyNumberFormat="1" applyFont="1" applyAlignment="1">
      <alignment horizontal="center" vertical="center" wrapText="1"/>
    </xf>
    <xf numFmtId="0" fontId="52" fillId="0" borderId="2" xfId="0" applyFont="1" applyBorder="1" applyAlignment="1">
      <alignment horizontal="center" vertical="center"/>
    </xf>
    <xf numFmtId="0" fontId="52" fillId="0" borderId="7" xfId="0" applyFont="1" applyBorder="1" applyAlignment="1">
      <alignment horizontal="center" vertical="center"/>
    </xf>
    <xf numFmtId="0" fontId="52" fillId="0" borderId="6" xfId="0" applyFont="1" applyBorder="1" applyAlignment="1">
      <alignment horizontal="center" vertical="center"/>
    </xf>
    <xf numFmtId="0" fontId="70" fillId="0" borderId="20" xfId="0" applyFont="1" applyBorder="1" applyAlignment="1">
      <alignment horizontal="center"/>
    </xf>
    <xf numFmtId="0" fontId="70" fillId="0" borderId="0" xfId="0" applyFont="1" applyAlignment="1">
      <alignment horizontal="center"/>
    </xf>
    <xf numFmtId="0" fontId="52" fillId="0" borderId="0" xfId="11" applyFont="1" applyAlignment="1">
      <alignment horizontal="center"/>
    </xf>
  </cellXfs>
  <cellStyles count="17">
    <cellStyle name="Comma" xfId="1" builtinId="3"/>
    <cellStyle name="Comma 10" xfId="2"/>
    <cellStyle name="Comma 2" xfId="3"/>
    <cellStyle name="Comma 3" xfId="4"/>
    <cellStyle name="Comma 6" xfId="5"/>
    <cellStyle name="Comma 8" xfId="6"/>
    <cellStyle name="Comma 9" xfId="7"/>
    <cellStyle name="Normal" xfId="0" builtinId="0"/>
    <cellStyle name="Normal 2" xfId="8"/>
    <cellStyle name="Normal 3" xfId="9"/>
    <cellStyle name="Normal 4" xfId="10"/>
    <cellStyle name="Normal_DA KS tinh chau giang (version 1) sua" xfId="11"/>
    <cellStyle name="Normal_Du án đầu tư mỏ đá Thịnh Trường" xfId="12"/>
    <cellStyle name="Normal_monthly budget" xfId="13"/>
    <cellStyle name="Normal_Sheet1" xfId="14"/>
    <cellStyle name="Percent" xfId="15" builtinId="5"/>
    <cellStyle name="Percent 3" xfId="16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au%20bieu%20APC/Tin%20dung/1225%20Huong%20dan%20quy%20che%20cho%20vay/Phap%20nhan/Tham%20khao%20BCTD/PA%20Agribank%2014.9.2016%20(1)%20(2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ownloads/CFG%20Ninh%20Binh/Ho%20so%20vay%20von/HIEU%20QUA%20TAI%20CHINH%202%20CHUYEN%20NINH%20BINH%20MO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au%20bieu%20APC/Tin%20dung/1225%20Huong%20dan%20quy%20che%20cho%20vay/Phap%20nhan/Tham%20khao%20BCTD/PA%20Kinh%20noi%20Ninh%20Binh%2070.30%20truoc%20VAT%20SUA%20(2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Mau%20bieu%20APC/Tin%20dung/1225%20Huong%20dan%20quy%20che%20cho%20vay/Phap%20nhan/Tham%20khao%20BCTD/Du%20an%20Trai%20ga%20Xuan%20Phu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ON CTHU"/>
      <sheetName val="TMDT"/>
      <sheetName val="KHSDV"/>
      <sheetName val="PK1"/>
      <sheetName val="PK2"/>
      <sheetName val="gia ban"/>
      <sheetName val="Doanh thu"/>
      <sheetName val="NPV, IRR"/>
      <sheetName val="CP SXC"/>
      <sheetName val="CPSX"/>
      <sheetName val="CP kinh trang"/>
      <sheetName val="CP Kinh mau"/>
      <sheetName val="Quy luong"/>
      <sheetName val="CP QL"/>
      <sheetName val="CP ban hang"/>
      <sheetName val="VON LUU DONG"/>
      <sheetName val="khau hao"/>
      <sheetName val="KE HOACH TRA NO"/>
      <sheetName val="THUE TNDN"/>
    </sheetNames>
    <sheetDataSet>
      <sheetData sheetId="0"/>
      <sheetData sheetId="1"/>
      <sheetData sheetId="2"/>
      <sheetData sheetId="3"/>
      <sheetData sheetId="4"/>
      <sheetData sheetId="5">
        <row r="25">
          <cell r="G25">
            <v>367200</v>
          </cell>
        </row>
      </sheetData>
      <sheetData sheetId="6">
        <row r="10">
          <cell r="B10">
            <v>8136.5126105263162</v>
          </cell>
        </row>
      </sheetData>
      <sheetData sheetId="7"/>
      <sheetData sheetId="8">
        <row r="16">
          <cell r="G16">
            <v>86172623.969268173</v>
          </cell>
        </row>
      </sheetData>
      <sheetData sheetId="9"/>
      <sheetData sheetId="10"/>
      <sheetData sheetId="11"/>
      <sheetData sheetId="12">
        <row r="5">
          <cell r="F5">
            <v>2987727430.5852633</v>
          </cell>
        </row>
        <row r="17">
          <cell r="H17">
            <v>12690432</v>
          </cell>
        </row>
        <row r="18">
          <cell r="H18">
            <v>5768378.1818181816</v>
          </cell>
        </row>
        <row r="19">
          <cell r="H19">
            <v>10383080.727272727</v>
          </cell>
        </row>
        <row r="21">
          <cell r="H21">
            <v>121135941.81818181</v>
          </cell>
        </row>
      </sheetData>
      <sheetData sheetId="13">
        <row r="17">
          <cell r="D17">
            <v>42730114.189090908</v>
          </cell>
        </row>
      </sheetData>
      <sheetData sheetId="14">
        <row r="15">
          <cell r="D15">
            <v>243234460.07048422</v>
          </cell>
        </row>
      </sheetData>
      <sheetData sheetId="15"/>
      <sheetData sheetId="16">
        <row r="13">
          <cell r="E13">
            <v>946351703</v>
          </cell>
        </row>
        <row r="18">
          <cell r="E18">
            <v>1126689312</v>
          </cell>
          <cell r="G18">
            <v>571000000</v>
          </cell>
        </row>
        <row r="25">
          <cell r="E25">
            <v>217503563.745</v>
          </cell>
        </row>
      </sheetData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hông số"/>
      <sheetName val="QL,TV,K"/>
      <sheetName val="Tong muc DT"/>
      <sheetName val="TM - GĐ đầu (2)"/>
      <sheetName val="PK 1"/>
      <sheetName val="PK 2"/>
      <sheetName val="pky du phong"/>
      <sheetName val="lãi vay XD"/>
      <sheetName val="Von ban dau"/>
      <sheetName val="Lai vay dau tu"/>
      <sheetName val="TM GĐ 2018"/>
      <sheetName val="PK-2018"/>
      <sheetName val="PK2-2018"/>
      <sheetName val="lãi vay xd-2018"/>
      <sheetName val="TM GĐ 2020"/>
      <sheetName val="PK1-2020"/>
      <sheetName val="PK2-2020"/>
      <sheetName val="lãi vay XD - 2020"/>
      <sheetName val="TM GĐ 2030"/>
      <sheetName val="PK1-2030"/>
      <sheetName val="PK2-2030"/>
      <sheetName val="lãi vay XD-2030"/>
      <sheetName val="Sheet1"/>
      <sheetName val="DT - 1"/>
      <sheetName val="DT - 2"/>
      <sheetName val="XD - 1"/>
      <sheetName val="XD - 2"/>
      <sheetName val="XD - 3"/>
      <sheetName val="LK - 1"/>
      <sheetName val=" LK - 2"/>
      <sheetName val="Gia ban"/>
      <sheetName val="Von luu dong"/>
      <sheetName val="Doanh thu"/>
      <sheetName val="Z kinh trang"/>
      <sheetName val="Z kinh mau"/>
      <sheetName val="Quy luong"/>
      <sheetName val="Chi phi chung"/>
      <sheetName val="Chi phi QL"/>
      <sheetName val="Chi phi ban hang"/>
      <sheetName val="Khau hao"/>
      <sheetName val="trả lãi"/>
      <sheetName val="can doi tra no"/>
      <sheetName val="CP SXKD"/>
      <sheetName val="THUE TNDN"/>
      <sheetName val="NPV,IRR,BCR"/>
      <sheetName val="tong hop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>
        <row r="7">
          <cell r="D7">
            <v>420</v>
          </cell>
          <cell r="E7">
            <v>0.57299999999999995</v>
          </cell>
        </row>
        <row r="8">
          <cell r="D8">
            <v>608</v>
          </cell>
          <cell r="E8">
            <v>3.5999999999999997E-2</v>
          </cell>
        </row>
        <row r="9">
          <cell r="D9">
            <v>360</v>
          </cell>
          <cell r="E9">
            <v>0.14499999999999999</v>
          </cell>
        </row>
        <row r="10">
          <cell r="D10">
            <v>340</v>
          </cell>
          <cell r="E10">
            <v>4.2000000000000003E-2</v>
          </cell>
        </row>
        <row r="11">
          <cell r="D11">
            <v>4000</v>
          </cell>
          <cell r="E11">
            <v>6.9999999999999999E-4</v>
          </cell>
        </row>
        <row r="12">
          <cell r="D12">
            <v>2500</v>
          </cell>
          <cell r="E12">
            <v>8.2566666666666663E-2</v>
          </cell>
        </row>
        <row r="14">
          <cell r="D14">
            <v>5200</v>
          </cell>
          <cell r="E14">
            <v>0.19400000000000001</v>
          </cell>
        </row>
        <row r="15">
          <cell r="D15">
            <v>2800</v>
          </cell>
          <cell r="E15">
            <v>8.0000000000000002E-3</v>
          </cell>
        </row>
        <row r="18">
          <cell r="E18">
            <v>0</v>
          </cell>
        </row>
        <row r="20">
          <cell r="E20">
            <v>130</v>
          </cell>
        </row>
        <row r="22">
          <cell r="D22">
            <v>402.3</v>
          </cell>
          <cell r="E22">
            <v>2.5000000000000001E-3</v>
          </cell>
        </row>
        <row r="23">
          <cell r="E23">
            <v>0.5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VON CTHU"/>
      <sheetName val="TMDT"/>
      <sheetName val="KHSDV"/>
      <sheetName val="PK1"/>
      <sheetName val="PK2"/>
      <sheetName val="gia ban"/>
      <sheetName val="Doanh thu"/>
      <sheetName val="NPV, IRR"/>
      <sheetName val="CP SXC"/>
      <sheetName val="CPSX"/>
      <sheetName val="CP kinh trang"/>
      <sheetName val="CP Kinh mau"/>
      <sheetName val="Quy luong"/>
      <sheetName val="CP QL"/>
      <sheetName val="CP ban hang"/>
      <sheetName val="VON LUU DONG"/>
      <sheetName val="khau hao"/>
      <sheetName val="KE HOACH TRA NO"/>
      <sheetName val="THUE TNDN"/>
    </sheetNames>
    <sheetDataSet>
      <sheetData sheetId="0"/>
      <sheetData sheetId="1">
        <row r="22">
          <cell r="C22">
            <v>1200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ổng mức đầu tư-Bảng 1"/>
      <sheetName val="Thông số-Bảng 2"/>
      <sheetName val="Khấu hao- Bảng 3"/>
      <sheetName val="KQKD- Bảng 4"/>
      <sheetName val="Dòng tiền dự án -Bảng 5"/>
      <sheetName val="Nguồn trả nợ- Bảng 6"/>
      <sheetName val="NPV - CĐT"/>
      <sheetName val="CP SXC -Bảng 9"/>
      <sheetName val="Bảng 10 -CP Quản lý"/>
      <sheetName val="Bảng 11-CP Bán hàng"/>
      <sheetName val="Bảng 12-Quỹ lương"/>
      <sheetName val="Bảng 13 - CP Kính trắng"/>
      <sheetName val="Bảng 14 -CP Kính màu"/>
      <sheetName val="Bảng 15 -Giá bán"/>
      <sheetName val="Sheet1"/>
      <sheetName val="Sheet2"/>
      <sheetName val="Sheet3"/>
      <sheetName val="Sheet4"/>
      <sheetName val="Độ nhạy-Bảng 7 "/>
      <sheetName val="Lãi vay thi công"/>
      <sheetName val="Thông tin giả định"/>
    </sheetNames>
    <sheetDataSet>
      <sheetData sheetId="0">
        <row r="42">
          <cell r="D42">
            <v>171508.58001652753</v>
          </cell>
        </row>
        <row r="47">
          <cell r="D47">
            <v>91738.183241355277</v>
          </cell>
        </row>
        <row r="48">
          <cell r="D48">
            <v>79770.396775172252</v>
          </cell>
        </row>
      </sheetData>
      <sheetData sheetId="1">
        <row r="6">
          <cell r="F6">
            <v>171508.58001652753</v>
          </cell>
        </row>
        <row r="21">
          <cell r="F21">
            <v>0.1</v>
          </cell>
        </row>
      </sheetData>
      <sheetData sheetId="2">
        <row r="8">
          <cell r="E8">
            <v>14092.918560274244</v>
          </cell>
          <cell r="F8">
            <v>14092.918560274244</v>
          </cell>
          <cell r="G8">
            <v>14092.918560274244</v>
          </cell>
          <cell r="H8">
            <v>14092.918560274244</v>
          </cell>
          <cell r="I8">
            <v>14092.918560274244</v>
          </cell>
          <cell r="J8">
            <v>14092.918560274244</v>
          </cell>
          <cell r="K8">
            <v>14092.918560274244</v>
          </cell>
          <cell r="L8">
            <v>14092.918560274244</v>
          </cell>
          <cell r="M8">
            <v>14092.918560274244</v>
          </cell>
          <cell r="N8">
            <v>14092.918560274244</v>
          </cell>
          <cell r="O8">
            <v>14092.918560274244</v>
          </cell>
          <cell r="P8">
            <v>14092.918560274244</v>
          </cell>
          <cell r="Q8">
            <v>14092.918560274244</v>
          </cell>
          <cell r="R8">
            <v>14092.918560274244</v>
          </cell>
          <cell r="S8">
            <v>14092.918560274244</v>
          </cell>
        </row>
      </sheetData>
      <sheetData sheetId="3" refreshError="1"/>
      <sheetData sheetId="4" refreshError="1"/>
      <sheetData sheetId="5">
        <row r="9">
          <cell r="D9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S79"/>
  <sheetViews>
    <sheetView tabSelected="1" zoomScale="80" zoomScaleNormal="80" zoomScaleSheetLayoutView="100" workbookViewId="0">
      <selection activeCell="J8" sqref="J8"/>
    </sheetView>
  </sheetViews>
  <sheetFormatPr defaultColWidth="9.7109375" defaultRowHeight="15.75"/>
  <cols>
    <col min="1" max="1" width="5.140625" style="570" customWidth="1"/>
    <col min="2" max="2" width="42.5703125" style="571" customWidth="1"/>
    <col min="3" max="3" width="8.7109375" style="571" bestFit="1" customWidth="1"/>
    <col min="4" max="4" width="7.5703125" style="570" bestFit="1" customWidth="1"/>
    <col min="5" max="5" width="11.85546875" style="570" bestFit="1" customWidth="1"/>
    <col min="6" max="19" width="11.42578125" style="570" bestFit="1" customWidth="1"/>
    <col min="20" max="16384" width="9.7109375" style="570"/>
  </cols>
  <sheetData>
    <row r="1" spans="1:19" s="705" customFormat="1" ht="39.950000000000003" customHeight="1">
      <c r="A1" s="756" t="s">
        <v>525</v>
      </c>
      <c r="B1" s="756"/>
      <c r="C1" s="756"/>
      <c r="D1" s="756"/>
      <c r="E1" s="756"/>
      <c r="F1" s="756"/>
      <c r="G1" s="756"/>
      <c r="H1" s="756"/>
      <c r="I1" s="756"/>
      <c r="J1" s="756"/>
      <c r="K1" s="756"/>
      <c r="L1" s="756"/>
      <c r="M1" s="756"/>
      <c r="N1" s="756"/>
      <c r="O1" s="756"/>
      <c r="P1" s="756"/>
      <c r="Q1" s="706"/>
      <c r="R1" s="706"/>
      <c r="S1" s="706"/>
    </row>
    <row r="2" spans="1:19" s="703" customFormat="1" ht="30" customHeight="1">
      <c r="B2" s="704"/>
      <c r="C2" s="704"/>
      <c r="D2" s="703">
        <v>2017</v>
      </c>
      <c r="E2" s="703">
        <v>2018</v>
      </c>
      <c r="F2" s="703">
        <v>2019</v>
      </c>
      <c r="G2" s="703">
        <v>2020</v>
      </c>
      <c r="H2" s="703">
        <v>2021</v>
      </c>
      <c r="I2" s="703">
        <v>2022</v>
      </c>
      <c r="J2" s="703">
        <v>2023</v>
      </c>
      <c r="K2" s="703">
        <v>2024</v>
      </c>
      <c r="L2" s="703">
        <v>2025</v>
      </c>
      <c r="M2" s="703">
        <v>2026</v>
      </c>
      <c r="N2" s="703">
        <v>2027</v>
      </c>
      <c r="O2" s="703">
        <v>2028</v>
      </c>
      <c r="P2" s="703">
        <v>2029</v>
      </c>
      <c r="Q2" s="703">
        <v>2030</v>
      </c>
      <c r="R2" s="703">
        <v>2031</v>
      </c>
      <c r="S2" s="703">
        <v>2032</v>
      </c>
    </row>
    <row r="3" spans="1:19" ht="20.25" customHeight="1">
      <c r="A3" s="757" t="s">
        <v>3</v>
      </c>
      <c r="B3" s="759" t="s">
        <v>411</v>
      </c>
      <c r="C3" s="760"/>
      <c r="D3" s="763" t="s">
        <v>524</v>
      </c>
      <c r="E3" s="764"/>
      <c r="F3" s="764"/>
      <c r="G3" s="764"/>
      <c r="H3" s="764"/>
      <c r="I3" s="764"/>
      <c r="J3" s="764"/>
      <c r="K3" s="764"/>
      <c r="L3" s="764"/>
      <c r="M3" s="764"/>
      <c r="N3" s="764"/>
      <c r="O3" s="764"/>
      <c r="P3" s="764"/>
      <c r="Q3" s="702"/>
      <c r="R3" s="702"/>
      <c r="S3" s="702"/>
    </row>
    <row r="4" spans="1:19" s="577" customFormat="1" ht="20.25" customHeight="1">
      <c r="A4" s="758"/>
      <c r="B4" s="761"/>
      <c r="C4" s="762"/>
      <c r="D4" s="561">
        <v>0</v>
      </c>
      <c r="E4" s="561">
        <v>1</v>
      </c>
      <c r="F4" s="561">
        <v>2</v>
      </c>
      <c r="G4" s="561">
        <v>3</v>
      </c>
      <c r="H4" s="561">
        <v>4</v>
      </c>
      <c r="I4" s="561">
        <v>5</v>
      </c>
      <c r="J4" s="561">
        <v>6</v>
      </c>
      <c r="K4" s="561">
        <v>7</v>
      </c>
      <c r="L4" s="561">
        <v>8</v>
      </c>
      <c r="M4" s="561">
        <v>9</v>
      </c>
      <c r="N4" s="561">
        <v>10</v>
      </c>
      <c r="O4" s="561">
        <v>11</v>
      </c>
      <c r="P4" s="561">
        <v>12</v>
      </c>
      <c r="Q4" s="561">
        <v>13</v>
      </c>
      <c r="R4" s="561">
        <v>14</v>
      </c>
      <c r="S4" s="561">
        <v>15</v>
      </c>
    </row>
    <row r="5" spans="1:19" s="633" customFormat="1" ht="20.25" customHeight="1">
      <c r="A5" s="657" t="s">
        <v>18</v>
      </c>
      <c r="B5" s="656" t="s">
        <v>523</v>
      </c>
      <c r="C5" s="701"/>
      <c r="D5" s="700"/>
      <c r="E5" s="699">
        <f t="shared" ref="E5:S5" si="0">E6+E16+E19+E22</f>
        <v>71514.893119620639</v>
      </c>
      <c r="F5" s="699">
        <f t="shared" si="0"/>
        <v>300751.18291520269</v>
      </c>
      <c r="G5" s="699">
        <f t="shared" si="0"/>
        <v>342853.22870712046</v>
      </c>
      <c r="H5" s="699">
        <f t="shared" si="0"/>
        <v>351424.55942479853</v>
      </c>
      <c r="I5" s="699">
        <f t="shared" si="0"/>
        <v>360210.17341041844</v>
      </c>
      <c r="J5" s="699">
        <f t="shared" si="0"/>
        <v>369215.42774567875</v>
      </c>
      <c r="K5" s="699">
        <f t="shared" si="0"/>
        <v>378445.81343932083</v>
      </c>
      <c r="L5" s="699">
        <f t="shared" si="0"/>
        <v>387906.95877530379</v>
      </c>
      <c r="M5" s="699">
        <f t="shared" si="0"/>
        <v>397604.63274468633</v>
      </c>
      <c r="N5" s="699">
        <f t="shared" si="0"/>
        <v>407544.7485633035</v>
      </c>
      <c r="O5" s="699">
        <f t="shared" si="0"/>
        <v>417733.36727738613</v>
      </c>
      <c r="P5" s="699">
        <f t="shared" si="0"/>
        <v>428176.70145932073</v>
      </c>
      <c r="Q5" s="699">
        <f t="shared" si="0"/>
        <v>438881.11899580376</v>
      </c>
      <c r="R5" s="699">
        <f t="shared" si="0"/>
        <v>449853.14697069867</v>
      </c>
      <c r="S5" s="699">
        <f t="shared" si="0"/>
        <v>461099.4756449663</v>
      </c>
    </row>
    <row r="6" spans="1:19" s="658" customFormat="1" ht="20.25" customHeight="1">
      <c r="A6" s="663">
        <v>1</v>
      </c>
      <c r="B6" s="674" t="s">
        <v>522</v>
      </c>
      <c r="C6" s="670"/>
      <c r="D6" s="660"/>
      <c r="E6" s="660">
        <f t="shared" ref="E6:S6" si="1">E11+E7</f>
        <v>70864.518857745643</v>
      </c>
      <c r="F6" s="660">
        <f t="shared" si="1"/>
        <v>294479.07963132771</v>
      </c>
      <c r="G6" s="660">
        <f t="shared" si="1"/>
        <v>336424.32284114859</v>
      </c>
      <c r="H6" s="660">
        <f t="shared" si="1"/>
        <v>344834.93091217737</v>
      </c>
      <c r="I6" s="660">
        <f t="shared" si="1"/>
        <v>353455.80418498174</v>
      </c>
      <c r="J6" s="660">
        <f t="shared" si="1"/>
        <v>362292.19928960619</v>
      </c>
      <c r="K6" s="660">
        <f t="shared" si="1"/>
        <v>371349.50427184638</v>
      </c>
      <c r="L6" s="660">
        <f t="shared" si="1"/>
        <v>380633.24187864253</v>
      </c>
      <c r="M6" s="660">
        <f t="shared" si="1"/>
        <v>390149.07292560849</v>
      </c>
      <c r="N6" s="660">
        <f t="shared" si="1"/>
        <v>399902.79974874872</v>
      </c>
      <c r="O6" s="660">
        <f t="shared" si="1"/>
        <v>409900.36974246748</v>
      </c>
      <c r="P6" s="660">
        <f t="shared" si="1"/>
        <v>420147.87898602913</v>
      </c>
      <c r="Q6" s="660">
        <f t="shared" si="1"/>
        <v>430651.57596067985</v>
      </c>
      <c r="R6" s="660">
        <f t="shared" si="1"/>
        <v>441417.86535969668</v>
      </c>
      <c r="S6" s="660">
        <f t="shared" si="1"/>
        <v>452453.31199368922</v>
      </c>
    </row>
    <row r="7" spans="1:19" s="658" customFormat="1" ht="20.25" customHeight="1">
      <c r="A7" s="698">
        <v>1.1000000000000001</v>
      </c>
      <c r="B7" s="674" t="s">
        <v>521</v>
      </c>
      <c r="C7" s="670"/>
      <c r="D7" s="660"/>
      <c r="E7" s="660">
        <f t="shared" ref="E7:S7" si="2">E10</f>
        <v>9466.0550156249974</v>
      </c>
      <c r="F7" s="660">
        <f t="shared" si="2"/>
        <v>32452.105999218744</v>
      </c>
      <c r="G7" s="660">
        <f t="shared" si="2"/>
        <v>34528.979048027337</v>
      </c>
      <c r="H7" s="660">
        <f t="shared" si="2"/>
        <v>35392.203524228011</v>
      </c>
      <c r="I7" s="660">
        <f t="shared" si="2"/>
        <v>36277.00861233371</v>
      </c>
      <c r="J7" s="660">
        <f t="shared" si="2"/>
        <v>37183.93382764206</v>
      </c>
      <c r="K7" s="660">
        <f t="shared" si="2"/>
        <v>38113.532173333093</v>
      </c>
      <c r="L7" s="660">
        <f t="shared" si="2"/>
        <v>39066.370477666431</v>
      </c>
      <c r="M7" s="660">
        <f t="shared" si="2"/>
        <v>40043.029739608086</v>
      </c>
      <c r="N7" s="660">
        <f t="shared" si="2"/>
        <v>41044.10548309829</v>
      </c>
      <c r="O7" s="660">
        <f t="shared" si="2"/>
        <v>42070.208120175746</v>
      </c>
      <c r="P7" s="660">
        <f t="shared" si="2"/>
        <v>43121.963323180134</v>
      </c>
      <c r="Q7" s="660">
        <f t="shared" si="2"/>
        <v>44200.012406259637</v>
      </c>
      <c r="R7" s="660">
        <f t="shared" si="2"/>
        <v>45305.012716416124</v>
      </c>
      <c r="S7" s="660">
        <f t="shared" si="2"/>
        <v>46437.638034326534</v>
      </c>
    </row>
    <row r="8" spans="1:19" s="685" customFormat="1" ht="20.25" customHeight="1">
      <c r="A8" s="690"/>
      <c r="B8" s="689" t="s">
        <v>520</v>
      </c>
      <c r="C8" s="697"/>
      <c r="D8" s="686"/>
      <c r="E8" s="686">
        <v>1391.9684999999999</v>
      </c>
      <c r="F8" s="686">
        <v>4282.9799999999996</v>
      </c>
      <c r="G8" s="686">
        <v>4282.9799999999996</v>
      </c>
      <c r="H8" s="686">
        <v>4282.9799999999996</v>
      </c>
      <c r="I8" s="686">
        <v>4282.9799999999996</v>
      </c>
      <c r="J8" s="686">
        <v>4282.9799999999996</v>
      </c>
      <c r="K8" s="686">
        <v>4282.9799999999996</v>
      </c>
      <c r="L8" s="686">
        <v>4282.9799999999996</v>
      </c>
      <c r="M8" s="686">
        <v>4282.9799999999996</v>
      </c>
      <c r="N8" s="686">
        <v>4282.9799999999996</v>
      </c>
      <c r="O8" s="686">
        <v>4282.9799999999996</v>
      </c>
      <c r="P8" s="686">
        <v>4282.9799999999996</v>
      </c>
      <c r="Q8" s="686">
        <v>4282.9799999999996</v>
      </c>
      <c r="R8" s="686">
        <v>4282.9799999999996</v>
      </c>
      <c r="S8" s="686">
        <v>4282.9799999999996</v>
      </c>
    </row>
    <row r="9" spans="1:19" s="677" customFormat="1" ht="20.25" customHeight="1">
      <c r="A9" s="682"/>
      <c r="B9" s="681" t="s">
        <v>519</v>
      </c>
      <c r="C9" s="684">
        <f>7.5*(1-'Thong so - Độ nhậy - Bảng 1'!N24)</f>
        <v>7.5</v>
      </c>
      <c r="D9" s="679">
        <v>2.5000000000000001E-2</v>
      </c>
      <c r="E9" s="696">
        <f t="shared" ref="E9:S9" si="3">$C$9*((1+$D$9)^E4)</f>
        <v>7.6874999999999991</v>
      </c>
      <c r="F9" s="696">
        <f t="shared" si="3"/>
        <v>7.8796874999999993</v>
      </c>
      <c r="G9" s="696">
        <f t="shared" si="3"/>
        <v>8.0766796874999986</v>
      </c>
      <c r="H9" s="696">
        <f t="shared" si="3"/>
        <v>8.2785966796874977</v>
      </c>
      <c r="I9" s="696">
        <f t="shared" si="3"/>
        <v>8.485561596679684</v>
      </c>
      <c r="J9" s="696">
        <f t="shared" si="3"/>
        <v>8.6977006365966769</v>
      </c>
      <c r="K9" s="696">
        <f t="shared" si="3"/>
        <v>8.9151431525115932</v>
      </c>
      <c r="L9" s="696">
        <f t="shared" si="3"/>
        <v>9.1380217313243826</v>
      </c>
      <c r="M9" s="696">
        <f t="shared" si="3"/>
        <v>9.3664722746074904</v>
      </c>
      <c r="N9" s="696">
        <f t="shared" si="3"/>
        <v>9.6006340814726787</v>
      </c>
      <c r="O9" s="696">
        <f t="shared" si="3"/>
        <v>9.8406499335094946</v>
      </c>
      <c r="P9" s="696">
        <f t="shared" si="3"/>
        <v>10.086666181847232</v>
      </c>
      <c r="Q9" s="696">
        <f t="shared" si="3"/>
        <v>10.338832836393411</v>
      </c>
      <c r="R9" s="696">
        <f t="shared" si="3"/>
        <v>10.597303657303247</v>
      </c>
      <c r="S9" s="696">
        <f t="shared" si="3"/>
        <v>10.862236248735829</v>
      </c>
    </row>
    <row r="10" spans="1:19" s="677" customFormat="1" ht="20.25" customHeight="1">
      <c r="A10" s="682"/>
      <c r="B10" s="681" t="s">
        <v>518</v>
      </c>
      <c r="C10" s="680"/>
      <c r="D10" s="679"/>
      <c r="E10" s="659">
        <f>E8*E9*23/26</f>
        <v>9466.0550156249974</v>
      </c>
      <c r="F10" s="659">
        <f>E9*E8*3/26+F8*F9*37/40</f>
        <v>32452.105999218744</v>
      </c>
      <c r="G10" s="659">
        <f>F9*F8*3/40+G8*G9*37/40</f>
        <v>34528.979048027337</v>
      </c>
      <c r="H10" s="659">
        <f t="shared" ref="H10:S10" si="4">G9*G8*3/40+H8*H9*37/40</f>
        <v>35392.203524228011</v>
      </c>
      <c r="I10" s="659">
        <f t="shared" si="4"/>
        <v>36277.00861233371</v>
      </c>
      <c r="J10" s="659">
        <f t="shared" si="4"/>
        <v>37183.93382764206</v>
      </c>
      <c r="K10" s="659">
        <f t="shared" si="4"/>
        <v>38113.532173333093</v>
      </c>
      <c r="L10" s="659">
        <f t="shared" si="4"/>
        <v>39066.370477666431</v>
      </c>
      <c r="M10" s="659">
        <f t="shared" si="4"/>
        <v>40043.029739608086</v>
      </c>
      <c r="N10" s="659">
        <f t="shared" si="4"/>
        <v>41044.10548309829</v>
      </c>
      <c r="O10" s="659">
        <f t="shared" si="4"/>
        <v>42070.208120175746</v>
      </c>
      <c r="P10" s="659">
        <f t="shared" si="4"/>
        <v>43121.963323180134</v>
      </c>
      <c r="Q10" s="659">
        <f t="shared" si="4"/>
        <v>44200.012406259637</v>
      </c>
      <c r="R10" s="659">
        <f t="shared" si="4"/>
        <v>45305.012716416124</v>
      </c>
      <c r="S10" s="659">
        <f t="shared" si="4"/>
        <v>46437.638034326534</v>
      </c>
    </row>
    <row r="11" spans="1:19" s="691" customFormat="1" ht="20.25" customHeight="1">
      <c r="A11" s="695">
        <v>1.2</v>
      </c>
      <c r="B11" s="694" t="s">
        <v>517</v>
      </c>
      <c r="C11" s="693"/>
      <c r="D11" s="692"/>
      <c r="E11" s="692">
        <f t="shared" ref="E11:S11" si="5">E15</f>
        <v>61398.46384212064</v>
      </c>
      <c r="F11" s="692">
        <f t="shared" si="5"/>
        <v>262026.97363210897</v>
      </c>
      <c r="G11" s="692">
        <f t="shared" si="5"/>
        <v>301895.34379312128</v>
      </c>
      <c r="H11" s="692">
        <f t="shared" si="5"/>
        <v>309442.72738794936</v>
      </c>
      <c r="I11" s="692">
        <f t="shared" si="5"/>
        <v>317178.795572648</v>
      </c>
      <c r="J11" s="692">
        <f t="shared" si="5"/>
        <v>325108.26546196413</v>
      </c>
      <c r="K11" s="692">
        <f t="shared" si="5"/>
        <v>333235.97209851327</v>
      </c>
      <c r="L11" s="692">
        <f t="shared" si="5"/>
        <v>341566.87140097609</v>
      </c>
      <c r="M11" s="692">
        <f t="shared" si="5"/>
        <v>350106.04318600043</v>
      </c>
      <c r="N11" s="692">
        <f t="shared" si="5"/>
        <v>358858.69426565041</v>
      </c>
      <c r="O11" s="692">
        <f t="shared" si="5"/>
        <v>367830.16162229172</v>
      </c>
      <c r="P11" s="692">
        <f t="shared" si="5"/>
        <v>377025.91566284897</v>
      </c>
      <c r="Q11" s="692">
        <f t="shared" si="5"/>
        <v>386451.56355442019</v>
      </c>
      <c r="R11" s="692">
        <f t="shared" si="5"/>
        <v>396112.85264328058</v>
      </c>
      <c r="S11" s="692">
        <f t="shared" si="5"/>
        <v>406015.67395936267</v>
      </c>
    </row>
    <row r="12" spans="1:19" s="685" customFormat="1" ht="20.25" customHeight="1">
      <c r="A12" s="690"/>
      <c r="B12" s="689" t="s">
        <v>516</v>
      </c>
      <c r="C12" s="688">
        <v>2.7469999999999999</v>
      </c>
      <c r="D12" s="687"/>
      <c r="E12" s="686">
        <v>1439.9945625</v>
      </c>
      <c r="F12" s="686">
        <v>4430.7524999999996</v>
      </c>
      <c r="G12" s="686">
        <v>4430.7524999999996</v>
      </c>
      <c r="H12" s="686">
        <v>4430.7524999999996</v>
      </c>
      <c r="I12" s="686">
        <v>4430.7524999999996</v>
      </c>
      <c r="J12" s="686">
        <v>4430.7524999999996</v>
      </c>
      <c r="K12" s="686">
        <v>4430.7524999999996</v>
      </c>
      <c r="L12" s="686">
        <v>4430.7524999999996</v>
      </c>
      <c r="M12" s="686">
        <v>4430.7524999999996</v>
      </c>
      <c r="N12" s="686">
        <v>4430.7524999999996</v>
      </c>
      <c r="O12" s="686">
        <v>4430.7524999999996</v>
      </c>
      <c r="P12" s="686">
        <v>4430.7524999999996</v>
      </c>
      <c r="Q12" s="686">
        <v>4430.7524999999996</v>
      </c>
      <c r="R12" s="686">
        <v>4430.7524999999996</v>
      </c>
      <c r="S12" s="686">
        <v>4430.7524999999996</v>
      </c>
    </row>
    <row r="13" spans="1:19" s="677" customFormat="1" ht="20.25" customHeight="1">
      <c r="A13" s="682"/>
      <c r="B13" s="681" t="s">
        <v>515</v>
      </c>
      <c r="C13" s="684">
        <f>24*(1-'Thong so - Độ nhậy - Bảng 1'!N24)</f>
        <v>24</v>
      </c>
      <c r="D13" s="679">
        <f>D9</f>
        <v>2.5000000000000001E-2</v>
      </c>
      <c r="E13" s="659">
        <f t="shared" ref="E13:S13" si="6">$C$13*$C$12*((1+$D$13)^E4)</f>
        <v>67.576199999999986</v>
      </c>
      <c r="F13" s="659">
        <f t="shared" si="6"/>
        <v>69.265604999999994</v>
      </c>
      <c r="G13" s="659">
        <f t="shared" si="6"/>
        <v>70.997245124999992</v>
      </c>
      <c r="H13" s="659">
        <f t="shared" si="6"/>
        <v>72.772176253124982</v>
      </c>
      <c r="I13" s="659">
        <f t="shared" si="6"/>
        <v>74.591480659453097</v>
      </c>
      <c r="J13" s="659">
        <f t="shared" si="6"/>
        <v>76.456267675939415</v>
      </c>
      <c r="K13" s="659">
        <f t="shared" si="6"/>
        <v>78.367674367837907</v>
      </c>
      <c r="L13" s="659">
        <f t="shared" si="6"/>
        <v>80.326866227033847</v>
      </c>
      <c r="M13" s="659">
        <f t="shared" si="6"/>
        <v>82.335037882709685</v>
      </c>
      <c r="N13" s="659">
        <f t="shared" si="6"/>
        <v>84.39341382977743</v>
      </c>
      <c r="O13" s="659">
        <f t="shared" si="6"/>
        <v>86.503249175521859</v>
      </c>
      <c r="P13" s="659">
        <f t="shared" si="6"/>
        <v>88.665830404909897</v>
      </c>
      <c r="Q13" s="659">
        <f t="shared" si="6"/>
        <v>90.882476165032642</v>
      </c>
      <c r="R13" s="659">
        <f t="shared" si="6"/>
        <v>93.154538069158448</v>
      </c>
      <c r="S13" s="659">
        <f t="shared" si="6"/>
        <v>95.483401520887426</v>
      </c>
    </row>
    <row r="14" spans="1:19" s="677" customFormat="1" ht="20.25" customHeight="1">
      <c r="A14" s="682"/>
      <c r="B14" s="681" t="s">
        <v>514</v>
      </c>
      <c r="C14" s="683">
        <v>3.5000000000000003E-2</v>
      </c>
      <c r="D14" s="679"/>
      <c r="E14" s="659">
        <f>E13*E12*(1-$C$14)</f>
        <v>93903.532935008043</v>
      </c>
      <c r="F14" s="659">
        <f t="shared" ref="F14:S14" si="7">F13*F12*(1-$C$14)</f>
        <v>296157.29617964075</v>
      </c>
      <c r="G14" s="659">
        <f t="shared" si="7"/>
        <v>303561.22858413175</v>
      </c>
      <c r="H14" s="659">
        <f t="shared" si="7"/>
        <v>311150.25929873507</v>
      </c>
      <c r="I14" s="659">
        <f t="shared" si="7"/>
        <v>318929.01578120334</v>
      </c>
      <c r="J14" s="659">
        <f t="shared" si="7"/>
        <v>326902.24117573339</v>
      </c>
      <c r="K14" s="659">
        <f t="shared" si="7"/>
        <v>335074.79720512673</v>
      </c>
      <c r="L14" s="659">
        <f t="shared" si="7"/>
        <v>343451.66713525489</v>
      </c>
      <c r="M14" s="659">
        <f t="shared" si="7"/>
        <v>352037.95881363621</v>
      </c>
      <c r="N14" s="659">
        <f t="shared" si="7"/>
        <v>360838.90778397716</v>
      </c>
      <c r="O14" s="659">
        <f t="shared" si="7"/>
        <v>369859.88047857652</v>
      </c>
      <c r="P14" s="659">
        <f t="shared" si="7"/>
        <v>379106.37749054097</v>
      </c>
      <c r="Q14" s="659">
        <f t="shared" si="7"/>
        <v>388584.03692780447</v>
      </c>
      <c r="R14" s="659">
        <f t="shared" si="7"/>
        <v>398298.63785099948</v>
      </c>
      <c r="S14" s="659">
        <f t="shared" si="7"/>
        <v>408256.10379727453</v>
      </c>
    </row>
    <row r="15" spans="1:19" s="677" customFormat="1" ht="20.25" customHeight="1">
      <c r="A15" s="682"/>
      <c r="B15" s="681" t="s">
        <v>513</v>
      </c>
      <c r="C15" s="680"/>
      <c r="D15" s="679"/>
      <c r="E15" s="678">
        <f>E14*17/26</f>
        <v>61398.46384212064</v>
      </c>
      <c r="F15" s="678">
        <f>E14/26*9+F14*31/40</f>
        <v>262026.97363210897</v>
      </c>
      <c r="G15" s="678">
        <f t="shared" ref="G15:S15" si="8">F14/40*9+G14*31/40</f>
        <v>301895.34379312128</v>
      </c>
      <c r="H15" s="678">
        <f t="shared" si="8"/>
        <v>309442.72738794936</v>
      </c>
      <c r="I15" s="678">
        <f t="shared" si="8"/>
        <v>317178.795572648</v>
      </c>
      <c r="J15" s="678">
        <f t="shared" si="8"/>
        <v>325108.26546196413</v>
      </c>
      <c r="K15" s="678">
        <f t="shared" si="8"/>
        <v>333235.97209851327</v>
      </c>
      <c r="L15" s="678">
        <f t="shared" si="8"/>
        <v>341566.87140097609</v>
      </c>
      <c r="M15" s="678">
        <f t="shared" si="8"/>
        <v>350106.04318600043</v>
      </c>
      <c r="N15" s="678">
        <f t="shared" si="8"/>
        <v>358858.69426565041</v>
      </c>
      <c r="O15" s="678">
        <f t="shared" si="8"/>
        <v>367830.16162229172</v>
      </c>
      <c r="P15" s="678">
        <f t="shared" si="8"/>
        <v>377025.91566284897</v>
      </c>
      <c r="Q15" s="678">
        <f t="shared" si="8"/>
        <v>386451.56355442019</v>
      </c>
      <c r="R15" s="678">
        <f t="shared" si="8"/>
        <v>396112.85264328058</v>
      </c>
      <c r="S15" s="678">
        <f t="shared" si="8"/>
        <v>406015.67395936267</v>
      </c>
    </row>
    <row r="16" spans="1:19" s="658" customFormat="1" ht="20.25" customHeight="1">
      <c r="A16" s="663">
        <v>2</v>
      </c>
      <c r="B16" s="671" t="s">
        <v>512</v>
      </c>
      <c r="C16" s="670"/>
      <c r="D16" s="660"/>
      <c r="E16" s="660">
        <f t="shared" ref="E16:S16" si="9">E17*E18</f>
        <v>233.65887187499999</v>
      </c>
      <c r="F16" s="660">
        <f t="shared" si="9"/>
        <v>736.92413437499988</v>
      </c>
      <c r="G16" s="660">
        <f t="shared" si="9"/>
        <v>755.34723773437486</v>
      </c>
      <c r="H16" s="660">
        <f t="shared" si="9"/>
        <v>774.23091867773417</v>
      </c>
      <c r="I16" s="660">
        <f t="shared" si="9"/>
        <v>793.58669164467744</v>
      </c>
      <c r="J16" s="660">
        <f t="shared" si="9"/>
        <v>813.42635893579438</v>
      </c>
      <c r="K16" s="660">
        <f t="shared" si="9"/>
        <v>833.76201790918924</v>
      </c>
      <c r="L16" s="660">
        <f t="shared" si="9"/>
        <v>854.60606835691897</v>
      </c>
      <c r="M16" s="660">
        <f t="shared" si="9"/>
        <v>875.97122006584164</v>
      </c>
      <c r="N16" s="660">
        <f t="shared" si="9"/>
        <v>897.87050056748774</v>
      </c>
      <c r="O16" s="660">
        <f t="shared" si="9"/>
        <v>920.31726308167504</v>
      </c>
      <c r="P16" s="660">
        <f t="shared" si="9"/>
        <v>943.32519465871667</v>
      </c>
      <c r="Q16" s="660">
        <f t="shared" si="9"/>
        <v>966.90832452518464</v>
      </c>
      <c r="R16" s="660">
        <f t="shared" si="9"/>
        <v>991.08103263831413</v>
      </c>
      <c r="S16" s="660">
        <f t="shared" si="9"/>
        <v>1015.8580584542721</v>
      </c>
    </row>
    <row r="17" spans="1:19" s="664" customFormat="1" ht="20.25" customHeight="1">
      <c r="A17" s="669"/>
      <c r="B17" s="668" t="s">
        <v>511</v>
      </c>
      <c r="C17" s="673"/>
      <c r="D17" s="666"/>
      <c r="E17" s="672">
        <v>175.35374999999999</v>
      </c>
      <c r="F17" s="672">
        <v>539.54999999999995</v>
      </c>
      <c r="G17" s="672">
        <v>539.54999999999995</v>
      </c>
      <c r="H17" s="672">
        <v>539.54999999999995</v>
      </c>
      <c r="I17" s="672">
        <v>539.54999999999995</v>
      </c>
      <c r="J17" s="672">
        <v>539.54999999999995</v>
      </c>
      <c r="K17" s="672">
        <v>539.54999999999995</v>
      </c>
      <c r="L17" s="672">
        <v>539.54999999999995</v>
      </c>
      <c r="M17" s="672">
        <v>539.54999999999995</v>
      </c>
      <c r="N17" s="672">
        <v>539.54999999999995</v>
      </c>
      <c r="O17" s="672">
        <v>539.54999999999995</v>
      </c>
      <c r="P17" s="672">
        <v>539.54999999999995</v>
      </c>
      <c r="Q17" s="672">
        <v>539.54999999999995</v>
      </c>
      <c r="R17" s="672">
        <v>539.54999999999995</v>
      </c>
      <c r="S17" s="672">
        <v>539.54999999999995</v>
      </c>
    </row>
    <row r="18" spans="1:19" s="658" customFormat="1" ht="20.25" customHeight="1">
      <c r="A18" s="663"/>
      <c r="B18" s="662" t="s">
        <v>504</v>
      </c>
      <c r="C18" s="676">
        <v>1.3</v>
      </c>
      <c r="D18" s="660"/>
      <c r="E18" s="675">
        <f t="shared" ref="E18:S18" si="10">$C$18*((1+$D$9)^E4)</f>
        <v>1.3325</v>
      </c>
      <c r="F18" s="675">
        <f t="shared" si="10"/>
        <v>1.3658124999999999</v>
      </c>
      <c r="G18" s="675">
        <f t="shared" si="10"/>
        <v>1.3999578124999998</v>
      </c>
      <c r="H18" s="675">
        <f t="shared" si="10"/>
        <v>1.4349567578124998</v>
      </c>
      <c r="I18" s="675">
        <f t="shared" si="10"/>
        <v>1.4708306767578121</v>
      </c>
      <c r="J18" s="675">
        <f t="shared" si="10"/>
        <v>1.5076014436767573</v>
      </c>
      <c r="K18" s="675">
        <f t="shared" si="10"/>
        <v>1.5452914797686763</v>
      </c>
      <c r="L18" s="675">
        <f t="shared" si="10"/>
        <v>1.5839237667628931</v>
      </c>
      <c r="M18" s="675">
        <f t="shared" si="10"/>
        <v>1.623521860931965</v>
      </c>
      <c r="N18" s="675">
        <f t="shared" si="10"/>
        <v>1.6641099074552643</v>
      </c>
      <c r="O18" s="675">
        <f t="shared" si="10"/>
        <v>1.7057126551416459</v>
      </c>
      <c r="P18" s="675">
        <f t="shared" si="10"/>
        <v>1.7483554715201868</v>
      </c>
      <c r="Q18" s="675">
        <f t="shared" si="10"/>
        <v>1.7920643583081914</v>
      </c>
      <c r="R18" s="675">
        <f t="shared" si="10"/>
        <v>1.836865967265896</v>
      </c>
      <c r="S18" s="675">
        <f t="shared" si="10"/>
        <v>1.8827876164475437</v>
      </c>
    </row>
    <row r="19" spans="1:19" s="658" customFormat="1" ht="20.25" customHeight="1">
      <c r="A19" s="663">
        <v>3</v>
      </c>
      <c r="B19" s="674" t="s">
        <v>510</v>
      </c>
      <c r="C19" s="670"/>
      <c r="D19" s="660"/>
      <c r="E19" s="660">
        <f t="shared" ref="E19:S19" si="11">E20*E21</f>
        <v>0</v>
      </c>
      <c r="F19" s="660">
        <f t="shared" si="11"/>
        <v>4680.9125999999997</v>
      </c>
      <c r="G19" s="660">
        <f t="shared" si="11"/>
        <v>4797.9354149999999</v>
      </c>
      <c r="H19" s="660">
        <f t="shared" si="11"/>
        <v>4917.8838003749988</v>
      </c>
      <c r="I19" s="660">
        <f t="shared" si="11"/>
        <v>5040.8308953843734</v>
      </c>
      <c r="J19" s="660">
        <f t="shared" si="11"/>
        <v>5166.8516677689822</v>
      </c>
      <c r="K19" s="660">
        <f t="shared" si="11"/>
        <v>5296.0229594632074</v>
      </c>
      <c r="L19" s="660">
        <f t="shared" si="11"/>
        <v>5428.4235334497871</v>
      </c>
      <c r="M19" s="660">
        <f t="shared" si="11"/>
        <v>5564.1341217860308</v>
      </c>
      <c r="N19" s="660">
        <f t="shared" si="11"/>
        <v>5703.2374748306811</v>
      </c>
      <c r="O19" s="660">
        <f t="shared" si="11"/>
        <v>5845.818411701448</v>
      </c>
      <c r="P19" s="660">
        <f t="shared" si="11"/>
        <v>5991.963871993984</v>
      </c>
      <c r="Q19" s="660">
        <f t="shared" si="11"/>
        <v>6141.7629687938334</v>
      </c>
      <c r="R19" s="660">
        <f t="shared" si="11"/>
        <v>6295.3070430136786</v>
      </c>
      <c r="S19" s="660">
        <f t="shared" si="11"/>
        <v>6452.6897190890222</v>
      </c>
    </row>
    <row r="20" spans="1:19" s="664" customFormat="1" ht="20.25" customHeight="1">
      <c r="A20" s="669"/>
      <c r="B20" s="668" t="s">
        <v>509</v>
      </c>
      <c r="C20" s="673"/>
      <c r="D20" s="666"/>
      <c r="E20" s="672">
        <v>0</v>
      </c>
      <c r="F20" s="672">
        <v>55.692</v>
      </c>
      <c r="G20" s="672">
        <v>55.692</v>
      </c>
      <c r="H20" s="672">
        <v>55.692</v>
      </c>
      <c r="I20" s="672">
        <v>55.692</v>
      </c>
      <c r="J20" s="672">
        <v>55.692</v>
      </c>
      <c r="K20" s="672">
        <v>55.692</v>
      </c>
      <c r="L20" s="672">
        <v>55.692</v>
      </c>
      <c r="M20" s="672">
        <v>55.692</v>
      </c>
      <c r="N20" s="672">
        <v>55.692</v>
      </c>
      <c r="O20" s="672">
        <v>55.692</v>
      </c>
      <c r="P20" s="672">
        <v>55.692</v>
      </c>
      <c r="Q20" s="672">
        <v>55.692</v>
      </c>
      <c r="R20" s="672">
        <v>55.692</v>
      </c>
      <c r="S20" s="672">
        <v>55.692</v>
      </c>
    </row>
    <row r="21" spans="1:19" s="658" customFormat="1" ht="20.25" customHeight="1">
      <c r="A21" s="663"/>
      <c r="B21" s="662" t="s">
        <v>508</v>
      </c>
      <c r="C21" s="661">
        <v>80</v>
      </c>
      <c r="D21" s="660"/>
      <c r="E21" s="659">
        <f t="shared" ref="E21:S21" si="12">$C$21*((1+$D$9)^E4)</f>
        <v>82</v>
      </c>
      <c r="F21" s="659">
        <f t="shared" si="12"/>
        <v>84.05</v>
      </c>
      <c r="G21" s="659">
        <f t="shared" si="12"/>
        <v>86.15124999999999</v>
      </c>
      <c r="H21" s="659">
        <f t="shared" si="12"/>
        <v>88.305031249999985</v>
      </c>
      <c r="I21" s="659">
        <f t="shared" si="12"/>
        <v>90.512657031249972</v>
      </c>
      <c r="J21" s="659">
        <f t="shared" si="12"/>
        <v>92.775473457031211</v>
      </c>
      <c r="K21" s="659">
        <f t="shared" si="12"/>
        <v>95.094860293457003</v>
      </c>
      <c r="L21" s="659">
        <f t="shared" si="12"/>
        <v>97.472231800793423</v>
      </c>
      <c r="M21" s="659">
        <f t="shared" si="12"/>
        <v>99.909037595813231</v>
      </c>
      <c r="N21" s="659">
        <f t="shared" si="12"/>
        <v>102.40676353570856</v>
      </c>
      <c r="O21" s="659">
        <f t="shared" si="12"/>
        <v>104.96693262410128</v>
      </c>
      <c r="P21" s="659">
        <f t="shared" si="12"/>
        <v>107.59110593970379</v>
      </c>
      <c r="Q21" s="659">
        <f t="shared" si="12"/>
        <v>110.28088358819639</v>
      </c>
      <c r="R21" s="659">
        <f t="shared" si="12"/>
        <v>113.03790567790129</v>
      </c>
      <c r="S21" s="659">
        <f t="shared" si="12"/>
        <v>115.86385331984884</v>
      </c>
    </row>
    <row r="22" spans="1:19" s="658" customFormat="1" ht="20.25" customHeight="1">
      <c r="A22" s="663">
        <v>4</v>
      </c>
      <c r="B22" s="671" t="s">
        <v>507</v>
      </c>
      <c r="C22" s="670"/>
      <c r="D22" s="660"/>
      <c r="E22" s="660">
        <f t="shared" ref="E22:S22" si="13">E23*E24</f>
        <v>416.71539000000001</v>
      </c>
      <c r="F22" s="660">
        <f t="shared" si="13"/>
        <v>854.2665495</v>
      </c>
      <c r="G22" s="660">
        <f t="shared" si="13"/>
        <v>875.62321323749973</v>
      </c>
      <c r="H22" s="660">
        <f t="shared" si="13"/>
        <v>897.51379356843711</v>
      </c>
      <c r="I22" s="660">
        <f t="shared" si="13"/>
        <v>919.95163840764803</v>
      </c>
      <c r="J22" s="660">
        <f t="shared" si="13"/>
        <v>942.95042936783921</v>
      </c>
      <c r="K22" s="660">
        <f t="shared" si="13"/>
        <v>966.52419010203528</v>
      </c>
      <c r="L22" s="660">
        <f t="shared" si="13"/>
        <v>990.68729485458596</v>
      </c>
      <c r="M22" s="660">
        <f t="shared" si="13"/>
        <v>1015.4544772259505</v>
      </c>
      <c r="N22" s="660">
        <f t="shared" si="13"/>
        <v>1040.8408391565993</v>
      </c>
      <c r="O22" s="660">
        <f t="shared" si="13"/>
        <v>1066.8618601355142</v>
      </c>
      <c r="P22" s="660">
        <f t="shared" si="13"/>
        <v>1093.5334066389019</v>
      </c>
      <c r="Q22" s="660">
        <f t="shared" si="13"/>
        <v>1120.8717418048745</v>
      </c>
      <c r="R22" s="660">
        <f t="shared" si="13"/>
        <v>1148.8935353499962</v>
      </c>
      <c r="S22" s="660">
        <f t="shared" si="13"/>
        <v>1177.6158737337464</v>
      </c>
    </row>
    <row r="23" spans="1:19" s="664" customFormat="1" ht="20.25" customHeight="1">
      <c r="A23" s="669"/>
      <c r="B23" s="668" t="s">
        <v>506</v>
      </c>
      <c r="C23" s="667" t="s">
        <v>505</v>
      </c>
      <c r="D23" s="666"/>
      <c r="E23" s="665">
        <v>0.81310320000000003</v>
      </c>
      <c r="F23" s="665">
        <v>1.6262064000000001</v>
      </c>
      <c r="G23" s="665">
        <v>1.6262063999999998</v>
      </c>
      <c r="H23" s="665">
        <v>1.6262063999999998</v>
      </c>
      <c r="I23" s="665">
        <v>1.6262063999999998</v>
      </c>
      <c r="J23" s="665">
        <v>1.6262063999999998</v>
      </c>
      <c r="K23" s="665">
        <v>1.6262063999999998</v>
      </c>
      <c r="L23" s="665">
        <v>1.6262063999999998</v>
      </c>
      <c r="M23" s="665">
        <v>1.6262063999999998</v>
      </c>
      <c r="N23" s="665">
        <v>1.6262063999999998</v>
      </c>
      <c r="O23" s="665">
        <v>1.6262063999999998</v>
      </c>
      <c r="P23" s="665">
        <v>1.6262063999999998</v>
      </c>
      <c r="Q23" s="665">
        <v>1.6262063999999998</v>
      </c>
      <c r="R23" s="665">
        <v>1.6262063999999998</v>
      </c>
      <c r="S23" s="665">
        <v>1.6262063999999998</v>
      </c>
    </row>
    <row r="24" spans="1:19" s="658" customFormat="1" ht="20.25" customHeight="1">
      <c r="A24" s="663"/>
      <c r="B24" s="662" t="s">
        <v>504</v>
      </c>
      <c r="C24" s="661">
        <v>500</v>
      </c>
      <c r="D24" s="660"/>
      <c r="E24" s="659">
        <f t="shared" ref="E24:S24" si="14">$C$24*((1+$D$9)^E4)</f>
        <v>512.5</v>
      </c>
      <c r="F24" s="659">
        <f t="shared" si="14"/>
        <v>525.3125</v>
      </c>
      <c r="G24" s="659">
        <f t="shared" si="14"/>
        <v>538.44531249999989</v>
      </c>
      <c r="H24" s="659">
        <f t="shared" si="14"/>
        <v>551.90644531249984</v>
      </c>
      <c r="I24" s="659">
        <f t="shared" si="14"/>
        <v>565.70410644531228</v>
      </c>
      <c r="J24" s="659">
        <f t="shared" si="14"/>
        <v>579.84670910644513</v>
      </c>
      <c r="K24" s="659">
        <f t="shared" si="14"/>
        <v>594.34287683410628</v>
      </c>
      <c r="L24" s="659">
        <f t="shared" si="14"/>
        <v>609.20144875495885</v>
      </c>
      <c r="M24" s="659">
        <f t="shared" si="14"/>
        <v>624.43148497383277</v>
      </c>
      <c r="N24" s="659">
        <f t="shared" si="14"/>
        <v>640.0422720981785</v>
      </c>
      <c r="O24" s="659">
        <f t="shared" si="14"/>
        <v>656.04332890063301</v>
      </c>
      <c r="P24" s="659">
        <f t="shared" si="14"/>
        <v>672.44441212314871</v>
      </c>
      <c r="Q24" s="659">
        <f t="shared" si="14"/>
        <v>689.25552242622746</v>
      </c>
      <c r="R24" s="659">
        <f t="shared" si="14"/>
        <v>706.48691048688306</v>
      </c>
      <c r="S24" s="659">
        <f t="shared" si="14"/>
        <v>724.14908324905525</v>
      </c>
    </row>
    <row r="25" spans="1:19" s="633" customFormat="1" ht="20.25" customHeight="1">
      <c r="A25" s="657" t="s">
        <v>68</v>
      </c>
      <c r="B25" s="656" t="s">
        <v>503</v>
      </c>
      <c r="C25" s="655"/>
      <c r="D25" s="654"/>
      <c r="E25" s="654">
        <f t="shared" ref="E25:S25" si="15">(E26+E49)</f>
        <v>92889.524499025196</v>
      </c>
      <c r="F25" s="654">
        <f t="shared" si="15"/>
        <v>295286.90108265879</v>
      </c>
      <c r="G25" s="654">
        <f t="shared" si="15"/>
        <v>329122.65119011072</v>
      </c>
      <c r="H25" s="654">
        <f t="shared" si="15"/>
        <v>334954.88866135391</v>
      </c>
      <c r="I25" s="654">
        <f t="shared" si="15"/>
        <v>340565.95297240082</v>
      </c>
      <c r="J25" s="654">
        <f t="shared" si="15"/>
        <v>346998.34761138534</v>
      </c>
      <c r="K25" s="654">
        <f t="shared" si="15"/>
        <v>352944.28509923967</v>
      </c>
      <c r="L25" s="654">
        <f t="shared" si="15"/>
        <v>358910.47236255987</v>
      </c>
      <c r="M25" s="654">
        <f t="shared" si="15"/>
        <v>367191.61843212036</v>
      </c>
      <c r="N25" s="654">
        <f t="shared" si="15"/>
        <v>375997.64387566445</v>
      </c>
      <c r="O25" s="654">
        <f t="shared" si="15"/>
        <v>385022.9404481721</v>
      </c>
      <c r="P25" s="654">
        <f t="shared" si="15"/>
        <v>394274.44602661749</v>
      </c>
      <c r="Q25" s="654">
        <f t="shared" si="15"/>
        <v>403759.25251789903</v>
      </c>
      <c r="R25" s="654">
        <f t="shared" si="15"/>
        <v>413477.44293108745</v>
      </c>
      <c r="S25" s="654">
        <f t="shared" si="15"/>
        <v>423441.42356660584</v>
      </c>
    </row>
    <row r="26" spans="1:19" s="652" customFormat="1" ht="20.25" customHeight="1">
      <c r="A26" s="623">
        <v>1</v>
      </c>
      <c r="B26" s="622" t="s">
        <v>502</v>
      </c>
      <c r="C26" s="621"/>
      <c r="D26" s="653"/>
      <c r="E26" s="653">
        <f>(E27+SUM(E34:E48))*(1+'Thong so - Độ nhậy - Bảng 1'!$N$28)</f>
        <v>78796.605938750945</v>
      </c>
      <c r="F26" s="653">
        <f>(F27+SUM(F34:F48))*(1+'Thong so - Độ nhậy - Bảng 1'!$N$28)</f>
        <v>281193.98252238455</v>
      </c>
      <c r="G26" s="653">
        <f>(G27+SUM(G34:G48))*(1+'Thong so - Độ nhậy - Bảng 1'!$N$28)</f>
        <v>314172.18972975382</v>
      </c>
      <c r="H26" s="653">
        <f>(H27+SUM(H34:H48))*(1+'Thong so - Độ nhậy - Bảng 1'!$N$28)</f>
        <v>320004.42720099702</v>
      </c>
      <c r="I26" s="653">
        <f>(I27+SUM(I34:I48))*(1+'Thong so - Độ nhậy - Bảng 1'!$N$28)</f>
        <v>325615.49151204393</v>
      </c>
      <c r="J26" s="653">
        <f>(J27+SUM(J34:J48))*(1+'Thong so - Độ nhậy - Bảng 1'!$N$28)</f>
        <v>332047.88615102845</v>
      </c>
      <c r="K26" s="653">
        <f>(K27+SUM(K34:K48))*(1+'Thong so - Độ nhậy - Bảng 1'!$N$28)</f>
        <v>337993.82363888278</v>
      </c>
      <c r="L26" s="653">
        <f>(L27+SUM(L34:L48))*(1+'Thong so - Độ nhậy - Bảng 1'!$N$28)</f>
        <v>343960.01090220298</v>
      </c>
      <c r="M26" s="653">
        <f>(M27+SUM(M34:M48))*(1+'Thong so - Độ nhậy - Bảng 1'!$N$28)</f>
        <v>352241.15697176347</v>
      </c>
      <c r="N26" s="653">
        <f>(N27+SUM(N34:N48))*(1+'Thong so - Độ nhậy - Bảng 1'!$N$28)</f>
        <v>361047.18241530756</v>
      </c>
      <c r="O26" s="653">
        <f>(O27+SUM(O34:O48))*(1+'Thong so - Độ nhậy - Bảng 1'!$N$28)</f>
        <v>370072.47898781521</v>
      </c>
      <c r="P26" s="653">
        <f>(P27+SUM(P34:P48))*(1+'Thong so - Độ nhậy - Bảng 1'!$N$28)</f>
        <v>379323.98456626059</v>
      </c>
      <c r="Q26" s="653">
        <f>(Q27+SUM(Q34:Q48))*(1+'Thong so - Độ nhậy - Bảng 1'!$N$28)</f>
        <v>388808.79105754214</v>
      </c>
      <c r="R26" s="653">
        <f>(R27+SUM(R34:R48))*(1+'Thong so - Độ nhậy - Bảng 1'!$N$28)</f>
        <v>398526.98147073056</v>
      </c>
      <c r="S26" s="653">
        <f>(S27+SUM(S34:S48))*(1+'Thong so - Độ nhậy - Bảng 1'!$N$28)</f>
        <v>408490.96210624895</v>
      </c>
    </row>
    <row r="27" spans="1:19" ht="20.25" customHeight="1">
      <c r="A27" s="629" t="s">
        <v>26</v>
      </c>
      <c r="B27" s="651" t="s">
        <v>501</v>
      </c>
      <c r="C27" s="649">
        <v>25900</v>
      </c>
      <c r="D27" s="613"/>
      <c r="E27" s="650">
        <f t="shared" ref="E27:S27" si="16">ROUNDUP((E28*E29+E30*E31+E32*E33)*$C$27/1000000,0)</f>
        <v>7416</v>
      </c>
      <c r="F27" s="650">
        <f t="shared" si="16"/>
        <v>7601</v>
      </c>
      <c r="G27" s="650">
        <f t="shared" si="16"/>
        <v>7791</v>
      </c>
      <c r="H27" s="650">
        <f t="shared" si="16"/>
        <v>7986</v>
      </c>
      <c r="I27" s="650">
        <f t="shared" si="16"/>
        <v>8186</v>
      </c>
      <c r="J27" s="650">
        <f t="shared" si="16"/>
        <v>8391</v>
      </c>
      <c r="K27" s="650">
        <f t="shared" si="16"/>
        <v>8600</v>
      </c>
      <c r="L27" s="650">
        <f t="shared" si="16"/>
        <v>8815</v>
      </c>
      <c r="M27" s="650">
        <f t="shared" si="16"/>
        <v>9036</v>
      </c>
      <c r="N27" s="650">
        <f t="shared" si="16"/>
        <v>9262</v>
      </c>
      <c r="O27" s="650">
        <f t="shared" si="16"/>
        <v>9493</v>
      </c>
      <c r="P27" s="650">
        <f t="shared" si="16"/>
        <v>9730</v>
      </c>
      <c r="Q27" s="650">
        <f t="shared" si="16"/>
        <v>9974</v>
      </c>
      <c r="R27" s="650">
        <f t="shared" si="16"/>
        <v>10223</v>
      </c>
      <c r="S27" s="650">
        <f t="shared" si="16"/>
        <v>10479</v>
      </c>
    </row>
    <row r="28" spans="1:19" ht="20.25" customHeight="1">
      <c r="A28" s="629"/>
      <c r="B28" s="648" t="s">
        <v>500</v>
      </c>
      <c r="C28" s="649">
        <v>15790</v>
      </c>
      <c r="D28" s="613">
        <v>1667</v>
      </c>
      <c r="E28" s="613">
        <f>(C28+D28)*2</f>
        <v>34914</v>
      </c>
      <c r="F28" s="613">
        <f t="shared" ref="F28:S28" si="17">E28</f>
        <v>34914</v>
      </c>
      <c r="G28" s="613">
        <f t="shared" si="17"/>
        <v>34914</v>
      </c>
      <c r="H28" s="613">
        <f t="shared" si="17"/>
        <v>34914</v>
      </c>
      <c r="I28" s="613">
        <f t="shared" si="17"/>
        <v>34914</v>
      </c>
      <c r="J28" s="613">
        <f t="shared" si="17"/>
        <v>34914</v>
      </c>
      <c r="K28" s="613">
        <f t="shared" si="17"/>
        <v>34914</v>
      </c>
      <c r="L28" s="613">
        <f t="shared" si="17"/>
        <v>34914</v>
      </c>
      <c r="M28" s="613">
        <f t="shared" si="17"/>
        <v>34914</v>
      </c>
      <c r="N28" s="613">
        <f t="shared" si="17"/>
        <v>34914</v>
      </c>
      <c r="O28" s="613">
        <f t="shared" si="17"/>
        <v>34914</v>
      </c>
      <c r="P28" s="613">
        <f t="shared" si="17"/>
        <v>34914</v>
      </c>
      <c r="Q28" s="613">
        <f t="shared" si="17"/>
        <v>34914</v>
      </c>
      <c r="R28" s="613">
        <f t="shared" si="17"/>
        <v>34914</v>
      </c>
      <c r="S28" s="613">
        <f t="shared" si="17"/>
        <v>34914</v>
      </c>
    </row>
    <row r="29" spans="1:19" ht="20.25" customHeight="1">
      <c r="A29" s="629"/>
      <c r="B29" s="648" t="s">
        <v>499</v>
      </c>
      <c r="C29" s="647">
        <v>4.2</v>
      </c>
      <c r="D29" s="613"/>
      <c r="E29" s="646">
        <f t="shared" ref="E29:S29" si="18">$C$29*((1+$D$9)^E4)</f>
        <v>4.3049999999999997</v>
      </c>
      <c r="F29" s="646">
        <f t="shared" si="18"/>
        <v>4.4126250000000002</v>
      </c>
      <c r="G29" s="646">
        <f t="shared" si="18"/>
        <v>4.5229406249999995</v>
      </c>
      <c r="H29" s="646">
        <f t="shared" si="18"/>
        <v>4.6360141406249991</v>
      </c>
      <c r="I29" s="646">
        <f t="shared" si="18"/>
        <v>4.7519144941406237</v>
      </c>
      <c r="J29" s="646">
        <f t="shared" si="18"/>
        <v>4.8707123564941393</v>
      </c>
      <c r="K29" s="646">
        <f t="shared" si="18"/>
        <v>4.9924801654064925</v>
      </c>
      <c r="L29" s="646">
        <f t="shared" si="18"/>
        <v>5.1172921695416544</v>
      </c>
      <c r="M29" s="646">
        <f t="shared" si="18"/>
        <v>5.245224473780195</v>
      </c>
      <c r="N29" s="646">
        <f t="shared" si="18"/>
        <v>5.3763550856247004</v>
      </c>
      <c r="O29" s="646">
        <f t="shared" si="18"/>
        <v>5.5107639627653171</v>
      </c>
      <c r="P29" s="646">
        <f t="shared" si="18"/>
        <v>5.64853306183445</v>
      </c>
      <c r="Q29" s="646">
        <f t="shared" si="18"/>
        <v>5.7897463883803111</v>
      </c>
      <c r="R29" s="646">
        <f t="shared" si="18"/>
        <v>5.9344900480898177</v>
      </c>
      <c r="S29" s="646">
        <f t="shared" si="18"/>
        <v>6.0828522992920639</v>
      </c>
    </row>
    <row r="30" spans="1:19" ht="20.25" customHeight="1">
      <c r="A30" s="629"/>
      <c r="B30" s="648" t="s">
        <v>498</v>
      </c>
      <c r="C30" s="649">
        <v>12632</v>
      </c>
      <c r="D30" s="613"/>
      <c r="E30" s="613">
        <f>$C$30*2</f>
        <v>25264</v>
      </c>
      <c r="F30" s="613">
        <f t="shared" ref="F30:S30" si="19">E30</f>
        <v>25264</v>
      </c>
      <c r="G30" s="613">
        <f t="shared" si="19"/>
        <v>25264</v>
      </c>
      <c r="H30" s="613">
        <f t="shared" si="19"/>
        <v>25264</v>
      </c>
      <c r="I30" s="613">
        <f t="shared" si="19"/>
        <v>25264</v>
      </c>
      <c r="J30" s="613">
        <f t="shared" si="19"/>
        <v>25264</v>
      </c>
      <c r="K30" s="613">
        <f t="shared" si="19"/>
        <v>25264</v>
      </c>
      <c r="L30" s="613">
        <f t="shared" si="19"/>
        <v>25264</v>
      </c>
      <c r="M30" s="613">
        <f t="shared" si="19"/>
        <v>25264</v>
      </c>
      <c r="N30" s="613">
        <f t="shared" si="19"/>
        <v>25264</v>
      </c>
      <c r="O30" s="613">
        <f t="shared" si="19"/>
        <v>25264</v>
      </c>
      <c r="P30" s="613">
        <f t="shared" si="19"/>
        <v>25264</v>
      </c>
      <c r="Q30" s="613">
        <f t="shared" si="19"/>
        <v>25264</v>
      </c>
      <c r="R30" s="613">
        <f t="shared" si="19"/>
        <v>25264</v>
      </c>
      <c r="S30" s="613">
        <f t="shared" si="19"/>
        <v>25264</v>
      </c>
    </row>
    <row r="31" spans="1:19" ht="20.25" customHeight="1">
      <c r="A31" s="629"/>
      <c r="B31" s="648" t="s">
        <v>497</v>
      </c>
      <c r="C31" s="647">
        <v>4.41</v>
      </c>
      <c r="D31" s="613"/>
      <c r="E31" s="646">
        <f t="shared" ref="E31:S31" si="20">$C$31*((1+$D$9)^E4)</f>
        <v>4.5202499999999999</v>
      </c>
      <c r="F31" s="646">
        <f t="shared" si="20"/>
        <v>4.6332562499999996</v>
      </c>
      <c r="G31" s="646">
        <f t="shared" si="20"/>
        <v>4.7490876562499995</v>
      </c>
      <c r="H31" s="646">
        <f t="shared" si="20"/>
        <v>4.8678148476562493</v>
      </c>
      <c r="I31" s="646">
        <f t="shared" si="20"/>
        <v>4.9895102188476548</v>
      </c>
      <c r="J31" s="646">
        <f t="shared" si="20"/>
        <v>5.1142479743188458</v>
      </c>
      <c r="K31" s="646">
        <f t="shared" si="20"/>
        <v>5.2421041736768172</v>
      </c>
      <c r="L31" s="646">
        <f t="shared" si="20"/>
        <v>5.3731567780187373</v>
      </c>
      <c r="M31" s="646">
        <f t="shared" si="20"/>
        <v>5.507485697469205</v>
      </c>
      <c r="N31" s="646">
        <f t="shared" si="20"/>
        <v>5.6451728399059347</v>
      </c>
      <c r="O31" s="646">
        <f t="shared" si="20"/>
        <v>5.786302160903583</v>
      </c>
      <c r="P31" s="646">
        <f t="shared" si="20"/>
        <v>5.9309597149261721</v>
      </c>
      <c r="Q31" s="646">
        <f t="shared" si="20"/>
        <v>6.0792337077993261</v>
      </c>
      <c r="R31" s="646">
        <f t="shared" si="20"/>
        <v>6.2312145504943084</v>
      </c>
      <c r="S31" s="646">
        <f t="shared" si="20"/>
        <v>6.3869949142566673</v>
      </c>
    </row>
    <row r="32" spans="1:19" ht="20.25" customHeight="1">
      <c r="A32" s="629"/>
      <c r="B32" s="648" t="s">
        <v>496</v>
      </c>
      <c r="C32" s="649">
        <v>1380</v>
      </c>
      <c r="D32" s="613"/>
      <c r="E32" s="613">
        <f>$C$32*2</f>
        <v>2760</v>
      </c>
      <c r="F32" s="613">
        <f t="shared" ref="F32:S32" si="21">E32</f>
        <v>2760</v>
      </c>
      <c r="G32" s="613">
        <f t="shared" si="21"/>
        <v>2760</v>
      </c>
      <c r="H32" s="613">
        <f t="shared" si="21"/>
        <v>2760</v>
      </c>
      <c r="I32" s="613">
        <f t="shared" si="21"/>
        <v>2760</v>
      </c>
      <c r="J32" s="613">
        <f t="shared" si="21"/>
        <v>2760</v>
      </c>
      <c r="K32" s="613">
        <f t="shared" si="21"/>
        <v>2760</v>
      </c>
      <c r="L32" s="613">
        <f t="shared" si="21"/>
        <v>2760</v>
      </c>
      <c r="M32" s="613">
        <f t="shared" si="21"/>
        <v>2760</v>
      </c>
      <c r="N32" s="613">
        <f t="shared" si="21"/>
        <v>2760</v>
      </c>
      <c r="O32" s="613">
        <f t="shared" si="21"/>
        <v>2760</v>
      </c>
      <c r="P32" s="613">
        <f t="shared" si="21"/>
        <v>2760</v>
      </c>
      <c r="Q32" s="613">
        <f t="shared" si="21"/>
        <v>2760</v>
      </c>
      <c r="R32" s="613">
        <f t="shared" si="21"/>
        <v>2760</v>
      </c>
      <c r="S32" s="613">
        <f t="shared" si="21"/>
        <v>2760</v>
      </c>
    </row>
    <row r="33" spans="1:19" ht="20.25" customHeight="1">
      <c r="A33" s="629"/>
      <c r="B33" s="648" t="s">
        <v>495</v>
      </c>
      <c r="C33" s="647">
        <v>7.71</v>
      </c>
      <c r="D33" s="613"/>
      <c r="E33" s="646">
        <f t="shared" ref="E33:S33" si="22">$C$33*((1+$D$9)^E4)</f>
        <v>7.9027499999999993</v>
      </c>
      <c r="F33" s="646">
        <f t="shared" si="22"/>
        <v>8.1003187499999996</v>
      </c>
      <c r="G33" s="646">
        <f t="shared" si="22"/>
        <v>8.3028267187499996</v>
      </c>
      <c r="H33" s="646">
        <f t="shared" si="22"/>
        <v>8.5103973867187488</v>
      </c>
      <c r="I33" s="646">
        <f t="shared" si="22"/>
        <v>8.7231573213867168</v>
      </c>
      <c r="J33" s="646">
        <f t="shared" si="22"/>
        <v>8.9412362544213835</v>
      </c>
      <c r="K33" s="646">
        <f t="shared" si="22"/>
        <v>9.1647671607819188</v>
      </c>
      <c r="L33" s="646">
        <f t="shared" si="22"/>
        <v>9.3938863398014654</v>
      </c>
      <c r="M33" s="646">
        <f t="shared" si="22"/>
        <v>9.6287334982964996</v>
      </c>
      <c r="N33" s="646">
        <f t="shared" si="22"/>
        <v>9.8694518357539138</v>
      </c>
      <c r="O33" s="646">
        <f t="shared" si="22"/>
        <v>10.11618813164776</v>
      </c>
      <c r="P33" s="646">
        <f t="shared" si="22"/>
        <v>10.369092834938954</v>
      </c>
      <c r="Q33" s="646">
        <f t="shared" si="22"/>
        <v>10.628320155812427</v>
      </c>
      <c r="R33" s="646">
        <f t="shared" si="22"/>
        <v>10.894028159707737</v>
      </c>
      <c r="S33" s="646">
        <f t="shared" si="22"/>
        <v>11.166378863700432</v>
      </c>
    </row>
    <row r="34" spans="1:19" s="572" customFormat="1" ht="20.25" customHeight="1">
      <c r="A34" s="641" t="s">
        <v>26</v>
      </c>
      <c r="B34" s="643" t="s">
        <v>494</v>
      </c>
      <c r="C34" s="642"/>
      <c r="D34" s="638"/>
      <c r="E34" s="638">
        <v>11277.877882972971</v>
      </c>
      <c r="F34" s="638">
        <v>22456</v>
      </c>
      <c r="G34" s="638">
        <v>23017</v>
      </c>
      <c r="H34" s="638">
        <v>23593</v>
      </c>
      <c r="I34" s="638">
        <v>23874</v>
      </c>
      <c r="J34" s="638">
        <v>24787</v>
      </c>
      <c r="K34" s="638">
        <v>25407</v>
      </c>
      <c r="L34" s="638">
        <v>26041</v>
      </c>
      <c r="M34" s="638">
        <v>26693</v>
      </c>
      <c r="N34" s="638">
        <v>27360</v>
      </c>
      <c r="O34" s="638">
        <v>28044</v>
      </c>
      <c r="P34" s="638">
        <v>28745</v>
      </c>
      <c r="Q34" s="638">
        <v>29465</v>
      </c>
      <c r="R34" s="638">
        <v>30200</v>
      </c>
      <c r="S34" s="638">
        <v>30955</v>
      </c>
    </row>
    <row r="35" spans="1:19" s="572" customFormat="1" ht="20.25" customHeight="1">
      <c r="A35" s="641" t="s">
        <v>26</v>
      </c>
      <c r="B35" s="643" t="s">
        <v>493</v>
      </c>
      <c r="C35" s="642"/>
      <c r="D35" s="638"/>
      <c r="E35" s="638">
        <v>822.55247550000001</v>
      </c>
      <c r="F35" s="638">
        <v>843.11628738749994</v>
      </c>
      <c r="G35" s="638">
        <v>864.19419457218737</v>
      </c>
      <c r="H35" s="638">
        <v>885.79904943649206</v>
      </c>
      <c r="I35" s="638">
        <v>907.94402567240422</v>
      </c>
      <c r="J35" s="638">
        <v>930.64262631421434</v>
      </c>
      <c r="K35" s="638">
        <v>953.90869197206973</v>
      </c>
      <c r="L35" s="638">
        <v>977.75640927137135</v>
      </c>
      <c r="M35" s="638">
        <v>1002.2003195031555</v>
      </c>
      <c r="N35" s="638">
        <v>1027.2553274907343</v>
      </c>
      <c r="O35" s="638">
        <v>1052.9367106780028</v>
      </c>
      <c r="P35" s="638">
        <v>1079.2601284449527</v>
      </c>
      <c r="Q35" s="638">
        <v>1106.2416316560764</v>
      </c>
      <c r="R35" s="638">
        <v>1133.8976724474783</v>
      </c>
      <c r="S35" s="638">
        <v>1162.2451142586654</v>
      </c>
    </row>
    <row r="36" spans="1:19" ht="20.25" customHeight="1">
      <c r="A36" s="629" t="s">
        <v>26</v>
      </c>
      <c r="B36" s="645" t="s">
        <v>492</v>
      </c>
      <c r="C36" s="644">
        <v>10</v>
      </c>
      <c r="D36" s="613">
        <v>25</v>
      </c>
      <c r="E36" s="613">
        <f t="shared" ref="E36:S36" si="23">$C$36*(1+$D$13)^E4*$D$36*12</f>
        <v>3075</v>
      </c>
      <c r="F36" s="613">
        <f t="shared" si="23"/>
        <v>3151.875</v>
      </c>
      <c r="G36" s="613">
        <f t="shared" si="23"/>
        <v>3230.6718749999991</v>
      </c>
      <c r="H36" s="613">
        <f t="shared" si="23"/>
        <v>3311.4386718749997</v>
      </c>
      <c r="I36" s="613">
        <f t="shared" si="23"/>
        <v>3394.2246386718734</v>
      </c>
      <c r="J36" s="613">
        <f t="shared" si="23"/>
        <v>3479.0802546386703</v>
      </c>
      <c r="K36" s="613">
        <f t="shared" si="23"/>
        <v>3566.0572610046374</v>
      </c>
      <c r="L36" s="613">
        <f t="shared" si="23"/>
        <v>3655.2086925297531</v>
      </c>
      <c r="M36" s="613">
        <f t="shared" si="23"/>
        <v>3746.5889098429961</v>
      </c>
      <c r="N36" s="613">
        <f t="shared" si="23"/>
        <v>3840.253632589071</v>
      </c>
      <c r="O36" s="613">
        <f t="shared" si="23"/>
        <v>3936.2599734037981</v>
      </c>
      <c r="P36" s="613">
        <f t="shared" si="23"/>
        <v>4034.6664727388925</v>
      </c>
      <c r="Q36" s="613">
        <f t="shared" si="23"/>
        <v>4135.533134557365</v>
      </c>
      <c r="R36" s="613">
        <f t="shared" si="23"/>
        <v>4238.9214629212984</v>
      </c>
      <c r="S36" s="613">
        <f t="shared" si="23"/>
        <v>4344.8944994943313</v>
      </c>
    </row>
    <row r="37" spans="1:19" s="572" customFormat="1" ht="20.25" customHeight="1">
      <c r="A37" s="641" t="s">
        <v>26</v>
      </c>
      <c r="B37" s="643" t="s">
        <v>491</v>
      </c>
      <c r="C37" s="642"/>
      <c r="D37" s="638"/>
      <c r="E37" s="638">
        <v>165.58140414038459</v>
      </c>
      <c r="F37" s="638">
        <v>381.10267553312497</v>
      </c>
      <c r="G37" s="638">
        <v>390.63024242145309</v>
      </c>
      <c r="H37" s="638">
        <v>400.39599848198935</v>
      </c>
      <c r="I37" s="638">
        <v>467.3146509705627</v>
      </c>
      <c r="J37" s="638">
        <v>712.32340260357398</v>
      </c>
      <c r="K37" s="638">
        <v>730.13148766866334</v>
      </c>
      <c r="L37" s="638">
        <v>748.38477486037982</v>
      </c>
      <c r="M37" s="638">
        <v>767.09439423188917</v>
      </c>
      <c r="N37" s="638">
        <v>786.27175408768642</v>
      </c>
      <c r="O37" s="638">
        <v>805.92854793987874</v>
      </c>
      <c r="P37" s="638">
        <v>826.0767616383755</v>
      </c>
      <c r="Q37" s="638">
        <v>846.72868067933484</v>
      </c>
      <c r="R37" s="638">
        <v>867.89689769631821</v>
      </c>
      <c r="S37" s="638">
        <v>889.59432013872629</v>
      </c>
    </row>
    <row r="38" spans="1:19" s="572" customFormat="1" ht="20.25" customHeight="1">
      <c r="A38" s="641" t="s">
        <v>26</v>
      </c>
      <c r="B38" s="640" t="s">
        <v>490</v>
      </c>
      <c r="C38" s="639"/>
      <c r="D38" s="638"/>
      <c r="E38" s="638">
        <v>7947.6758682692289</v>
      </c>
      <c r="F38" s="638">
        <v>33933.360402512015</v>
      </c>
      <c r="G38" s="638">
        <v>39098.972951144526</v>
      </c>
      <c r="H38" s="638">
        <v>40076.447274923135</v>
      </c>
      <c r="I38" s="638">
        <v>41078.35845679621</v>
      </c>
      <c r="J38" s="638">
        <v>42105.317418216109</v>
      </c>
      <c r="K38" s="638">
        <v>43157.95035367152</v>
      </c>
      <c r="L38" s="638">
        <v>44236.899112513289</v>
      </c>
      <c r="M38" s="638">
        <v>45342.821590326123</v>
      </c>
      <c r="N38" s="638">
        <v>46476.392130084278</v>
      </c>
      <c r="O38" s="638">
        <v>47638.301933336392</v>
      </c>
      <c r="P38" s="638">
        <v>48829.259481669797</v>
      </c>
      <c r="Q38" s="638">
        <v>50049.990968711536</v>
      </c>
      <c r="R38" s="638">
        <v>51301.240742929316</v>
      </c>
      <c r="S38" s="638">
        <v>52583.771761502554</v>
      </c>
    </row>
    <row r="39" spans="1:19" s="572" customFormat="1" ht="20.25" customHeight="1">
      <c r="A39" s="641" t="s">
        <v>26</v>
      </c>
      <c r="B39" s="640" t="s">
        <v>489</v>
      </c>
      <c r="C39" s="639"/>
      <c r="D39" s="638"/>
      <c r="E39" s="638">
        <v>37981.942974458645</v>
      </c>
      <c r="F39" s="638">
        <v>162167.52936360493</v>
      </c>
      <c r="G39" s="638">
        <v>186853.99173351968</v>
      </c>
      <c r="H39" s="638">
        <v>191525.34152685766</v>
      </c>
      <c r="I39" s="638">
        <v>196313.47506502905</v>
      </c>
      <c r="J39" s="638">
        <v>201221.31194165477</v>
      </c>
      <c r="K39" s="638">
        <v>206251.84474019616</v>
      </c>
      <c r="L39" s="638">
        <v>211408.14085870105</v>
      </c>
      <c r="M39" s="638">
        <v>216693.34438016854</v>
      </c>
      <c r="N39" s="638">
        <v>222110.67798967275</v>
      </c>
      <c r="O39" s="638">
        <v>227663.44493941459</v>
      </c>
      <c r="P39" s="638">
        <v>233355.03106289997</v>
      </c>
      <c r="Q39" s="638">
        <v>239188.90683947242</v>
      </c>
      <c r="R39" s="638">
        <v>245168.6295104592</v>
      </c>
      <c r="S39" s="638">
        <v>251297.84524822072</v>
      </c>
    </row>
    <row r="40" spans="1:19" s="626" customFormat="1" ht="20.25" customHeight="1">
      <c r="A40" s="629" t="s">
        <v>26</v>
      </c>
      <c r="B40" s="628" t="s">
        <v>488</v>
      </c>
      <c r="C40" s="637">
        <v>3.3</v>
      </c>
      <c r="D40" s="613"/>
      <c r="E40" s="624">
        <f t="shared" ref="E40:S40" si="24">E12*(1+$D$13)^E4*$C$40</f>
        <v>4870.7816076562494</v>
      </c>
      <c r="F40" s="624">
        <f t="shared" si="24"/>
        <v>15361.695839531247</v>
      </c>
      <c r="G40" s="624">
        <f t="shared" si="24"/>
        <v>15745.738235519526</v>
      </c>
      <c r="H40" s="624">
        <f t="shared" si="24"/>
        <v>16139.381691407516</v>
      </c>
      <c r="I40" s="624">
        <f t="shared" si="24"/>
        <v>16542.866233692701</v>
      </c>
      <c r="J40" s="624">
        <f t="shared" si="24"/>
        <v>16956.437889535016</v>
      </c>
      <c r="K40" s="624">
        <f t="shared" si="24"/>
        <v>17380.348836773392</v>
      </c>
      <c r="L40" s="624">
        <f t="shared" si="24"/>
        <v>17814.857557692725</v>
      </c>
      <c r="M40" s="624">
        <f t="shared" si="24"/>
        <v>18260.22899663504</v>
      </c>
      <c r="N40" s="624">
        <f t="shared" si="24"/>
        <v>18716.734721550918</v>
      </c>
      <c r="O40" s="624">
        <f t="shared" si="24"/>
        <v>19184.65308958969</v>
      </c>
      <c r="P40" s="624">
        <f t="shared" si="24"/>
        <v>19664.269416829429</v>
      </c>
      <c r="Q40" s="624">
        <f t="shared" si="24"/>
        <v>20155.876152250166</v>
      </c>
      <c r="R40" s="624">
        <f t="shared" si="24"/>
        <v>20659.773056056416</v>
      </c>
      <c r="S40" s="624">
        <f t="shared" si="24"/>
        <v>21176.267382457831</v>
      </c>
    </row>
    <row r="41" spans="1:19" s="633" customFormat="1" ht="20.25" customHeight="1">
      <c r="A41" s="551" t="s">
        <v>26</v>
      </c>
      <c r="B41" s="635" t="s">
        <v>487</v>
      </c>
      <c r="C41" s="636">
        <v>7.0000000000000007E-2</v>
      </c>
      <c r="D41" s="401"/>
      <c r="E41" s="401"/>
      <c r="F41" s="401">
        <f>'VLD- Bảng 6'!E16*$C$41</f>
        <v>3424.1627777794533</v>
      </c>
      <c r="G41" s="401">
        <f>'VLD- Bảng 6'!F16*$C$41</f>
        <v>3853.9135947435152</v>
      </c>
      <c r="H41" s="401">
        <f>'VLD- Bảng 6'!G16*$C$41</f>
        <v>3950.2732007371028</v>
      </c>
      <c r="I41" s="401">
        <f>'VLD- Bảng 6'!H16*$C$41</f>
        <v>4044.4077531727767</v>
      </c>
      <c r="J41" s="401">
        <f>'VLD- Bảng 6'!I16*$C$41</f>
        <v>4150.0868919753066</v>
      </c>
      <c r="K41" s="401">
        <f>'VLD- Bảng 6'!J16*$C$41</f>
        <v>4253.8325043996902</v>
      </c>
      <c r="L41" s="401">
        <f>'VLD- Bảng 6'!K16*$C$41</f>
        <v>4360.1606752596826</v>
      </c>
      <c r="M41" s="401">
        <f>'VLD- Bảng 6'!L16*$C$41</f>
        <v>4469.1886408911732</v>
      </c>
      <c r="N41" s="401">
        <f>'VLD- Bảng 6'!M16*$C$41</f>
        <v>4580.9148761634524</v>
      </c>
      <c r="O41" s="401">
        <f>'VLD- Bảng 6'!N16*$C$41</f>
        <v>4695.4297601925391</v>
      </c>
      <c r="P41" s="401">
        <f>'VLD- Bảng 6'!O16*$C$41</f>
        <v>4812.8091079473534</v>
      </c>
      <c r="Q41" s="401">
        <f>'VLD- Bảng 6'!P16*$C$41</f>
        <v>4933.161212771035</v>
      </c>
      <c r="R41" s="401">
        <f>'VLD- Bảng 6'!Q16*$C$41</f>
        <v>5056.4608798403106</v>
      </c>
      <c r="S41" s="401">
        <f>'VLD- Bảng 6'!R16*$C$41</f>
        <v>5182.878500586321</v>
      </c>
    </row>
    <row r="42" spans="1:19" s="633" customFormat="1" ht="20.25" customHeight="1">
      <c r="A42" s="551" t="s">
        <v>26</v>
      </c>
      <c r="B42" s="635" t="s">
        <v>486</v>
      </c>
      <c r="C42" s="634"/>
      <c r="D42" s="401"/>
      <c r="E42" s="401">
        <f>'[4]Nguồn trả nợ- Bảng 6'!D9</f>
        <v>0</v>
      </c>
      <c r="F42" s="401">
        <f>'KH trả nợ-Bảng 5'!D12</f>
        <v>12000</v>
      </c>
      <c r="G42" s="401">
        <f>'KH trả nợ-Bảng 5'!E12</f>
        <v>10707.495918158345</v>
      </c>
      <c r="H42" s="401">
        <f>'KH trả nợ-Bảng 5'!F12</f>
        <v>8952.0792779866024</v>
      </c>
      <c r="I42" s="401">
        <f>'KH trả nợ-Bảng 5'!G12</f>
        <v>7043.2734160145083</v>
      </c>
      <c r="J42" s="401">
        <f>'KH trả nợ-Bảng 5'!H12</f>
        <v>4956.692772266324</v>
      </c>
      <c r="K42" s="401">
        <f>'KH trả nợ-Bảng 5'!I12</f>
        <v>2726.0319855266962</v>
      </c>
      <c r="L42" s="401">
        <f>'KH trả nợ-Bảng 5'!J12</f>
        <v>311.44209926295412</v>
      </c>
      <c r="M42" s="401">
        <f>'[4]Nguồn trả nợ- Bảng 6'!L9</f>
        <v>0</v>
      </c>
      <c r="N42" s="401">
        <f>'[4]Nguồn trả nợ- Bảng 6'!M9</f>
        <v>0</v>
      </c>
      <c r="O42" s="401">
        <f>'[4]Nguồn trả nợ- Bảng 6'!N9</f>
        <v>0</v>
      </c>
      <c r="P42" s="401">
        <f>'[4]Nguồn trả nợ- Bảng 6'!O9</f>
        <v>0</v>
      </c>
      <c r="Q42" s="401">
        <f>'[4]Nguồn trả nợ- Bảng 6'!P9</f>
        <v>0</v>
      </c>
      <c r="R42" s="401">
        <f>'[4]Nguồn trả nợ- Bảng 6'!Q9</f>
        <v>0</v>
      </c>
      <c r="S42" s="401">
        <f>'[4]Nguồn trả nợ- Bảng 6'!R9</f>
        <v>0</v>
      </c>
    </row>
    <row r="43" spans="1:19" ht="20.25" customHeight="1">
      <c r="A43" s="617"/>
      <c r="B43" s="616" t="s">
        <v>485</v>
      </c>
      <c r="C43" s="618"/>
      <c r="D43" s="613"/>
      <c r="E43" s="613">
        <v>233</v>
      </c>
      <c r="F43" s="613">
        <v>733</v>
      </c>
      <c r="G43" s="613">
        <v>751</v>
      </c>
      <c r="H43" s="613">
        <v>770</v>
      </c>
      <c r="I43" s="613">
        <v>789</v>
      </c>
      <c r="J43" s="613">
        <v>809</v>
      </c>
      <c r="K43" s="613">
        <v>829</v>
      </c>
      <c r="L43" s="613">
        <v>850</v>
      </c>
      <c r="M43" s="613">
        <v>871</v>
      </c>
      <c r="N43" s="613">
        <v>893</v>
      </c>
      <c r="O43" s="613">
        <v>915</v>
      </c>
      <c r="P43" s="613">
        <v>938</v>
      </c>
      <c r="Q43" s="613">
        <v>961</v>
      </c>
      <c r="R43" s="613">
        <v>985</v>
      </c>
      <c r="S43" s="613">
        <v>1010</v>
      </c>
    </row>
    <row r="44" spans="1:19" ht="20.25" customHeight="1">
      <c r="A44" s="629"/>
      <c r="B44" s="631" t="s">
        <v>484</v>
      </c>
      <c r="C44" s="632"/>
      <c r="D44" s="613"/>
      <c r="E44" s="613">
        <v>400</v>
      </c>
      <c r="F44" s="613"/>
      <c r="G44" s="613"/>
      <c r="H44" s="613"/>
      <c r="I44" s="613"/>
      <c r="J44" s="613"/>
      <c r="K44" s="613"/>
      <c r="L44" s="613"/>
      <c r="M44" s="613"/>
      <c r="N44" s="613"/>
      <c r="O44" s="613"/>
      <c r="P44" s="613"/>
      <c r="Q44" s="613"/>
      <c r="R44" s="613"/>
      <c r="S44" s="613"/>
    </row>
    <row r="45" spans="1:19" ht="20.25" customHeight="1">
      <c r="A45" s="629" t="s">
        <v>26</v>
      </c>
      <c r="B45" s="631" t="s">
        <v>483</v>
      </c>
      <c r="C45" s="630">
        <v>0.02</v>
      </c>
      <c r="D45" s="613"/>
      <c r="E45" s="613">
        <f t="shared" ref="E45:S45" si="25">$C$45*E6</f>
        <v>1417.2903771549129</v>
      </c>
      <c r="F45" s="613">
        <f t="shared" si="25"/>
        <v>5889.5815926265541</v>
      </c>
      <c r="G45" s="613">
        <f t="shared" si="25"/>
        <v>6728.4864568229723</v>
      </c>
      <c r="H45" s="613">
        <f t="shared" si="25"/>
        <v>6896.6986182435476</v>
      </c>
      <c r="I45" s="613">
        <f t="shared" si="25"/>
        <v>7069.1160836996351</v>
      </c>
      <c r="J45" s="613">
        <f t="shared" si="25"/>
        <v>7245.8439857921239</v>
      </c>
      <c r="K45" s="613">
        <f t="shared" si="25"/>
        <v>7426.990085436928</v>
      </c>
      <c r="L45" s="613">
        <f t="shared" si="25"/>
        <v>7612.664837572851</v>
      </c>
      <c r="M45" s="613">
        <f t="shared" si="25"/>
        <v>7802.9814585121703</v>
      </c>
      <c r="N45" s="613">
        <f t="shared" si="25"/>
        <v>7998.0559949749741</v>
      </c>
      <c r="O45" s="613">
        <f t="shared" si="25"/>
        <v>8198.00739484935</v>
      </c>
      <c r="P45" s="613">
        <f t="shared" si="25"/>
        <v>8402.9575797205835</v>
      </c>
      <c r="Q45" s="613">
        <f t="shared" si="25"/>
        <v>8613.0315192135968</v>
      </c>
      <c r="R45" s="613">
        <f t="shared" si="25"/>
        <v>8828.3573071939336</v>
      </c>
      <c r="S45" s="613">
        <f t="shared" si="25"/>
        <v>9049.0662398737841</v>
      </c>
    </row>
    <row r="46" spans="1:19" s="626" customFormat="1" ht="20.25" customHeight="1">
      <c r="A46" s="629" t="s">
        <v>26</v>
      </c>
      <c r="B46" s="628" t="s">
        <v>482</v>
      </c>
      <c r="C46" s="627">
        <v>0.03</v>
      </c>
      <c r="D46" s="613"/>
      <c r="E46" s="613">
        <f t="shared" ref="E46:S46" si="26">$C$46*E6</f>
        <v>2125.935565732369</v>
      </c>
      <c r="F46" s="613">
        <f t="shared" si="26"/>
        <v>8834.3723889398316</v>
      </c>
      <c r="G46" s="613">
        <f t="shared" si="26"/>
        <v>10092.729685234457</v>
      </c>
      <c r="H46" s="613">
        <f t="shared" si="26"/>
        <v>10345.04792736532</v>
      </c>
      <c r="I46" s="613">
        <f t="shared" si="26"/>
        <v>10603.674125549453</v>
      </c>
      <c r="J46" s="613">
        <f t="shared" si="26"/>
        <v>10868.765978688185</v>
      </c>
      <c r="K46" s="613">
        <f t="shared" si="26"/>
        <v>11140.485128155391</v>
      </c>
      <c r="L46" s="613">
        <f t="shared" si="26"/>
        <v>11418.997256359275</v>
      </c>
      <c r="M46" s="613">
        <f t="shared" si="26"/>
        <v>11704.472187768255</v>
      </c>
      <c r="N46" s="613">
        <f t="shared" si="26"/>
        <v>11997.083992462462</v>
      </c>
      <c r="O46" s="613">
        <f t="shared" si="26"/>
        <v>12297.011092274024</v>
      </c>
      <c r="P46" s="613">
        <f t="shared" si="26"/>
        <v>12604.436369580873</v>
      </c>
      <c r="Q46" s="613">
        <f t="shared" si="26"/>
        <v>12919.547278820395</v>
      </c>
      <c r="R46" s="613">
        <f t="shared" si="26"/>
        <v>13242.535960790899</v>
      </c>
      <c r="S46" s="613">
        <f t="shared" si="26"/>
        <v>13573.599359810676</v>
      </c>
    </row>
    <row r="47" spans="1:19" s="626" customFormat="1" ht="20.25" customHeight="1">
      <c r="A47" s="629" t="s">
        <v>26</v>
      </c>
      <c r="B47" s="628" t="s">
        <v>481</v>
      </c>
      <c r="C47" s="627">
        <v>5.0000000000000001E-3</v>
      </c>
      <c r="D47" s="613"/>
      <c r="E47" s="613">
        <f t="shared" ref="E47:S47" si="27">$C$47*E6</f>
        <v>354.32259428872823</v>
      </c>
      <c r="F47" s="613">
        <f t="shared" si="27"/>
        <v>1472.3953981566385</v>
      </c>
      <c r="G47" s="613">
        <f t="shared" si="27"/>
        <v>1682.1216142057431</v>
      </c>
      <c r="H47" s="613">
        <f t="shared" si="27"/>
        <v>1724.1746545608869</v>
      </c>
      <c r="I47" s="613">
        <f t="shared" si="27"/>
        <v>1767.2790209249088</v>
      </c>
      <c r="J47" s="613">
        <f t="shared" si="27"/>
        <v>1811.460996448031</v>
      </c>
      <c r="K47" s="613">
        <f t="shared" si="27"/>
        <v>1856.747521359232</v>
      </c>
      <c r="L47" s="613">
        <f t="shared" si="27"/>
        <v>1903.1662093932127</v>
      </c>
      <c r="M47" s="613">
        <f t="shared" si="27"/>
        <v>1950.7453646280426</v>
      </c>
      <c r="N47" s="613">
        <f t="shared" si="27"/>
        <v>1999.5139987437435</v>
      </c>
      <c r="O47" s="613">
        <f t="shared" si="27"/>
        <v>2049.5018487123375</v>
      </c>
      <c r="P47" s="613">
        <f t="shared" si="27"/>
        <v>2100.7393949301459</v>
      </c>
      <c r="Q47" s="613">
        <f t="shared" si="27"/>
        <v>2153.2578798033992</v>
      </c>
      <c r="R47" s="613">
        <f t="shared" si="27"/>
        <v>2207.0893267984834</v>
      </c>
      <c r="S47" s="613">
        <f t="shared" si="27"/>
        <v>2262.266559968446</v>
      </c>
    </row>
    <row r="48" spans="1:19" ht="20.25" customHeight="1">
      <c r="A48" s="617"/>
      <c r="B48" s="616" t="s">
        <v>480</v>
      </c>
      <c r="C48" s="625">
        <v>0.01</v>
      </c>
      <c r="D48" s="613"/>
      <c r="E48" s="624">
        <f t="shared" ref="E48:S48" si="28">$C$48*E6</f>
        <v>708.64518857745645</v>
      </c>
      <c r="F48" s="613">
        <f t="shared" si="28"/>
        <v>2944.790796313277</v>
      </c>
      <c r="G48" s="613">
        <f t="shared" si="28"/>
        <v>3364.2432284114861</v>
      </c>
      <c r="H48" s="613">
        <f t="shared" si="28"/>
        <v>3448.3493091217738</v>
      </c>
      <c r="I48" s="613">
        <f t="shared" si="28"/>
        <v>3534.5580418498175</v>
      </c>
      <c r="J48" s="613">
        <f t="shared" si="28"/>
        <v>3622.921992896062</v>
      </c>
      <c r="K48" s="613">
        <f t="shared" si="28"/>
        <v>3713.495042718464</v>
      </c>
      <c r="L48" s="613">
        <f t="shared" si="28"/>
        <v>3806.3324187864255</v>
      </c>
      <c r="M48" s="613">
        <f t="shared" si="28"/>
        <v>3901.4907292560852</v>
      </c>
      <c r="N48" s="613">
        <f t="shared" si="28"/>
        <v>3999.027997487487</v>
      </c>
      <c r="O48" s="613">
        <f t="shared" si="28"/>
        <v>4099.003697424675</v>
      </c>
      <c r="P48" s="613">
        <f t="shared" si="28"/>
        <v>4201.4787898602917</v>
      </c>
      <c r="Q48" s="613">
        <f t="shared" si="28"/>
        <v>4306.5157596067984</v>
      </c>
      <c r="R48" s="613">
        <f t="shared" si="28"/>
        <v>4414.1786535969668</v>
      </c>
      <c r="S48" s="613">
        <f t="shared" si="28"/>
        <v>4524.533119936892</v>
      </c>
    </row>
    <row r="49" spans="1:19" s="619" customFormat="1" ht="20.25" customHeight="1">
      <c r="A49" s="623">
        <v>2</v>
      </c>
      <c r="B49" s="622" t="s">
        <v>479</v>
      </c>
      <c r="C49" s="621"/>
      <c r="D49" s="620"/>
      <c r="E49" s="620">
        <f t="shared" ref="E49:S49" si="29">SUM(E50:E51)</f>
        <v>14092.918560274244</v>
      </c>
      <c r="F49" s="620">
        <f t="shared" si="29"/>
        <v>14092.918560274244</v>
      </c>
      <c r="G49" s="620">
        <f t="shared" si="29"/>
        <v>14950.461460356881</v>
      </c>
      <c r="H49" s="620">
        <f t="shared" si="29"/>
        <v>14950.461460356881</v>
      </c>
      <c r="I49" s="620">
        <f t="shared" si="29"/>
        <v>14950.461460356881</v>
      </c>
      <c r="J49" s="620">
        <f t="shared" si="29"/>
        <v>14950.461460356881</v>
      </c>
      <c r="K49" s="620">
        <f t="shared" si="29"/>
        <v>14950.461460356881</v>
      </c>
      <c r="L49" s="620">
        <f t="shared" si="29"/>
        <v>14950.461460356881</v>
      </c>
      <c r="M49" s="620">
        <f t="shared" si="29"/>
        <v>14950.461460356881</v>
      </c>
      <c r="N49" s="620">
        <f t="shared" si="29"/>
        <v>14950.461460356881</v>
      </c>
      <c r="O49" s="620">
        <f t="shared" si="29"/>
        <v>14950.461460356881</v>
      </c>
      <c r="P49" s="620">
        <f t="shared" si="29"/>
        <v>14950.461460356881</v>
      </c>
      <c r="Q49" s="620">
        <f t="shared" si="29"/>
        <v>14950.461460356881</v>
      </c>
      <c r="R49" s="620">
        <f t="shared" si="29"/>
        <v>14950.461460356881</v>
      </c>
      <c r="S49" s="620">
        <f t="shared" si="29"/>
        <v>14950.461460356881</v>
      </c>
    </row>
    <row r="50" spans="1:19" ht="20.25" customHeight="1">
      <c r="A50" s="617"/>
      <c r="B50" s="616" t="s">
        <v>27</v>
      </c>
      <c r="C50" s="618"/>
      <c r="D50" s="613"/>
      <c r="E50" s="613">
        <f>'[4]Khấu hao- Bảng 3'!E8</f>
        <v>14092.918560274244</v>
      </c>
      <c r="F50" s="613">
        <f>'[4]Khấu hao- Bảng 3'!F8</f>
        <v>14092.918560274244</v>
      </c>
      <c r="G50" s="613">
        <f>'[4]Khấu hao- Bảng 3'!G8</f>
        <v>14092.918560274244</v>
      </c>
      <c r="H50" s="613">
        <f>'[4]Khấu hao- Bảng 3'!H8</f>
        <v>14092.918560274244</v>
      </c>
      <c r="I50" s="613">
        <f>'[4]Khấu hao- Bảng 3'!I8</f>
        <v>14092.918560274244</v>
      </c>
      <c r="J50" s="613">
        <f>'[4]Khấu hao- Bảng 3'!J8</f>
        <v>14092.918560274244</v>
      </c>
      <c r="K50" s="613">
        <f>'[4]Khấu hao- Bảng 3'!K8</f>
        <v>14092.918560274244</v>
      </c>
      <c r="L50" s="613">
        <f>'[4]Khấu hao- Bảng 3'!L8</f>
        <v>14092.918560274244</v>
      </c>
      <c r="M50" s="613">
        <f>'[4]Khấu hao- Bảng 3'!M8</f>
        <v>14092.918560274244</v>
      </c>
      <c r="N50" s="613">
        <f>'[4]Khấu hao- Bảng 3'!N8</f>
        <v>14092.918560274244</v>
      </c>
      <c r="O50" s="613">
        <f>'[4]Khấu hao- Bảng 3'!O8</f>
        <v>14092.918560274244</v>
      </c>
      <c r="P50" s="613">
        <f>'[4]Khấu hao- Bảng 3'!P8</f>
        <v>14092.918560274244</v>
      </c>
      <c r="Q50" s="613">
        <f>'[4]Khấu hao- Bảng 3'!Q8</f>
        <v>14092.918560274244</v>
      </c>
      <c r="R50" s="613">
        <f>'[4]Khấu hao- Bảng 3'!R8</f>
        <v>14092.918560274244</v>
      </c>
      <c r="S50" s="613">
        <f>'[4]Khấu hao- Bảng 3'!S8</f>
        <v>14092.918560274244</v>
      </c>
    </row>
    <row r="51" spans="1:19" ht="20.25" customHeight="1">
      <c r="A51" s="617"/>
      <c r="B51" s="616" t="s">
        <v>478</v>
      </c>
      <c r="C51" s="615">
        <v>5.0000000000000001E-3</v>
      </c>
      <c r="D51" s="613"/>
      <c r="E51" s="613">
        <v>0</v>
      </c>
      <c r="F51" s="613">
        <v>0</v>
      </c>
      <c r="G51" s="613">
        <f>$C$51*'[4]Tổng mức đầu tư-Bảng 1'!$D$42</f>
        <v>857.54290008263763</v>
      </c>
      <c r="H51" s="613">
        <f t="shared" ref="H51:S51" si="30">G51</f>
        <v>857.54290008263763</v>
      </c>
      <c r="I51" s="613">
        <f t="shared" si="30"/>
        <v>857.54290008263763</v>
      </c>
      <c r="J51" s="613">
        <f t="shared" si="30"/>
        <v>857.54290008263763</v>
      </c>
      <c r="K51" s="613">
        <f t="shared" si="30"/>
        <v>857.54290008263763</v>
      </c>
      <c r="L51" s="613">
        <f t="shared" si="30"/>
        <v>857.54290008263763</v>
      </c>
      <c r="M51" s="613">
        <f t="shared" si="30"/>
        <v>857.54290008263763</v>
      </c>
      <c r="N51" s="613">
        <f t="shared" si="30"/>
        <v>857.54290008263763</v>
      </c>
      <c r="O51" s="613">
        <f t="shared" si="30"/>
        <v>857.54290008263763</v>
      </c>
      <c r="P51" s="613">
        <f t="shared" si="30"/>
        <v>857.54290008263763</v>
      </c>
      <c r="Q51" s="613">
        <f t="shared" si="30"/>
        <v>857.54290008263763</v>
      </c>
      <c r="R51" s="613">
        <f t="shared" si="30"/>
        <v>857.54290008263763</v>
      </c>
      <c r="S51" s="613">
        <f t="shared" si="30"/>
        <v>857.54290008263763</v>
      </c>
    </row>
    <row r="52" spans="1:19" s="396" customFormat="1" ht="20.25" customHeight="1">
      <c r="A52" s="563" t="s">
        <v>234</v>
      </c>
      <c r="B52" s="609" t="s">
        <v>477</v>
      </c>
      <c r="C52" s="614"/>
      <c r="D52" s="613"/>
      <c r="E52" s="563">
        <f t="shared" ref="E52:S52" si="31">E5-E25</f>
        <v>-21374.631379404556</v>
      </c>
      <c r="F52" s="563">
        <f t="shared" si="31"/>
        <v>5464.2818325439002</v>
      </c>
      <c r="G52" s="563">
        <f t="shared" si="31"/>
        <v>13730.577517009748</v>
      </c>
      <c r="H52" s="563">
        <f t="shared" si="31"/>
        <v>16469.670763444621</v>
      </c>
      <c r="I52" s="563">
        <f t="shared" si="31"/>
        <v>19644.220438017626</v>
      </c>
      <c r="J52" s="563">
        <f t="shared" si="31"/>
        <v>22217.080134293414</v>
      </c>
      <c r="K52" s="563">
        <f t="shared" si="31"/>
        <v>25501.52834008116</v>
      </c>
      <c r="L52" s="563">
        <f t="shared" si="31"/>
        <v>28996.486412743921</v>
      </c>
      <c r="M52" s="563">
        <f t="shared" si="31"/>
        <v>30413.014312565967</v>
      </c>
      <c r="N52" s="563">
        <f t="shared" si="31"/>
        <v>31547.104687639046</v>
      </c>
      <c r="O52" s="563">
        <f t="shared" si="31"/>
        <v>32710.426829214033</v>
      </c>
      <c r="P52" s="563">
        <f t="shared" si="31"/>
        <v>33902.255432703241</v>
      </c>
      <c r="Q52" s="563">
        <f t="shared" si="31"/>
        <v>35121.866477904725</v>
      </c>
      <c r="R52" s="563">
        <f t="shared" si="31"/>
        <v>36375.704039611213</v>
      </c>
      <c r="S52" s="563">
        <f t="shared" si="31"/>
        <v>37658.052078360459</v>
      </c>
    </row>
    <row r="53" spans="1:19" s="396" customFormat="1" ht="20.25" customHeight="1">
      <c r="A53" s="610" t="s">
        <v>236</v>
      </c>
      <c r="B53" s="612" t="s">
        <v>476</v>
      </c>
      <c r="C53" s="611">
        <v>0.2</v>
      </c>
      <c r="D53" s="610"/>
      <c r="E53" s="610">
        <v>0</v>
      </c>
      <c r="F53" s="610">
        <f t="shared" ref="F53:S53" si="32">F52*$C$53</f>
        <v>1092.8563665087802</v>
      </c>
      <c r="G53" s="610">
        <f t="shared" si="32"/>
        <v>2746.1155034019498</v>
      </c>
      <c r="H53" s="610">
        <f t="shared" si="32"/>
        <v>3293.9341526889243</v>
      </c>
      <c r="I53" s="610">
        <f t="shared" si="32"/>
        <v>3928.8440876035256</v>
      </c>
      <c r="J53" s="610">
        <f t="shared" si="32"/>
        <v>4443.4160268586829</v>
      </c>
      <c r="K53" s="610">
        <f t="shared" si="32"/>
        <v>5100.3056680162326</v>
      </c>
      <c r="L53" s="610">
        <f t="shared" si="32"/>
        <v>5799.297282548785</v>
      </c>
      <c r="M53" s="610">
        <f t="shared" si="32"/>
        <v>6082.6028625131939</v>
      </c>
      <c r="N53" s="610">
        <f t="shared" si="32"/>
        <v>6309.4209375278097</v>
      </c>
      <c r="O53" s="610">
        <f t="shared" si="32"/>
        <v>6542.0853658428068</v>
      </c>
      <c r="P53" s="610">
        <f t="shared" si="32"/>
        <v>6780.4510865406482</v>
      </c>
      <c r="Q53" s="610">
        <f t="shared" si="32"/>
        <v>7024.3732955809455</v>
      </c>
      <c r="R53" s="610">
        <f t="shared" si="32"/>
        <v>7275.1408079222429</v>
      </c>
      <c r="S53" s="610">
        <f t="shared" si="32"/>
        <v>7531.6104156720921</v>
      </c>
    </row>
    <row r="54" spans="1:19" s="396" customFormat="1" ht="20.25" customHeight="1">
      <c r="A54" s="563" t="s">
        <v>237</v>
      </c>
      <c r="B54" s="609" t="s">
        <v>475</v>
      </c>
      <c r="C54" s="609"/>
      <c r="D54" s="563"/>
      <c r="E54" s="563">
        <f t="shared" ref="E54:S54" si="33">E52-E53</f>
        <v>-21374.631379404556</v>
      </c>
      <c r="F54" s="563">
        <f t="shared" si="33"/>
        <v>4371.4254660351198</v>
      </c>
      <c r="G54" s="563">
        <f t="shared" si="33"/>
        <v>10984.462013607797</v>
      </c>
      <c r="H54" s="563">
        <f t="shared" si="33"/>
        <v>13175.736610755697</v>
      </c>
      <c r="I54" s="563">
        <f t="shared" si="33"/>
        <v>15715.376350414101</v>
      </c>
      <c r="J54" s="563">
        <f t="shared" si="33"/>
        <v>17773.664107434732</v>
      </c>
      <c r="K54" s="563">
        <f t="shared" si="33"/>
        <v>20401.222672064927</v>
      </c>
      <c r="L54" s="563">
        <f t="shared" si="33"/>
        <v>23197.189130195136</v>
      </c>
      <c r="M54" s="563">
        <f t="shared" si="33"/>
        <v>24330.411450052772</v>
      </c>
      <c r="N54" s="563">
        <f t="shared" si="33"/>
        <v>25237.683750111239</v>
      </c>
      <c r="O54" s="563">
        <f t="shared" si="33"/>
        <v>26168.341463371227</v>
      </c>
      <c r="P54" s="563">
        <f t="shared" si="33"/>
        <v>27121.804346162593</v>
      </c>
      <c r="Q54" s="563">
        <f t="shared" si="33"/>
        <v>28097.493182323778</v>
      </c>
      <c r="R54" s="563">
        <f t="shared" si="33"/>
        <v>29100.563231688971</v>
      </c>
      <c r="S54" s="563">
        <f t="shared" si="33"/>
        <v>30126.441662688369</v>
      </c>
    </row>
    <row r="55" spans="1:19" s="396" customFormat="1" ht="20.25" customHeight="1">
      <c r="A55" s="606"/>
      <c r="B55" s="608"/>
      <c r="C55" s="608"/>
      <c r="D55" s="606"/>
      <c r="E55" s="606"/>
      <c r="F55" s="606"/>
      <c r="G55" s="606"/>
      <c r="H55" s="606"/>
      <c r="I55" s="606"/>
      <c r="J55" s="607"/>
      <c r="K55" s="607"/>
      <c r="L55" s="606"/>
      <c r="M55" s="607"/>
      <c r="N55" s="607"/>
      <c r="O55" s="606"/>
      <c r="P55" s="606"/>
      <c r="Q55" s="606"/>
      <c r="R55" s="606"/>
      <c r="S55" s="606"/>
    </row>
    <row r="56" spans="1:19" s="605" customFormat="1" ht="24.75" customHeight="1">
      <c r="B56" s="765"/>
      <c r="C56" s="765"/>
      <c r="D56" s="765"/>
      <c r="H56" s="766"/>
      <c r="I56" s="766"/>
      <c r="J56" s="766"/>
      <c r="O56" s="767"/>
      <c r="P56" s="767"/>
      <c r="Q56" s="767"/>
      <c r="R56" s="767"/>
    </row>
    <row r="57" spans="1:19" s="584" customFormat="1" ht="18.75">
      <c r="B57" s="604"/>
      <c r="C57" s="603"/>
      <c r="D57" s="602"/>
    </row>
    <row r="58" spans="1:19" s="589" customFormat="1">
      <c r="A58" s="599"/>
      <c r="B58" s="598"/>
      <c r="C58" s="597"/>
      <c r="D58" s="601"/>
      <c r="E58" s="601"/>
      <c r="F58" s="601"/>
      <c r="G58" s="601"/>
      <c r="H58" s="601"/>
      <c r="I58" s="601"/>
      <c r="J58" s="601"/>
      <c r="K58" s="601"/>
      <c r="L58" s="601"/>
      <c r="M58" s="601"/>
      <c r="N58" s="601"/>
      <c r="O58" s="601"/>
      <c r="P58" s="601"/>
      <c r="Q58" s="601"/>
      <c r="R58" s="601"/>
      <c r="S58" s="600"/>
    </row>
    <row r="59" spans="1:19" s="589" customFormat="1">
      <c r="A59" s="599"/>
      <c r="B59" s="598"/>
      <c r="C59" s="597"/>
      <c r="S59" s="584"/>
    </row>
    <row r="60" spans="1:19" s="593" customFormat="1" ht="24.75" customHeight="1">
      <c r="B60" s="768"/>
      <c r="C60" s="768"/>
      <c r="D60" s="768"/>
      <c r="H60" s="769"/>
      <c r="I60" s="769"/>
      <c r="J60" s="769"/>
      <c r="O60" s="770"/>
      <c r="P60" s="770"/>
      <c r="Q60" s="770"/>
      <c r="R60" s="770"/>
    </row>
    <row r="61" spans="1:19" s="593" customFormat="1" ht="24.75" customHeight="1">
      <c r="B61" s="596"/>
      <c r="C61" s="596"/>
      <c r="D61" s="596"/>
      <c r="H61" s="595"/>
      <c r="I61" s="595"/>
      <c r="J61" s="595"/>
      <c r="O61" s="594"/>
      <c r="P61" s="594"/>
      <c r="Q61" s="594"/>
      <c r="R61" s="594"/>
    </row>
    <row r="62" spans="1:19" s="589" customFormat="1">
      <c r="B62" s="592"/>
      <c r="C62" s="591"/>
      <c r="D62" s="590"/>
      <c r="E62" s="590"/>
      <c r="F62" s="590"/>
      <c r="G62" s="590"/>
      <c r="H62" s="590"/>
      <c r="I62" s="590"/>
      <c r="J62" s="590"/>
      <c r="K62" s="590"/>
      <c r="L62" s="590"/>
      <c r="M62" s="590"/>
      <c r="N62" s="590"/>
      <c r="O62" s="590"/>
      <c r="P62" s="590"/>
      <c r="Q62" s="590"/>
      <c r="R62" s="590"/>
    </row>
    <row r="63" spans="1:19" s="586" customFormat="1">
      <c r="A63" s="771" t="s">
        <v>474</v>
      </c>
      <c r="B63" s="771"/>
      <c r="C63" s="588"/>
      <c r="D63" s="587">
        <v>2017</v>
      </c>
      <c r="E63" s="587">
        <v>2018</v>
      </c>
      <c r="F63" s="587">
        <v>2019</v>
      </c>
      <c r="G63" s="587">
        <v>2020</v>
      </c>
      <c r="H63" s="587">
        <v>2021</v>
      </c>
      <c r="I63" s="587">
        <v>2022</v>
      </c>
      <c r="J63" s="587">
        <v>2023</v>
      </c>
      <c r="K63" s="587">
        <v>2024</v>
      </c>
      <c r="L63" s="587">
        <v>2025</v>
      </c>
      <c r="M63" s="587">
        <v>2026</v>
      </c>
      <c r="N63" s="587">
        <v>2027</v>
      </c>
      <c r="O63" s="587">
        <v>2028</v>
      </c>
      <c r="P63" s="587">
        <v>2029</v>
      </c>
      <c r="Q63" s="587">
        <v>2030</v>
      </c>
      <c r="R63" s="587">
        <v>2031</v>
      </c>
      <c r="S63" s="587">
        <v>2032</v>
      </c>
    </row>
    <row r="64" spans="1:19" s="584" customFormat="1">
      <c r="A64" s="772" t="s">
        <v>473</v>
      </c>
      <c r="B64" s="773"/>
      <c r="C64" s="582"/>
      <c r="D64" s="581"/>
      <c r="E64" s="585">
        <f t="shared" ref="E64:S64" si="34">E27+E34+E35+E36+E37+E38+E39+E40+E43+E44+E45+E46+E47+E48</f>
        <v>78796.605938750945</v>
      </c>
      <c r="F64" s="585">
        <f t="shared" si="34"/>
        <v>265769.81974460511</v>
      </c>
      <c r="G64" s="585">
        <f t="shared" si="34"/>
        <v>299610.78021685197</v>
      </c>
      <c r="H64" s="585">
        <f t="shared" si="34"/>
        <v>307102.07472227339</v>
      </c>
      <c r="I64" s="585">
        <f t="shared" si="34"/>
        <v>314527.81034285662</v>
      </c>
      <c r="J64" s="585">
        <f t="shared" si="34"/>
        <v>322941.10648678674</v>
      </c>
      <c r="K64" s="585">
        <f t="shared" si="34"/>
        <v>331013.9591489564</v>
      </c>
      <c r="L64" s="585">
        <f t="shared" si="34"/>
        <v>339288.40812768036</v>
      </c>
      <c r="M64" s="585">
        <f t="shared" si="34"/>
        <v>347771.96833087236</v>
      </c>
      <c r="N64" s="585">
        <f t="shared" si="34"/>
        <v>356466.26753914409</v>
      </c>
      <c r="O64" s="585">
        <f t="shared" si="34"/>
        <v>365377.04922762269</v>
      </c>
      <c r="P64" s="585">
        <f t="shared" si="34"/>
        <v>374511.17545831326</v>
      </c>
      <c r="Q64" s="585">
        <f t="shared" si="34"/>
        <v>383875.62984477112</v>
      </c>
      <c r="R64" s="585">
        <f t="shared" si="34"/>
        <v>393470.52059089026</v>
      </c>
      <c r="S64" s="585">
        <f t="shared" si="34"/>
        <v>403308.08360566263</v>
      </c>
    </row>
    <row r="65" spans="1:19">
      <c r="A65" s="772" t="s">
        <v>472</v>
      </c>
      <c r="B65" s="773"/>
      <c r="C65" s="582"/>
      <c r="D65" s="574"/>
      <c r="E65" s="574">
        <f t="shared" ref="E65:S65" si="35">E38+E39+E40+SUM(E45:E48)*50%</f>
        <v>53103.497313260865</v>
      </c>
      <c r="F65" s="574">
        <f t="shared" si="35"/>
        <v>221033.15569366634</v>
      </c>
      <c r="G65" s="574">
        <f t="shared" si="35"/>
        <v>252632.49341252109</v>
      </c>
      <c r="H65" s="574">
        <f t="shared" si="35"/>
        <v>258948.30574783409</v>
      </c>
      <c r="I65" s="574">
        <f t="shared" si="35"/>
        <v>265422.01339152985</v>
      </c>
      <c r="J65" s="574">
        <f t="shared" si="35"/>
        <v>272057.56372631807</v>
      </c>
      <c r="K65" s="574">
        <f t="shared" si="35"/>
        <v>278859.00281947607</v>
      </c>
      <c r="L65" s="574">
        <f t="shared" si="35"/>
        <v>285830.47788996296</v>
      </c>
      <c r="M65" s="574">
        <f t="shared" si="35"/>
        <v>292976.23983721196</v>
      </c>
      <c r="N65" s="574">
        <f t="shared" si="35"/>
        <v>300300.64583314228</v>
      </c>
      <c r="O65" s="574">
        <f t="shared" si="35"/>
        <v>307808.16197897086</v>
      </c>
      <c r="P65" s="574">
        <f t="shared" si="35"/>
        <v>315503.36602844519</v>
      </c>
      <c r="Q65" s="574">
        <f t="shared" si="35"/>
        <v>323390.95017915621</v>
      </c>
      <c r="R65" s="574">
        <f t="shared" si="35"/>
        <v>331475.7239336351</v>
      </c>
      <c r="S65" s="574">
        <f t="shared" si="35"/>
        <v>339762.617031976</v>
      </c>
    </row>
    <row r="66" spans="1:19">
      <c r="A66" s="772" t="s">
        <v>471</v>
      </c>
      <c r="B66" s="773"/>
      <c r="C66" s="582">
        <v>6.5</v>
      </c>
      <c r="D66" s="581" t="s">
        <v>468</v>
      </c>
      <c r="E66" s="574">
        <f t="shared" ref="E66:S66" si="36">E65/$C$66</f>
        <v>8169.7688174247487</v>
      </c>
      <c r="F66" s="574">
        <f t="shared" si="36"/>
        <v>34005.100875948665</v>
      </c>
      <c r="G66" s="574">
        <f t="shared" si="36"/>
        <v>38866.537448080169</v>
      </c>
      <c r="H66" s="574">
        <f t="shared" si="36"/>
        <v>39838.200884282167</v>
      </c>
      <c r="I66" s="574">
        <f t="shared" si="36"/>
        <v>40834.155906389205</v>
      </c>
      <c r="J66" s="574">
        <f t="shared" si="36"/>
        <v>41855.009804048932</v>
      </c>
      <c r="K66" s="574">
        <f t="shared" si="36"/>
        <v>42901.385049150165</v>
      </c>
      <c r="L66" s="574">
        <f t="shared" si="36"/>
        <v>43973.919675378915</v>
      </c>
      <c r="M66" s="574">
        <f t="shared" si="36"/>
        <v>45073.267667263382</v>
      </c>
      <c r="N66" s="574">
        <f t="shared" si="36"/>
        <v>46200.099358944964</v>
      </c>
      <c r="O66" s="574">
        <f t="shared" si="36"/>
        <v>47355.101842918593</v>
      </c>
      <c r="P66" s="574">
        <f t="shared" si="36"/>
        <v>48538.979388991567</v>
      </c>
      <c r="Q66" s="574">
        <f t="shared" si="36"/>
        <v>49752.453873716338</v>
      </c>
      <c r="R66" s="574">
        <f t="shared" si="36"/>
        <v>50996.265220559246</v>
      </c>
      <c r="S66" s="574">
        <f t="shared" si="36"/>
        <v>52271.171851073232</v>
      </c>
    </row>
    <row r="67" spans="1:19">
      <c r="A67" s="772" t="s">
        <v>470</v>
      </c>
      <c r="B67" s="773"/>
      <c r="C67" s="575"/>
      <c r="D67" s="581"/>
      <c r="E67" s="583">
        <f t="shared" ref="E67:S67" si="37">E64-E65</f>
        <v>25693.10862549008</v>
      </c>
      <c r="F67" s="583">
        <f t="shared" si="37"/>
        <v>44736.664050938765</v>
      </c>
      <c r="G67" s="583">
        <f t="shared" si="37"/>
        <v>46978.286804330884</v>
      </c>
      <c r="H67" s="583">
        <f t="shared" si="37"/>
        <v>48153.768974439299</v>
      </c>
      <c r="I67" s="583">
        <f t="shared" si="37"/>
        <v>49105.796951326774</v>
      </c>
      <c r="J67" s="583">
        <f t="shared" si="37"/>
        <v>50883.54276046867</v>
      </c>
      <c r="K67" s="583">
        <f t="shared" si="37"/>
        <v>52154.956329480337</v>
      </c>
      <c r="L67" s="583">
        <f t="shared" si="37"/>
        <v>53457.930237717403</v>
      </c>
      <c r="M67" s="583">
        <f t="shared" si="37"/>
        <v>54795.728493660397</v>
      </c>
      <c r="N67" s="583">
        <f t="shared" si="37"/>
        <v>56165.62170600181</v>
      </c>
      <c r="O67" s="583">
        <f t="shared" si="37"/>
        <v>57568.887248651823</v>
      </c>
      <c r="P67" s="583">
        <f t="shared" si="37"/>
        <v>59007.809429868066</v>
      </c>
      <c r="Q67" s="583">
        <f t="shared" si="37"/>
        <v>60484.679665614909</v>
      </c>
      <c r="R67" s="583">
        <f t="shared" si="37"/>
        <v>61994.796657255152</v>
      </c>
      <c r="S67" s="583">
        <f t="shared" si="37"/>
        <v>63545.46657368663</v>
      </c>
    </row>
    <row r="68" spans="1:19">
      <c r="A68" s="772" t="s">
        <v>469</v>
      </c>
      <c r="B68" s="773"/>
      <c r="C68" s="582">
        <v>1.9</v>
      </c>
      <c r="D68" s="581" t="s">
        <v>468</v>
      </c>
      <c r="E68" s="574">
        <f t="shared" ref="E68:S68" si="38">E67/$C$68</f>
        <v>13522.688750257937</v>
      </c>
      <c r="F68" s="574">
        <f t="shared" si="38"/>
        <v>23545.612658388825</v>
      </c>
      <c r="G68" s="574">
        <f t="shared" si="38"/>
        <v>24725.414107542572</v>
      </c>
      <c r="H68" s="574">
        <f t="shared" si="38"/>
        <v>25344.08893391542</v>
      </c>
      <c r="I68" s="574">
        <f t="shared" si="38"/>
        <v>25845.156290171988</v>
      </c>
      <c r="J68" s="574">
        <f t="shared" si="38"/>
        <v>26780.811979194037</v>
      </c>
      <c r="K68" s="574">
        <f t="shared" si="38"/>
        <v>27449.977015515968</v>
      </c>
      <c r="L68" s="574">
        <f t="shared" si="38"/>
        <v>28135.752756693371</v>
      </c>
      <c r="M68" s="574">
        <f t="shared" si="38"/>
        <v>28839.857101926526</v>
      </c>
      <c r="N68" s="574">
        <f t="shared" si="38"/>
        <v>29560.85352947464</v>
      </c>
      <c r="O68" s="574">
        <f t="shared" si="38"/>
        <v>30299.414341395699</v>
      </c>
      <c r="P68" s="574">
        <f t="shared" si="38"/>
        <v>31056.74180519372</v>
      </c>
      <c r="Q68" s="574">
        <f t="shared" si="38"/>
        <v>31834.041929271007</v>
      </c>
      <c r="R68" s="574">
        <f t="shared" si="38"/>
        <v>32628.840345923767</v>
      </c>
      <c r="S68" s="574">
        <f t="shared" si="38"/>
        <v>33444.98240720349</v>
      </c>
    </row>
    <row r="69" spans="1:19" s="577" customFormat="1">
      <c r="A69" s="774" t="s">
        <v>467</v>
      </c>
      <c r="B69" s="775"/>
      <c r="C69" s="580"/>
      <c r="D69" s="579"/>
      <c r="E69" s="578">
        <f t="shared" ref="E69:S69" si="39">E66+E68</f>
        <v>21692.457567682686</v>
      </c>
      <c r="F69" s="578">
        <f t="shared" si="39"/>
        <v>57550.71353433749</v>
      </c>
      <c r="G69" s="578">
        <f t="shared" si="39"/>
        <v>63591.951555622742</v>
      </c>
      <c r="H69" s="578">
        <f t="shared" si="39"/>
        <v>65182.289818197591</v>
      </c>
      <c r="I69" s="578">
        <f t="shared" si="39"/>
        <v>66679.312196561194</v>
      </c>
      <c r="J69" s="578">
        <f t="shared" si="39"/>
        <v>68635.821783242965</v>
      </c>
      <c r="K69" s="578">
        <f t="shared" si="39"/>
        <v>70351.362064666129</v>
      </c>
      <c r="L69" s="578">
        <f t="shared" si="39"/>
        <v>72109.672432072286</v>
      </c>
      <c r="M69" s="578">
        <f t="shared" si="39"/>
        <v>73913.124769189904</v>
      </c>
      <c r="N69" s="578">
        <f t="shared" si="39"/>
        <v>75760.952888419604</v>
      </c>
      <c r="O69" s="578">
        <f t="shared" si="39"/>
        <v>77654.5161843143</v>
      </c>
      <c r="P69" s="578">
        <f t="shared" si="39"/>
        <v>79595.721194185287</v>
      </c>
      <c r="Q69" s="578">
        <f t="shared" si="39"/>
        <v>81586.495802987338</v>
      </c>
      <c r="R69" s="578">
        <f t="shared" si="39"/>
        <v>83625.10556648302</v>
      </c>
      <c r="S69" s="578">
        <f t="shared" si="39"/>
        <v>85716.154258276714</v>
      </c>
    </row>
    <row r="70" spans="1:19">
      <c r="A70" s="772" t="s">
        <v>466</v>
      </c>
      <c r="B70" s="773"/>
      <c r="C70" s="576">
        <v>0.85</v>
      </c>
      <c r="D70" s="575"/>
      <c r="E70" s="574">
        <f t="shared" ref="E70:S70" si="40">E69*$C$70</f>
        <v>18438.588932530281</v>
      </c>
      <c r="F70" s="574">
        <f t="shared" si="40"/>
        <v>48918.106504186864</v>
      </c>
      <c r="G70" s="574">
        <f t="shared" si="40"/>
        <v>54053.158822279329</v>
      </c>
      <c r="H70" s="574">
        <f t="shared" si="40"/>
        <v>55404.94634546795</v>
      </c>
      <c r="I70" s="574">
        <f t="shared" si="40"/>
        <v>56677.41536707701</v>
      </c>
      <c r="J70" s="574">
        <f t="shared" si="40"/>
        <v>58340.448515756521</v>
      </c>
      <c r="K70" s="574">
        <f t="shared" si="40"/>
        <v>59798.657754966211</v>
      </c>
      <c r="L70" s="574">
        <f t="shared" si="40"/>
        <v>61293.22156726144</v>
      </c>
      <c r="M70" s="574">
        <f t="shared" si="40"/>
        <v>62826.156053811414</v>
      </c>
      <c r="N70" s="574">
        <f t="shared" si="40"/>
        <v>64396.809955156663</v>
      </c>
      <c r="O70" s="574">
        <f t="shared" si="40"/>
        <v>66006.338756667159</v>
      </c>
      <c r="P70" s="574">
        <f t="shared" si="40"/>
        <v>67656.36301505749</v>
      </c>
      <c r="Q70" s="574">
        <f t="shared" si="40"/>
        <v>69348.52143253923</v>
      </c>
      <c r="R70" s="574">
        <f t="shared" si="40"/>
        <v>71081.339731510569</v>
      </c>
      <c r="S70" s="574">
        <f t="shared" si="40"/>
        <v>72858.731119535209</v>
      </c>
    </row>
    <row r="71" spans="1:19">
      <c r="A71" s="772" t="s">
        <v>465</v>
      </c>
      <c r="B71" s="773"/>
      <c r="C71" s="576">
        <v>0.15</v>
      </c>
      <c r="D71" s="575"/>
      <c r="E71" s="574">
        <f t="shared" ref="E71:S71" si="41">E69*$C$71</f>
        <v>3253.8686351524029</v>
      </c>
      <c r="F71" s="574">
        <f t="shared" si="41"/>
        <v>8632.6070301506224</v>
      </c>
      <c r="G71" s="574">
        <f t="shared" si="41"/>
        <v>9538.7927333434109</v>
      </c>
      <c r="H71" s="574">
        <f t="shared" si="41"/>
        <v>9777.343472729639</v>
      </c>
      <c r="I71" s="574">
        <f t="shared" si="41"/>
        <v>10001.896829484178</v>
      </c>
      <c r="J71" s="574">
        <f t="shared" si="41"/>
        <v>10295.373267486444</v>
      </c>
      <c r="K71" s="574">
        <f t="shared" si="41"/>
        <v>10552.704309699919</v>
      </c>
      <c r="L71" s="574">
        <f t="shared" si="41"/>
        <v>10816.450864810842</v>
      </c>
      <c r="M71" s="574">
        <f t="shared" si="41"/>
        <v>11086.968715378485</v>
      </c>
      <c r="N71" s="574">
        <f t="shared" si="41"/>
        <v>11364.14293326294</v>
      </c>
      <c r="O71" s="574">
        <f t="shared" si="41"/>
        <v>11648.177427647144</v>
      </c>
      <c r="P71" s="574">
        <f t="shared" si="41"/>
        <v>11939.358179127792</v>
      </c>
      <c r="Q71" s="574">
        <f t="shared" si="41"/>
        <v>12237.974370448101</v>
      </c>
      <c r="R71" s="574">
        <f t="shared" si="41"/>
        <v>12543.765834972453</v>
      </c>
      <c r="S71" s="574">
        <f t="shared" si="41"/>
        <v>12857.423138741508</v>
      </c>
    </row>
    <row r="72" spans="1:19" s="572" customFormat="1">
      <c r="B72" s="573"/>
      <c r="C72" s="573"/>
    </row>
    <row r="73" spans="1:19" s="572" customFormat="1">
      <c r="B73" s="573"/>
      <c r="C73" s="573"/>
    </row>
    <row r="74" spans="1:19" s="572" customFormat="1">
      <c r="B74" s="573"/>
      <c r="C74" s="573"/>
    </row>
    <row r="75" spans="1:19" s="572" customFormat="1">
      <c r="B75" s="573"/>
      <c r="C75" s="573"/>
    </row>
    <row r="76" spans="1:19" s="572" customFormat="1">
      <c r="B76" s="573"/>
      <c r="C76" s="573"/>
    </row>
    <row r="77" spans="1:19" s="572" customFormat="1">
      <c r="B77" s="573"/>
      <c r="C77" s="573"/>
      <c r="S77" s="570"/>
    </row>
    <row r="78" spans="1:19" s="572" customFormat="1">
      <c r="B78" s="573"/>
      <c r="C78" s="573"/>
      <c r="S78" s="570"/>
    </row>
    <row r="79" spans="1:19" s="572" customFormat="1">
      <c r="B79" s="573"/>
      <c r="C79" s="573"/>
      <c r="S79" s="570"/>
    </row>
  </sheetData>
  <mergeCells count="19">
    <mergeCell ref="A66:B66"/>
    <mergeCell ref="A67:B67"/>
    <mergeCell ref="A68:B68"/>
    <mergeCell ref="A69:B69"/>
    <mergeCell ref="A70:B70"/>
    <mergeCell ref="A71:B71"/>
    <mergeCell ref="B60:D60"/>
    <mergeCell ref="H60:J60"/>
    <mergeCell ref="O60:R60"/>
    <mergeCell ref="A63:B63"/>
    <mergeCell ref="A64:B64"/>
    <mergeCell ref="A65:B65"/>
    <mergeCell ref="A1:P1"/>
    <mergeCell ref="A3:A4"/>
    <mergeCell ref="B3:C4"/>
    <mergeCell ref="D3:P3"/>
    <mergeCell ref="B56:D56"/>
    <mergeCell ref="H56:J56"/>
    <mergeCell ref="O56:R56"/>
  </mergeCells>
  <printOptions horizontalCentered="1"/>
  <pageMargins left="0.196850393700787" right="0.196850393700787" top="0.55118110236220497" bottom="0.47244094488188998" header="0.196850393700787" footer="0.196850393700787"/>
  <pageSetup paperSize="9" scale="60" fitToWidth="3" orientation="landscape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0"/>
  <sheetViews>
    <sheetView workbookViewId="0">
      <selection activeCell="C16" sqref="C16:D16"/>
    </sheetView>
  </sheetViews>
  <sheetFormatPr defaultRowHeight="12.75"/>
  <cols>
    <col min="1" max="1" width="5.42578125" bestFit="1" customWidth="1"/>
    <col min="2" max="2" width="43.85546875" bestFit="1" customWidth="1"/>
    <col min="3" max="3" width="10" bestFit="1" customWidth="1"/>
    <col min="4" max="4" width="11.7109375" customWidth="1"/>
    <col min="5" max="5" width="20.140625" bestFit="1" customWidth="1"/>
  </cols>
  <sheetData>
    <row r="1" spans="1:5" s="741" customFormat="1" ht="30.75" customHeight="1">
      <c r="A1" s="783" t="s">
        <v>612</v>
      </c>
      <c r="B1" s="783"/>
      <c r="C1" s="783"/>
      <c r="D1" s="783"/>
      <c r="E1" s="783"/>
    </row>
    <row r="3" spans="1:5" ht="16.5">
      <c r="A3" s="369" t="s">
        <v>6</v>
      </c>
      <c r="B3" s="369" t="s">
        <v>123</v>
      </c>
      <c r="C3" s="369" t="s">
        <v>536</v>
      </c>
      <c r="D3" s="363" t="s">
        <v>537</v>
      </c>
      <c r="E3" s="369" t="s">
        <v>538</v>
      </c>
    </row>
    <row r="4" spans="1:5" ht="16.5">
      <c r="A4" s="368">
        <v>1</v>
      </c>
      <c r="B4" s="364" t="s">
        <v>539</v>
      </c>
      <c r="C4" s="784" t="s">
        <v>540</v>
      </c>
      <c r="D4" s="785"/>
      <c r="E4" s="224"/>
    </row>
    <row r="5" spans="1:5" ht="16.5">
      <c r="A5" s="368">
        <v>2</v>
      </c>
      <c r="B5" s="364" t="s">
        <v>541</v>
      </c>
      <c r="C5" s="367">
        <v>5525</v>
      </c>
      <c r="D5" s="742" t="s">
        <v>542</v>
      </c>
      <c r="E5" s="364" t="s">
        <v>543</v>
      </c>
    </row>
    <row r="6" spans="1:5" ht="16.5">
      <c r="A6" s="368">
        <v>3</v>
      </c>
      <c r="B6" s="364" t="s">
        <v>544</v>
      </c>
      <c r="C6" s="786">
        <v>0.95</v>
      </c>
      <c r="D6" s="787"/>
      <c r="E6" s="224"/>
    </row>
    <row r="7" spans="1:5" ht="16.5">
      <c r="A7" s="368">
        <v>4</v>
      </c>
      <c r="B7" s="364" t="s">
        <v>545</v>
      </c>
      <c r="C7" s="786">
        <v>0.85</v>
      </c>
      <c r="D7" s="787"/>
      <c r="E7" s="224"/>
    </row>
    <row r="8" spans="1:5" ht="16.5">
      <c r="A8" s="368">
        <v>5</v>
      </c>
      <c r="B8" s="364" t="s">
        <v>546</v>
      </c>
      <c r="C8" s="368" t="s">
        <v>547</v>
      </c>
      <c r="D8" s="742"/>
      <c r="E8" s="364" t="s">
        <v>548</v>
      </c>
    </row>
    <row r="9" spans="1:5" ht="16.5">
      <c r="A9" s="368">
        <v>6</v>
      </c>
      <c r="B9" s="364" t="s">
        <v>549</v>
      </c>
      <c r="C9" s="368"/>
      <c r="D9" s="742">
        <v>24</v>
      </c>
      <c r="E9" s="364" t="s">
        <v>550</v>
      </c>
    </row>
    <row r="10" spans="1:5" ht="16.5">
      <c r="A10" s="368">
        <v>7</v>
      </c>
      <c r="B10" s="364" t="s">
        <v>551</v>
      </c>
      <c r="C10" s="788">
        <v>2.5000000000000001E-2</v>
      </c>
      <c r="D10" s="789"/>
      <c r="E10" s="364"/>
    </row>
    <row r="11" spans="1:5" ht="16.5">
      <c r="A11" s="368">
        <v>8</v>
      </c>
      <c r="B11" s="364" t="s">
        <v>552</v>
      </c>
      <c r="C11" s="368"/>
      <c r="D11" s="742">
        <v>2.7469999999999999</v>
      </c>
      <c r="E11" s="364" t="s">
        <v>553</v>
      </c>
    </row>
    <row r="12" spans="1:5" ht="16.5">
      <c r="A12" s="368">
        <v>9</v>
      </c>
      <c r="B12" s="364" t="s">
        <v>554</v>
      </c>
      <c r="C12" s="776">
        <v>80</v>
      </c>
      <c r="D12" s="777"/>
      <c r="E12" s="364" t="s">
        <v>548</v>
      </c>
    </row>
    <row r="13" spans="1:5" ht="16.5">
      <c r="A13" s="368">
        <v>10</v>
      </c>
      <c r="B13" s="364" t="s">
        <v>555</v>
      </c>
      <c r="C13" s="776" t="s">
        <v>556</v>
      </c>
      <c r="D13" s="777"/>
      <c r="E13" s="364" t="s">
        <v>230</v>
      </c>
    </row>
    <row r="14" spans="1:5" ht="16.5">
      <c r="A14" s="368">
        <v>11</v>
      </c>
      <c r="B14" s="364" t="s">
        <v>557</v>
      </c>
      <c r="C14" s="776" t="s">
        <v>558</v>
      </c>
      <c r="D14" s="777"/>
      <c r="E14" s="364" t="s">
        <v>559</v>
      </c>
    </row>
    <row r="15" spans="1:5" ht="16.5">
      <c r="A15" s="368">
        <v>12</v>
      </c>
      <c r="B15" s="364" t="s">
        <v>560</v>
      </c>
      <c r="C15" s="776">
        <v>500</v>
      </c>
      <c r="D15" s="777"/>
      <c r="E15" s="364" t="s">
        <v>561</v>
      </c>
    </row>
    <row r="16" spans="1:5" ht="16.5">
      <c r="A16" s="368">
        <v>13</v>
      </c>
      <c r="B16" s="364" t="s">
        <v>562</v>
      </c>
      <c r="C16" s="776">
        <v>9</v>
      </c>
      <c r="D16" s="777"/>
      <c r="E16" s="364" t="s">
        <v>563</v>
      </c>
    </row>
    <row r="17" spans="1:5" ht="16.5">
      <c r="A17" s="368">
        <v>14</v>
      </c>
      <c r="B17" s="364" t="s">
        <v>564</v>
      </c>
      <c r="C17" s="368"/>
      <c r="D17" s="742">
        <v>8.1</v>
      </c>
      <c r="E17" s="364" t="s">
        <v>563</v>
      </c>
    </row>
    <row r="18" spans="1:5" ht="16.5">
      <c r="A18" s="368">
        <v>15</v>
      </c>
      <c r="B18" s="364" t="s">
        <v>492</v>
      </c>
      <c r="C18" s="780">
        <v>10</v>
      </c>
      <c r="D18" s="780"/>
      <c r="E18" s="364" t="s">
        <v>565</v>
      </c>
    </row>
    <row r="19" spans="1:5" ht="16.5">
      <c r="A19" s="368">
        <v>16</v>
      </c>
      <c r="B19" s="364" t="s">
        <v>488</v>
      </c>
      <c r="C19" s="368"/>
      <c r="D19" s="742" t="s">
        <v>566</v>
      </c>
      <c r="E19" s="364" t="s">
        <v>567</v>
      </c>
    </row>
    <row r="20" spans="1:5" ht="16.5">
      <c r="A20" s="368">
        <v>17</v>
      </c>
      <c r="B20" s="364" t="s">
        <v>568</v>
      </c>
      <c r="C20" s="368"/>
      <c r="D20" s="368">
        <v>3</v>
      </c>
      <c r="E20" s="364" t="s">
        <v>569</v>
      </c>
    </row>
    <row r="21" spans="1:5" ht="16.5">
      <c r="A21" s="368">
        <v>18</v>
      </c>
      <c r="B21" s="364" t="s">
        <v>570</v>
      </c>
      <c r="C21" s="743">
        <v>0.02</v>
      </c>
      <c r="D21" s="744">
        <v>0.05</v>
      </c>
      <c r="E21" s="224"/>
    </row>
    <row r="22" spans="1:5" ht="16.5">
      <c r="A22" s="368">
        <v>19</v>
      </c>
      <c r="B22" s="364" t="s">
        <v>571</v>
      </c>
      <c r="C22" s="743">
        <v>0.05</v>
      </c>
      <c r="D22" s="744">
        <v>0.1</v>
      </c>
      <c r="E22" s="224"/>
    </row>
    <row r="23" spans="1:5" ht="16.5">
      <c r="A23" s="368">
        <v>20</v>
      </c>
      <c r="B23" s="364" t="s">
        <v>572</v>
      </c>
      <c r="C23" s="743">
        <v>0.06</v>
      </c>
      <c r="D23" s="744">
        <v>0.06</v>
      </c>
      <c r="E23" s="224"/>
    </row>
    <row r="24" spans="1:5" ht="16.5">
      <c r="A24" s="368">
        <v>21</v>
      </c>
      <c r="B24" s="364" t="s">
        <v>573</v>
      </c>
      <c r="C24" s="743">
        <v>0.12</v>
      </c>
      <c r="D24" s="744">
        <v>0.06</v>
      </c>
      <c r="E24" s="224"/>
    </row>
    <row r="25" spans="1:5" ht="16.5">
      <c r="A25" s="368">
        <v>22</v>
      </c>
      <c r="B25" s="364" t="s">
        <v>574</v>
      </c>
      <c r="C25" s="781">
        <v>25900</v>
      </c>
      <c r="D25" s="782"/>
      <c r="E25" s="364" t="s">
        <v>575</v>
      </c>
    </row>
    <row r="26" spans="1:5" ht="16.5">
      <c r="A26" s="368">
        <v>23</v>
      </c>
      <c r="B26" s="364" t="s">
        <v>576</v>
      </c>
      <c r="C26" s="368">
        <v>4.2</v>
      </c>
      <c r="D26" s="742">
        <v>4</v>
      </c>
      <c r="E26" s="364" t="s">
        <v>577</v>
      </c>
    </row>
    <row r="27" spans="1:5" ht="16.5">
      <c r="A27" s="368">
        <v>24</v>
      </c>
      <c r="B27" s="364" t="s">
        <v>578</v>
      </c>
      <c r="C27" s="368">
        <v>7.5</v>
      </c>
      <c r="D27" s="742">
        <v>4</v>
      </c>
      <c r="E27" s="364" t="s">
        <v>577</v>
      </c>
    </row>
    <row r="28" spans="1:5" ht="16.5">
      <c r="A28" s="368">
        <v>25</v>
      </c>
      <c r="B28" s="364" t="s">
        <v>579</v>
      </c>
      <c r="C28" s="368">
        <v>0.21</v>
      </c>
      <c r="D28" s="742">
        <v>0.2</v>
      </c>
      <c r="E28" s="364" t="s">
        <v>577</v>
      </c>
    </row>
    <row r="29" spans="1:5" ht="16.5">
      <c r="A29" s="368">
        <v>26</v>
      </c>
      <c r="B29" s="364" t="s">
        <v>580</v>
      </c>
      <c r="C29" s="776">
        <v>40</v>
      </c>
      <c r="D29" s="777"/>
      <c r="E29" s="364" t="s">
        <v>581</v>
      </c>
    </row>
    <row r="30" spans="1:5" ht="16.5">
      <c r="A30" s="368">
        <v>27</v>
      </c>
      <c r="B30" s="364" t="s">
        <v>582</v>
      </c>
      <c r="C30" s="776">
        <v>365</v>
      </c>
      <c r="D30" s="777"/>
      <c r="E30" s="364" t="s">
        <v>583</v>
      </c>
    </row>
    <row r="31" spans="1:5" ht="16.5">
      <c r="A31" s="368">
        <v>28</v>
      </c>
      <c r="B31" s="364" t="s">
        <v>75</v>
      </c>
      <c r="C31" s="778" t="s">
        <v>584</v>
      </c>
      <c r="D31" s="779"/>
      <c r="E31" s="364" t="s">
        <v>522</v>
      </c>
    </row>
    <row r="32" spans="1:5" ht="16.5">
      <c r="A32" s="368">
        <v>29</v>
      </c>
      <c r="B32" s="364" t="s">
        <v>585</v>
      </c>
      <c r="C32" s="776" t="s">
        <v>586</v>
      </c>
      <c r="D32" s="777"/>
      <c r="E32" s="364" t="s">
        <v>522</v>
      </c>
    </row>
    <row r="33" spans="1:9" ht="16.5">
      <c r="A33" s="368">
        <v>30</v>
      </c>
      <c r="B33" s="364" t="s">
        <v>129</v>
      </c>
      <c r="C33" s="776" t="s">
        <v>587</v>
      </c>
      <c r="D33" s="777"/>
      <c r="E33" s="364" t="s">
        <v>522</v>
      </c>
    </row>
    <row r="34" spans="1:9" ht="16.5">
      <c r="A34" s="368">
        <v>31</v>
      </c>
      <c r="B34" s="364" t="s">
        <v>455</v>
      </c>
      <c r="C34" s="776" t="s">
        <v>588</v>
      </c>
      <c r="D34" s="777"/>
      <c r="E34" s="364" t="s">
        <v>522</v>
      </c>
    </row>
    <row r="36" spans="1:9" ht="14.25" customHeight="1">
      <c r="A36" s="745"/>
      <c r="B36" s="746"/>
      <c r="C36" s="747"/>
      <c r="D36" s="747"/>
      <c r="E36" s="747"/>
      <c r="F36" s="747"/>
      <c r="G36" s="747"/>
      <c r="H36" s="747"/>
      <c r="I36" s="747"/>
    </row>
    <row r="37" spans="1:9" ht="15">
      <c r="A37" s="707"/>
      <c r="B37" s="707"/>
      <c r="C37" s="707"/>
      <c r="D37" s="707"/>
      <c r="E37" s="708"/>
      <c r="F37" s="707"/>
      <c r="G37" s="713"/>
      <c r="H37" s="707"/>
      <c r="I37" s="707"/>
    </row>
    <row r="38" spans="1:9" ht="15">
      <c r="A38" s="707"/>
      <c r="B38" s="707"/>
      <c r="C38" s="707"/>
      <c r="D38" s="707"/>
      <c r="E38" s="708"/>
      <c r="F38" s="707"/>
      <c r="G38" s="707"/>
      <c r="H38" s="707"/>
      <c r="I38" s="707"/>
    </row>
    <row r="39" spans="1:9" ht="15">
      <c r="A39" s="707"/>
      <c r="B39" s="707"/>
      <c r="C39" s="707"/>
      <c r="D39" s="707"/>
      <c r="E39" s="708"/>
      <c r="F39" s="707"/>
      <c r="G39" s="707"/>
      <c r="H39" s="707"/>
      <c r="I39" s="707"/>
    </row>
    <row r="40" spans="1:9" ht="15" customHeight="1">
      <c r="A40" s="748"/>
      <c r="B40" s="749"/>
      <c r="C40" s="748"/>
      <c r="D40" s="748"/>
      <c r="E40" s="748"/>
      <c r="F40" s="711"/>
      <c r="G40" s="711"/>
      <c r="H40" s="711"/>
      <c r="I40" s="711"/>
    </row>
  </sheetData>
  <mergeCells count="18">
    <mergeCell ref="A1:E1"/>
    <mergeCell ref="C4:D4"/>
    <mergeCell ref="C6:D6"/>
    <mergeCell ref="C7:D7"/>
    <mergeCell ref="C10:D10"/>
    <mergeCell ref="C12:D12"/>
    <mergeCell ref="C13:D13"/>
    <mergeCell ref="C14:D14"/>
    <mergeCell ref="C15:D15"/>
    <mergeCell ref="C16:D16"/>
    <mergeCell ref="C18:D18"/>
    <mergeCell ref="C25:D25"/>
    <mergeCell ref="C29:D29"/>
    <mergeCell ref="C30:D30"/>
    <mergeCell ref="C31:D31"/>
    <mergeCell ref="C32:D32"/>
    <mergeCell ref="C33:D33"/>
    <mergeCell ref="C34:D34"/>
  </mergeCells>
  <pageMargins left="0.51181102362204722" right="0.5118110236220472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Y60"/>
  <sheetViews>
    <sheetView showGridLines="0" zoomScaleSheetLayoutView="100" workbookViewId="0">
      <selection activeCell="H23" sqref="H23"/>
    </sheetView>
  </sheetViews>
  <sheetFormatPr defaultColWidth="11.42578125" defaultRowHeight="12.75"/>
  <cols>
    <col min="1" max="1" width="4.7109375" style="1" customWidth="1"/>
    <col min="2" max="2" width="36.28515625" style="1" customWidth="1"/>
    <col min="3" max="3" width="10.7109375" style="1" customWidth="1"/>
    <col min="4" max="4" width="10.5703125" style="1" customWidth="1"/>
    <col min="5" max="5" width="9.28515625" style="1" customWidth="1"/>
    <col min="6" max="6" width="7.7109375" style="1" bestFit="1" customWidth="1"/>
    <col min="7" max="7" width="3.42578125" style="1" customWidth="1"/>
    <col min="8" max="8" width="29" style="1" customWidth="1"/>
    <col min="9" max="9" width="8.85546875" style="1" customWidth="1"/>
    <col min="10" max="10" width="11.140625" style="1" bestFit="1" customWidth="1"/>
    <col min="11" max="11" width="4.140625" style="1" customWidth="1"/>
    <col min="12" max="12" width="11.42578125" style="1" customWidth="1"/>
    <col min="13" max="13" width="17.140625" style="1" customWidth="1"/>
    <col min="14" max="14" width="8.42578125" style="121" customWidth="1"/>
    <col min="15" max="15" width="10.140625" style="121" customWidth="1"/>
    <col min="16" max="16" width="11.42578125" style="1" customWidth="1"/>
    <col min="17" max="17" width="10.42578125" style="1" customWidth="1"/>
    <col min="18" max="18" width="11.42578125" style="1" customWidth="1"/>
    <col min="19" max="19" width="14" style="121" customWidth="1"/>
    <col min="20" max="20" width="9.7109375" style="1" customWidth="1"/>
    <col min="21" max="21" width="11.42578125" style="1" customWidth="1"/>
    <col min="22" max="22" width="9.85546875" style="1" bestFit="1" customWidth="1"/>
    <col min="23" max="23" width="10.28515625" style="1" customWidth="1"/>
    <col min="24" max="24" width="10.42578125" style="1" bestFit="1" customWidth="1"/>
    <col min="25" max="16384" width="11.42578125" style="1"/>
  </cols>
  <sheetData>
    <row r="1" spans="1:25" ht="15" customHeight="1">
      <c r="A1" s="295"/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</row>
    <row r="2" spans="1:25" ht="27.75" customHeight="1">
      <c r="A2" s="793" t="s">
        <v>0</v>
      </c>
      <c r="B2" s="793"/>
      <c r="C2" s="793"/>
      <c r="D2" s="793"/>
      <c r="E2" s="793"/>
      <c r="F2" s="793"/>
      <c r="G2" s="793"/>
      <c r="H2" s="793"/>
      <c r="I2" s="793"/>
      <c r="J2" s="793"/>
      <c r="K2" s="793"/>
      <c r="L2" s="793"/>
      <c r="M2" s="793"/>
      <c r="N2" s="793"/>
      <c r="O2" s="793"/>
      <c r="S2" s="819" t="s">
        <v>327</v>
      </c>
      <c r="T2" s="819"/>
      <c r="U2" s="819"/>
      <c r="V2" s="819"/>
      <c r="W2" s="819"/>
      <c r="X2" s="819"/>
    </row>
    <row r="3" spans="1:25" ht="15" customHeight="1">
      <c r="A3" s="799" t="s">
        <v>121</v>
      </c>
      <c r="B3" s="800"/>
      <c r="C3" s="800"/>
      <c r="D3" s="800"/>
      <c r="E3" s="800"/>
      <c r="F3" s="801"/>
      <c r="G3" s="794" t="s">
        <v>1</v>
      </c>
      <c r="H3" s="794"/>
      <c r="I3" s="794"/>
      <c r="J3" s="794"/>
      <c r="K3" s="794" t="s">
        <v>2</v>
      </c>
      <c r="L3" s="794"/>
      <c r="M3" s="794"/>
      <c r="N3" s="794"/>
      <c r="O3" s="794"/>
      <c r="Q3" s="7"/>
      <c r="S3" s="817" t="s">
        <v>45</v>
      </c>
      <c r="T3" s="818"/>
      <c r="U3" s="818"/>
      <c r="V3" s="818"/>
      <c r="W3" s="818"/>
      <c r="X3" s="818"/>
    </row>
    <row r="4" spans="1:25" ht="15" customHeight="1">
      <c r="A4" s="125"/>
      <c r="B4" s="126"/>
      <c r="C4" s="127" t="s">
        <v>10</v>
      </c>
      <c r="D4" s="127" t="s">
        <v>11</v>
      </c>
      <c r="E4" s="127" t="s">
        <v>12</v>
      </c>
      <c r="F4" s="127" t="s">
        <v>13</v>
      </c>
      <c r="G4" s="89"/>
      <c r="H4" s="222" t="s">
        <v>14</v>
      </c>
      <c r="I4" s="805" t="s">
        <v>421</v>
      </c>
      <c r="J4" s="806"/>
      <c r="K4" s="128" t="s">
        <v>15</v>
      </c>
      <c r="L4" s="129" t="s">
        <v>16</v>
      </c>
      <c r="M4" s="89"/>
      <c r="N4" s="94"/>
      <c r="O4" s="94"/>
      <c r="Q4" s="16"/>
      <c r="S4" s="272" t="s">
        <v>383</v>
      </c>
      <c r="T4" s="42">
        <v>0</v>
      </c>
      <c r="U4" s="34">
        <v>0.05</v>
      </c>
      <c r="V4" s="56">
        <v>7.0000000000000007E-2</v>
      </c>
      <c r="W4" s="56">
        <v>0.1</v>
      </c>
      <c r="X4" s="56">
        <v>0.15</v>
      </c>
    </row>
    <row r="5" spans="1:25" ht="21" customHeight="1">
      <c r="A5" s="17" t="s">
        <v>18</v>
      </c>
      <c r="B5" s="18" t="s">
        <v>19</v>
      </c>
      <c r="C5" s="19">
        <f>(C6+C13)</f>
        <v>157351</v>
      </c>
      <c r="D5" s="19">
        <f>D6+D13</f>
        <v>14157.900000000001</v>
      </c>
      <c r="E5" s="19">
        <f>E6+E13</f>
        <v>171508.90000000002</v>
      </c>
      <c r="F5" s="20">
        <f>C5/C5</f>
        <v>1</v>
      </c>
      <c r="G5" s="11"/>
      <c r="H5" s="802" t="s">
        <v>589</v>
      </c>
      <c r="I5" s="803"/>
      <c r="J5" s="804"/>
      <c r="K5" s="32">
        <v>1</v>
      </c>
      <c r="L5" s="11" t="s">
        <v>24</v>
      </c>
      <c r="M5" s="11"/>
      <c r="N5" s="112">
        <v>88</v>
      </c>
      <c r="O5" s="32" t="s">
        <v>613</v>
      </c>
      <c r="Q5" s="27"/>
      <c r="S5" s="272" t="s">
        <v>30</v>
      </c>
      <c r="T5" s="57">
        <f>'NPV (Tong dau tu) -Bảng 7'!C20</f>
        <v>68315.150706149783</v>
      </c>
      <c r="U5" s="57">
        <f t="dataTable" ref="U5:X6" dt2D="0" dtr="1" r1="N25" ca="1"/>
        <v>61360.899188923417</v>
      </c>
      <c r="V5" s="57">
        <v>58669.081900557183</v>
      </c>
      <c r="W5" s="57">
        <v>54724.105287503742</v>
      </c>
      <c r="X5" s="57">
        <v>48387.441043454426</v>
      </c>
    </row>
    <row r="6" spans="1:25" ht="18.75" customHeight="1">
      <c r="A6" s="28"/>
      <c r="B6" s="29" t="s">
        <v>23</v>
      </c>
      <c r="C6" s="30">
        <f>SUM(C7:C12)</f>
        <v>141579</v>
      </c>
      <c r="D6" s="30">
        <f>SUM(D7:D12)</f>
        <v>14157.900000000001</v>
      </c>
      <c r="E6" s="30">
        <f>SUM(E7:E12)</f>
        <v>155736.90000000002</v>
      </c>
      <c r="F6" s="31">
        <f>C6/C5</f>
        <v>0.8997654924341123</v>
      </c>
      <c r="G6" s="11"/>
      <c r="H6" s="221" t="s">
        <v>4</v>
      </c>
      <c r="I6" s="221">
        <v>1</v>
      </c>
      <c r="J6" s="221" t="s">
        <v>25</v>
      </c>
      <c r="K6" s="32">
        <v>2</v>
      </c>
      <c r="L6" s="11" t="s">
        <v>32</v>
      </c>
      <c r="M6" s="11"/>
      <c r="N6" s="296">
        <v>73</v>
      </c>
      <c r="O6" s="32" t="s">
        <v>613</v>
      </c>
      <c r="Q6" s="40"/>
      <c r="S6" s="272" t="s">
        <v>36</v>
      </c>
      <c r="T6" s="60">
        <f>'NPV (Tong dau tu) -Bảng 7'!C21</f>
        <v>0.14357365231169023</v>
      </c>
      <c r="U6" s="60">
        <v>0.14391310492860296</v>
      </c>
      <c r="V6" s="60">
        <v>0.14405060828835661</v>
      </c>
      <c r="W6" s="60">
        <v>0.14425872501956341</v>
      </c>
      <c r="X6" s="60">
        <v>0.14461059458226969</v>
      </c>
      <c r="Y6" s="41"/>
    </row>
    <row r="7" spans="1:25" ht="15" customHeight="1">
      <c r="A7" s="474">
        <v>1</v>
      </c>
      <c r="B7" s="475" t="s">
        <v>20</v>
      </c>
      <c r="C7" s="476">
        <f>54793*(1+N23)</f>
        <v>54793</v>
      </c>
      <c r="D7" s="476">
        <f t="shared" ref="D7:D12" si="0">C7*10%</f>
        <v>5479.3</v>
      </c>
      <c r="E7" s="476">
        <f>C7+D7</f>
        <v>60272.3</v>
      </c>
      <c r="F7" s="477">
        <f>C7/C5</f>
        <v>0.34822149207822001</v>
      </c>
      <c r="G7" s="13" t="s">
        <v>15</v>
      </c>
      <c r="H7" s="129" t="s">
        <v>31</v>
      </c>
      <c r="I7" s="89"/>
      <c r="J7" s="89"/>
      <c r="K7" s="32">
        <v>3</v>
      </c>
      <c r="L7" s="11" t="s">
        <v>38</v>
      </c>
      <c r="M7" s="11"/>
      <c r="N7" s="296">
        <v>15</v>
      </c>
      <c r="O7" s="32" t="s">
        <v>613</v>
      </c>
      <c r="Q7" s="40"/>
    </row>
    <row r="8" spans="1:25" ht="15" customHeight="1">
      <c r="A8" s="32">
        <v>2</v>
      </c>
      <c r="B8" s="11" t="s">
        <v>33</v>
      </c>
      <c r="C8" s="44">
        <f>72519*(1+N23)</f>
        <v>72519</v>
      </c>
      <c r="D8" s="44">
        <f t="shared" si="0"/>
        <v>7251.9000000000005</v>
      </c>
      <c r="E8" s="44">
        <f t="shared" ref="E8:E13" si="1">C8+D8</f>
        <v>79770.899999999994</v>
      </c>
      <c r="F8" s="45">
        <f>C8/C5</f>
        <v>0.46087409676455821</v>
      </c>
      <c r="G8" s="32">
        <v>1</v>
      </c>
      <c r="H8" s="11" t="s">
        <v>37</v>
      </c>
      <c r="I8" s="44">
        <f>60000*(1-$N$27)</f>
        <v>60000</v>
      </c>
      <c r="J8" s="11" t="s">
        <v>590</v>
      </c>
      <c r="K8" s="32">
        <v>4</v>
      </c>
      <c r="L8" s="11" t="s">
        <v>4</v>
      </c>
      <c r="M8" s="11"/>
      <c r="N8" s="296">
        <v>15</v>
      </c>
      <c r="O8" s="32" t="s">
        <v>613</v>
      </c>
      <c r="Q8" s="47"/>
      <c r="S8" s="817" t="s">
        <v>72</v>
      </c>
      <c r="T8" s="818"/>
      <c r="U8" s="818"/>
      <c r="V8" s="818"/>
      <c r="W8" s="818"/>
      <c r="X8" s="818"/>
    </row>
    <row r="9" spans="1:25" ht="15" customHeight="1">
      <c r="A9" s="474">
        <v>3</v>
      </c>
      <c r="B9" s="11" t="s">
        <v>260</v>
      </c>
      <c r="C9" s="44">
        <f>637*(1+N23)</f>
        <v>637</v>
      </c>
      <c r="D9" s="44">
        <f t="shared" si="0"/>
        <v>63.7</v>
      </c>
      <c r="E9" s="44">
        <f t="shared" si="1"/>
        <v>700.7</v>
      </c>
      <c r="F9" s="45">
        <f>C9/$C$5</f>
        <v>4.0482742403924986E-3</v>
      </c>
      <c r="G9" s="32"/>
      <c r="H9" s="11" t="s">
        <v>591</v>
      </c>
      <c r="I9" s="48">
        <v>0.5</v>
      </c>
      <c r="J9" s="11" t="s">
        <v>41</v>
      </c>
      <c r="K9" s="32">
        <v>5</v>
      </c>
      <c r="L9" s="795" t="s">
        <v>321</v>
      </c>
      <c r="M9" s="810"/>
      <c r="N9" s="810"/>
      <c r="O9" s="796"/>
      <c r="Q9" s="4"/>
      <c r="S9" s="272" t="s">
        <v>383</v>
      </c>
      <c r="T9" s="42">
        <v>0</v>
      </c>
      <c r="U9" s="56">
        <v>5.0000000000000001E-3</v>
      </c>
      <c r="V9" s="56">
        <v>0.01</v>
      </c>
      <c r="W9" s="56">
        <v>1.4999999999999999E-2</v>
      </c>
      <c r="X9" s="56">
        <v>0.02</v>
      </c>
    </row>
    <row r="10" spans="1:25" ht="15" customHeight="1">
      <c r="A10" s="32">
        <v>4</v>
      </c>
      <c r="B10" s="11" t="s">
        <v>320</v>
      </c>
      <c r="C10" s="44">
        <f>1273*(1+N23)</f>
        <v>1273</v>
      </c>
      <c r="D10" s="44">
        <f t="shared" si="0"/>
        <v>127.30000000000001</v>
      </c>
      <c r="E10" s="44">
        <f t="shared" si="1"/>
        <v>1400.3</v>
      </c>
      <c r="F10" s="45">
        <f>C10/$C$5</f>
        <v>8.0901932621972525E-3</v>
      </c>
      <c r="G10" s="32"/>
      <c r="H10" s="11" t="s">
        <v>593</v>
      </c>
      <c r="I10" s="58">
        <v>1</v>
      </c>
      <c r="J10" s="11" t="s">
        <v>41</v>
      </c>
      <c r="K10" s="32">
        <v>6</v>
      </c>
      <c r="L10" s="795" t="s">
        <v>21</v>
      </c>
      <c r="M10" s="796"/>
      <c r="N10" s="32"/>
      <c r="O10" s="32"/>
      <c r="Q10" s="55"/>
      <c r="S10" s="272" t="s">
        <v>30</v>
      </c>
      <c r="T10" s="57">
        <f>'NPV (Tong dau tu) -Bảng 7'!C20</f>
        <v>68315.150706149783</v>
      </c>
      <c r="U10" s="57">
        <f t="dataTable" ref="U10:X11" dt2D="0" dtr="1" r1="N24" ca="1"/>
        <v>58460.274023278849</v>
      </c>
      <c r="V10" s="57">
        <v>48605.397340407508</v>
      </c>
      <c r="W10" s="57">
        <v>38750.520657536923</v>
      </c>
      <c r="X10" s="57">
        <v>28896.374830420333</v>
      </c>
    </row>
    <row r="11" spans="1:25" ht="15" customHeight="1">
      <c r="A11" s="474">
        <v>5</v>
      </c>
      <c r="B11" s="11" t="s">
        <v>106</v>
      </c>
      <c r="C11" s="44">
        <v>10955</v>
      </c>
      <c r="D11" s="44">
        <f t="shared" si="0"/>
        <v>1095.5</v>
      </c>
      <c r="E11" s="44">
        <f t="shared" si="1"/>
        <v>12050.5</v>
      </c>
      <c r="F11" s="45">
        <f>C11/$C$5</f>
        <v>6.9621419628728129E-2</v>
      </c>
      <c r="G11" s="32">
        <v>2</v>
      </c>
      <c r="H11" s="138" t="s">
        <v>390</v>
      </c>
      <c r="I11" s="12"/>
      <c r="J11" s="11"/>
      <c r="K11" s="32" t="s">
        <v>26</v>
      </c>
      <c r="L11" s="795" t="s">
        <v>51</v>
      </c>
      <c r="M11" s="796"/>
      <c r="N11" s="130">
        <v>0.7</v>
      </c>
      <c r="O11" s="32" t="s">
        <v>51</v>
      </c>
      <c r="Q11" s="4"/>
      <c r="S11" s="272" t="s">
        <v>36</v>
      </c>
      <c r="T11" s="60">
        <f>'NPV (Tong dau tu) -Bảng 7'!C21</f>
        <v>0.14357365231169023</v>
      </c>
      <c r="U11" s="60">
        <v>0.13648830445566218</v>
      </c>
      <c r="V11" s="60">
        <v>0.12925558038550256</v>
      </c>
      <c r="W11" s="60">
        <v>0.12186401571655217</v>
      </c>
      <c r="X11" s="60">
        <v>0.11430138592966742</v>
      </c>
    </row>
    <row r="12" spans="1:25" ht="15" customHeight="1">
      <c r="A12" s="32">
        <v>6</v>
      </c>
      <c r="B12" s="11" t="s">
        <v>58</v>
      </c>
      <c r="C12" s="59">
        <f>1402*(1+N23)</f>
        <v>1402</v>
      </c>
      <c r="D12" s="44">
        <f t="shared" si="0"/>
        <v>140.20000000000002</v>
      </c>
      <c r="E12" s="44">
        <f t="shared" si="1"/>
        <v>1542.2</v>
      </c>
      <c r="F12" s="45">
        <f>C12/$C$5</f>
        <v>8.910016460016143E-3</v>
      </c>
      <c r="G12" s="32"/>
      <c r="H12" s="137" t="s">
        <v>592</v>
      </c>
      <c r="I12" s="229"/>
      <c r="J12" s="11"/>
      <c r="K12" s="32" t="s">
        <v>26</v>
      </c>
      <c r="L12" s="11" t="s">
        <v>54</v>
      </c>
      <c r="M12" s="11"/>
      <c r="N12" s="130">
        <v>0.7</v>
      </c>
      <c r="O12" s="32" t="s">
        <v>55</v>
      </c>
      <c r="Q12" s="40"/>
    </row>
    <row r="13" spans="1:25" ht="15" customHeight="1">
      <c r="A13" s="474">
        <v>7</v>
      </c>
      <c r="B13" s="478" t="s">
        <v>63</v>
      </c>
      <c r="C13" s="479">
        <v>15772</v>
      </c>
      <c r="D13" s="479"/>
      <c r="E13" s="90">
        <f t="shared" si="1"/>
        <v>15772</v>
      </c>
      <c r="F13" s="480">
        <f>C13/$C$5</f>
        <v>0.10023450756588773</v>
      </c>
      <c r="G13" s="13">
        <v>3</v>
      </c>
      <c r="H13" s="14" t="s">
        <v>313</v>
      </c>
      <c r="I13" s="70"/>
      <c r="J13" s="14"/>
      <c r="K13" s="32" t="s">
        <v>26</v>
      </c>
      <c r="L13" s="11" t="s">
        <v>59</v>
      </c>
      <c r="M13" s="11"/>
      <c r="N13" s="131">
        <v>0</v>
      </c>
      <c r="O13" s="32" t="s">
        <v>60</v>
      </c>
      <c r="Q13" s="47"/>
      <c r="U13" s="289"/>
      <c r="V13" s="289"/>
      <c r="W13" s="289"/>
      <c r="X13" s="289"/>
    </row>
    <row r="14" spans="1:25" ht="15" customHeight="1">
      <c r="A14" s="17" t="s">
        <v>68</v>
      </c>
      <c r="B14" s="18" t="s">
        <v>69</v>
      </c>
      <c r="C14" s="61">
        <f>C15+C16+C21</f>
        <v>171509</v>
      </c>
      <c r="D14" s="62" t="s">
        <v>126</v>
      </c>
      <c r="E14" s="135"/>
      <c r="F14" s="62"/>
      <c r="G14" s="13"/>
      <c r="H14" s="137" t="s">
        <v>594</v>
      </c>
      <c r="I14" s="12">
        <f>7500*(1-$N$24)</f>
        <v>7500</v>
      </c>
      <c r="J14" s="11" t="s">
        <v>595</v>
      </c>
      <c r="K14" s="13" t="s">
        <v>74</v>
      </c>
      <c r="L14" s="11" t="s">
        <v>66</v>
      </c>
      <c r="M14" s="11"/>
      <c r="N14" s="132">
        <f>7%*(1+N25)</f>
        <v>7.0000000000000007E-2</v>
      </c>
      <c r="O14" s="32" t="s">
        <v>25</v>
      </c>
      <c r="Q14" s="47"/>
      <c r="S14" s="817" t="s">
        <v>91</v>
      </c>
      <c r="T14" s="818"/>
      <c r="U14" s="818"/>
      <c r="V14" s="818"/>
      <c r="W14" s="818"/>
      <c r="X14" s="818"/>
    </row>
    <row r="15" spans="1:25" ht="15" customHeight="1">
      <c r="A15" s="63">
        <v>1</v>
      </c>
      <c r="B15" s="64" t="s">
        <v>125</v>
      </c>
      <c r="C15" s="65">
        <v>51509</v>
      </c>
      <c r="D15" s="389">
        <f>C15/C14</f>
        <v>0.30032826265677021</v>
      </c>
      <c r="E15" s="65"/>
      <c r="F15" s="136"/>
      <c r="G15" s="13"/>
      <c r="H15" s="137" t="s">
        <v>596</v>
      </c>
      <c r="I15" s="12">
        <f>24000*(1-$N$24)</f>
        <v>24000</v>
      </c>
      <c r="J15" s="11" t="s">
        <v>597</v>
      </c>
      <c r="K15" s="13" t="s">
        <v>42</v>
      </c>
      <c r="L15" s="11" t="s">
        <v>70</v>
      </c>
      <c r="M15" s="11"/>
      <c r="N15" s="32"/>
      <c r="O15" s="32"/>
      <c r="Q15" s="47"/>
      <c r="S15" s="272" t="s">
        <v>383</v>
      </c>
      <c r="T15" s="42">
        <v>0</v>
      </c>
      <c r="U15" s="56">
        <v>0.01</v>
      </c>
      <c r="V15" s="56">
        <v>0.02</v>
      </c>
      <c r="W15" s="56">
        <v>0.03</v>
      </c>
      <c r="X15" s="56">
        <v>0.04</v>
      </c>
    </row>
    <row r="16" spans="1:25" ht="19.5" customHeight="1">
      <c r="A16" s="66">
        <v>2</v>
      </c>
      <c r="B16" s="67" t="s">
        <v>119</v>
      </c>
      <c r="C16" s="68">
        <v>120000</v>
      </c>
      <c r="D16" s="390">
        <f>C16/C14</f>
        <v>0.69967173734322985</v>
      </c>
      <c r="E16" s="111"/>
      <c r="F16" s="69"/>
      <c r="G16" s="13"/>
      <c r="H16" s="137" t="s">
        <v>598</v>
      </c>
      <c r="I16" s="12">
        <f>1300*(1-$N$24)</f>
        <v>1300</v>
      </c>
      <c r="J16" s="11" t="s">
        <v>599</v>
      </c>
      <c r="K16" s="32">
        <v>1</v>
      </c>
      <c r="L16" s="11" t="s">
        <v>120</v>
      </c>
      <c r="M16" s="11"/>
      <c r="N16" s="132">
        <f>10%*(1+N25)</f>
        <v>0.1</v>
      </c>
      <c r="O16" s="32" t="s">
        <v>25</v>
      </c>
      <c r="Q16" s="47"/>
      <c r="S16" s="272" t="s">
        <v>30</v>
      </c>
      <c r="T16" s="57">
        <f>'NPV (Tong dau tu) -Bảng 7'!C20</f>
        <v>68315.150706149783</v>
      </c>
      <c r="U16" s="57">
        <f t="dataTable" ref="U16:X17" dt2D="0" dtr="1" r1="N28" ca="1"/>
        <v>48772.813759364217</v>
      </c>
      <c r="V16" s="57">
        <v>29197.347058105021</v>
      </c>
      <c r="W16" s="57">
        <v>9633.358032668446</v>
      </c>
      <c r="X16" s="57">
        <v>-9971.4658558785741</v>
      </c>
    </row>
    <row r="17" spans="1:24" ht="18" customHeight="1">
      <c r="A17" s="73" t="s">
        <v>77</v>
      </c>
      <c r="B17" s="137" t="s">
        <v>78</v>
      </c>
      <c r="C17" s="74">
        <v>120000</v>
      </c>
      <c r="D17" s="108"/>
      <c r="E17" s="75"/>
      <c r="F17" s="76"/>
      <c r="G17" s="80"/>
      <c r="H17" s="137" t="s">
        <v>600</v>
      </c>
      <c r="I17" s="12">
        <f>500000*(1-$N$24)</f>
        <v>500000</v>
      </c>
      <c r="J17" s="11" t="s">
        <v>601</v>
      </c>
      <c r="K17" s="32">
        <v>2</v>
      </c>
      <c r="L17" s="795" t="s">
        <v>259</v>
      </c>
      <c r="M17" s="796"/>
      <c r="N17" s="132"/>
      <c r="O17" s="32"/>
      <c r="Q17" s="72"/>
      <c r="S17" s="272" t="s">
        <v>36</v>
      </c>
      <c r="T17" s="60">
        <f>'NPV (Tong dau tu) -Bảng 7'!C21</f>
        <v>0.14357365231169023</v>
      </c>
      <c r="U17" s="60">
        <v>0.12931994319311332</v>
      </c>
      <c r="V17" s="60">
        <v>0.11445813999868058</v>
      </c>
      <c r="W17" s="60">
        <v>9.8925083881799797E-2</v>
      </c>
      <c r="X17" s="60">
        <v>8.2553870313240893E-2</v>
      </c>
    </row>
    <row r="18" spans="1:24" ht="15" customHeight="1">
      <c r="A18" s="32" t="s">
        <v>64</v>
      </c>
      <c r="B18" s="11" t="s">
        <v>80</v>
      </c>
      <c r="C18" s="44">
        <f>C17-C19</f>
        <v>104228</v>
      </c>
      <c r="D18" s="109"/>
      <c r="E18" s="44"/>
      <c r="F18" s="79"/>
      <c r="G18" s="13" t="s">
        <v>74</v>
      </c>
      <c r="H18" s="14" t="s">
        <v>47</v>
      </c>
      <c r="I18" s="116"/>
      <c r="J18" s="11"/>
      <c r="K18" s="13" t="s">
        <v>46</v>
      </c>
      <c r="L18" s="11" t="s">
        <v>82</v>
      </c>
      <c r="M18" s="11"/>
      <c r="N18" s="257">
        <f>(D15+D21)*N14+D16*N16</f>
        <v>9.0990152120296902E-2</v>
      </c>
      <c r="O18" s="32" t="s">
        <v>25</v>
      </c>
      <c r="Q18" s="78"/>
    </row>
    <row r="19" spans="1:24" ht="15" customHeight="1">
      <c r="A19" s="32" t="s">
        <v>64</v>
      </c>
      <c r="B19" s="9" t="s">
        <v>84</v>
      </c>
      <c r="C19" s="81">
        <f>C13</f>
        <v>15772</v>
      </c>
      <c r="D19" s="110"/>
      <c r="E19" s="81"/>
      <c r="F19" s="82"/>
      <c r="G19" s="13">
        <v>1</v>
      </c>
      <c r="H19" s="14" t="s">
        <v>127</v>
      </c>
      <c r="I19" s="116"/>
      <c r="J19" s="11"/>
      <c r="K19" s="13"/>
      <c r="L19" s="11"/>
      <c r="M19" s="11"/>
      <c r="N19" s="132"/>
      <c r="O19" s="32"/>
      <c r="Q19" s="4"/>
      <c r="R19" s="448" t="s">
        <v>30</v>
      </c>
      <c r="S19" s="272"/>
      <c r="T19" s="816" t="s">
        <v>610</v>
      </c>
      <c r="U19" s="816"/>
      <c r="V19" s="816"/>
      <c r="W19" s="816"/>
      <c r="X19" s="816"/>
    </row>
    <row r="20" spans="1:24" ht="15" customHeight="1">
      <c r="A20" s="8" t="s">
        <v>85</v>
      </c>
      <c r="B20" s="9" t="s">
        <v>124</v>
      </c>
      <c r="C20" s="81">
        <f>C16</f>
        <v>120000</v>
      </c>
      <c r="D20" s="110"/>
      <c r="E20" s="85"/>
      <c r="F20" s="82"/>
      <c r="G20" s="13"/>
      <c r="H20" s="137" t="s">
        <v>602</v>
      </c>
      <c r="I20" s="750">
        <v>4.2</v>
      </c>
      <c r="J20" s="11" t="s">
        <v>603</v>
      </c>
      <c r="K20" s="13" t="s">
        <v>65</v>
      </c>
      <c r="L20" s="11" t="s">
        <v>296</v>
      </c>
      <c r="M20" s="11"/>
      <c r="N20" s="132">
        <v>7.0000000000000007E-2</v>
      </c>
      <c r="O20" s="117"/>
      <c r="Q20" s="4"/>
      <c r="R20" s="449"/>
      <c r="S20" s="273">
        <f>'NPV (Tong dau tu) -Bảng 7'!C20</f>
        <v>68315.150706149783</v>
      </c>
      <c r="T20" s="42">
        <v>0</v>
      </c>
      <c r="U20" s="56">
        <v>0.05</v>
      </c>
      <c r="V20" s="56">
        <v>7.0000000000000007E-2</v>
      </c>
      <c r="W20" s="56">
        <v>0.1</v>
      </c>
      <c r="X20" s="56">
        <v>0.15</v>
      </c>
    </row>
    <row r="21" spans="1:24" ht="15" customHeight="1">
      <c r="A21" s="10"/>
      <c r="B21" s="113"/>
      <c r="C21" s="114"/>
      <c r="D21" s="115"/>
      <c r="E21" s="104"/>
      <c r="F21" s="82"/>
      <c r="G21" s="13"/>
      <c r="H21" s="137" t="s">
        <v>604</v>
      </c>
      <c r="I21" s="750">
        <v>4.41</v>
      </c>
      <c r="J21" s="11" t="s">
        <v>603</v>
      </c>
      <c r="K21" s="32"/>
      <c r="L21" s="797"/>
      <c r="M21" s="798"/>
      <c r="N21" s="119"/>
      <c r="O21" s="32"/>
      <c r="R21" s="790" t="s">
        <v>93</v>
      </c>
      <c r="S21" s="752">
        <v>0</v>
      </c>
      <c r="T21" s="33">
        <f t="dataTable" ref="T21:X26" dt2D="1" dtr="0" r1="N25" r2="N24"/>
        <v>68315.150706149783</v>
      </c>
      <c r="U21" s="33">
        <v>61360.899188923417</v>
      </c>
      <c r="V21" s="33">
        <v>58669.081900557183</v>
      </c>
      <c r="W21" s="33">
        <v>54724.105287503742</v>
      </c>
      <c r="X21" s="33">
        <v>48387.441043454426</v>
      </c>
    </row>
    <row r="22" spans="1:24" ht="15" customHeight="1">
      <c r="A22" s="794" t="s">
        <v>94</v>
      </c>
      <c r="B22" s="794"/>
      <c r="C22" s="794"/>
      <c r="D22" s="794"/>
      <c r="E22" s="794"/>
      <c r="F22" s="794"/>
      <c r="G22" s="13"/>
      <c r="H22" s="137" t="s">
        <v>605</v>
      </c>
      <c r="I22" s="750">
        <v>7.71</v>
      </c>
      <c r="J22" s="11" t="s">
        <v>603</v>
      </c>
      <c r="K22" s="811" t="s">
        <v>90</v>
      </c>
      <c r="L22" s="812"/>
      <c r="M22" s="813"/>
      <c r="N22" s="133"/>
      <c r="O22" s="13"/>
      <c r="R22" s="791"/>
      <c r="S22" s="752">
        <v>5.0000000000000001E-3</v>
      </c>
      <c r="T22" s="33">
        <v>58460.274023278849</v>
      </c>
      <c r="U22" s="33">
        <v>51815.814425322314</v>
      </c>
      <c r="V22" s="33">
        <v>49244.145515034877</v>
      </c>
      <c r="W22" s="33">
        <v>45475.494511908852</v>
      </c>
      <c r="X22" s="33">
        <v>39422.672717591689</v>
      </c>
    </row>
    <row r="23" spans="1:24" ht="15" customHeight="1">
      <c r="A23" s="89">
        <v>1</v>
      </c>
      <c r="B23" s="89" t="s">
        <v>95</v>
      </c>
      <c r="C23" s="286">
        <v>0.01</v>
      </c>
      <c r="D23" s="89" t="s">
        <v>81</v>
      </c>
      <c r="E23" s="90"/>
      <c r="F23" s="89"/>
      <c r="G23" s="13"/>
      <c r="H23" s="137" t="s">
        <v>606</v>
      </c>
      <c r="I23" s="44">
        <v>9000</v>
      </c>
      <c r="J23" s="11" t="s">
        <v>597</v>
      </c>
      <c r="K23" s="35"/>
      <c r="L23" s="87" t="s">
        <v>92</v>
      </c>
      <c r="M23" s="87"/>
      <c r="N23" s="134">
        <v>0</v>
      </c>
      <c r="O23" s="118"/>
      <c r="R23" s="791"/>
      <c r="S23" s="752">
        <v>0.01</v>
      </c>
      <c r="T23" s="33">
        <v>48605.397340407508</v>
      </c>
      <c r="U23" s="33">
        <v>42270.729661721096</v>
      </c>
      <c r="V23" s="33">
        <v>39819.20912951263</v>
      </c>
      <c r="W23" s="362">
        <v>36226.883736313874</v>
      </c>
      <c r="X23" s="362">
        <v>30457.904391728895</v>
      </c>
    </row>
    <row r="24" spans="1:24" ht="15" customHeight="1">
      <c r="A24" s="11">
        <v>2</v>
      </c>
      <c r="B24" s="11" t="s">
        <v>96</v>
      </c>
      <c r="C24" s="287">
        <v>0.01</v>
      </c>
      <c r="D24" s="11" t="s">
        <v>97</v>
      </c>
      <c r="E24" s="44"/>
      <c r="F24" s="11"/>
      <c r="G24" s="13"/>
      <c r="H24" s="137" t="s">
        <v>607</v>
      </c>
      <c r="I24" s="44">
        <v>3300</v>
      </c>
      <c r="J24" s="11" t="s">
        <v>595</v>
      </c>
      <c r="K24" s="35"/>
      <c r="L24" s="814" t="s">
        <v>93</v>
      </c>
      <c r="M24" s="815"/>
      <c r="N24" s="134">
        <v>0</v>
      </c>
      <c r="O24" s="118"/>
      <c r="Q24" s="7"/>
      <c r="R24" s="791"/>
      <c r="S24" s="752">
        <v>1.4999999999999999E-2</v>
      </c>
      <c r="T24" s="450">
        <v>38750.520657536923</v>
      </c>
      <c r="U24" s="450">
        <v>32725.644898120285</v>
      </c>
      <c r="V24" s="451">
        <v>30394.272743990674</v>
      </c>
      <c r="W24" s="451">
        <v>26978.272960719361</v>
      </c>
      <c r="X24" s="451">
        <v>21503.473972688866</v>
      </c>
    </row>
    <row r="25" spans="1:24" ht="15" customHeight="1">
      <c r="A25" s="11">
        <v>3</v>
      </c>
      <c r="B25" s="11" t="s">
        <v>98</v>
      </c>
      <c r="C25" s="287">
        <v>0.01</v>
      </c>
      <c r="D25" s="11" t="s">
        <v>81</v>
      </c>
      <c r="E25" s="11"/>
      <c r="F25" s="11"/>
      <c r="G25" s="13">
        <v>2</v>
      </c>
      <c r="H25" s="14" t="s">
        <v>585</v>
      </c>
      <c r="I25" s="751">
        <v>0.02</v>
      </c>
      <c r="J25" s="11" t="s">
        <v>28</v>
      </c>
      <c r="K25" s="35"/>
      <c r="L25" s="814" t="s">
        <v>314</v>
      </c>
      <c r="M25" s="815"/>
      <c r="N25" s="98">
        <v>0</v>
      </c>
      <c r="O25" s="118"/>
      <c r="Q25" s="16"/>
      <c r="R25" s="791"/>
      <c r="S25" s="752">
        <v>0.02</v>
      </c>
      <c r="T25" s="451">
        <v>28896.374830420333</v>
      </c>
      <c r="U25" s="450">
        <v>23194.007842926861</v>
      </c>
      <c r="V25" s="450">
        <v>20988.093052940472</v>
      </c>
      <c r="W25" s="450">
        <v>17756.611563197512</v>
      </c>
      <c r="X25" s="450">
        <v>12569.559812793974</v>
      </c>
    </row>
    <row r="26" spans="1:24" ht="15" customHeight="1">
      <c r="A26" s="11">
        <v>4</v>
      </c>
      <c r="B26" s="11" t="s">
        <v>116</v>
      </c>
      <c r="C26" s="258">
        <v>4</v>
      </c>
      <c r="D26" s="11" t="s">
        <v>100</v>
      </c>
      <c r="E26" s="11"/>
      <c r="F26" s="11"/>
      <c r="G26" s="13">
        <v>3</v>
      </c>
      <c r="H26" s="14" t="s">
        <v>129</v>
      </c>
      <c r="I26" s="751">
        <v>0.03</v>
      </c>
      <c r="J26" s="11" t="s">
        <v>28</v>
      </c>
      <c r="K26" s="35"/>
      <c r="L26" s="87"/>
      <c r="M26" s="87"/>
      <c r="N26" s="98"/>
      <c r="O26" s="118"/>
      <c r="Q26" s="4"/>
      <c r="R26" s="792"/>
      <c r="S26" s="752">
        <v>2.5000000000000001E-2</v>
      </c>
      <c r="T26" s="450">
        <v>19069.650289612153</v>
      </c>
      <c r="U26" s="450">
        <v>13678.010128932918</v>
      </c>
      <c r="V26" s="450">
        <v>11592.607924056443</v>
      </c>
      <c r="W26" s="450">
        <v>8537.9881326975301</v>
      </c>
      <c r="X26" s="450">
        <v>3635.6456528992567</v>
      </c>
    </row>
    <row r="27" spans="1:24" ht="15" customHeight="1">
      <c r="A27" s="9">
        <v>5</v>
      </c>
      <c r="B27" s="11" t="s">
        <v>112</v>
      </c>
      <c r="C27" s="134">
        <v>0.85</v>
      </c>
      <c r="D27" s="11" t="s">
        <v>113</v>
      </c>
      <c r="E27" s="9"/>
      <c r="F27" s="9"/>
      <c r="G27" s="13">
        <v>4</v>
      </c>
      <c r="H27" s="14" t="s">
        <v>455</v>
      </c>
      <c r="I27" s="751">
        <v>5.0000000000000001E-3</v>
      </c>
      <c r="J27" s="11" t="s">
        <v>28</v>
      </c>
      <c r="K27" s="35"/>
      <c r="L27" s="87" t="s">
        <v>111</v>
      </c>
      <c r="M27" s="87"/>
      <c r="N27" s="98">
        <v>0</v>
      </c>
      <c r="O27" s="118"/>
      <c r="Q27" s="47"/>
    </row>
    <row r="28" spans="1:24" ht="15" customHeight="1">
      <c r="A28" s="9">
        <v>6</v>
      </c>
      <c r="B28" s="11" t="s">
        <v>99</v>
      </c>
      <c r="C28" s="258">
        <v>3</v>
      </c>
      <c r="D28" s="11" t="s">
        <v>100</v>
      </c>
      <c r="E28" s="9"/>
      <c r="F28" s="9"/>
      <c r="G28" s="13">
        <v>5</v>
      </c>
      <c r="H28" s="14" t="s">
        <v>75</v>
      </c>
      <c r="I28" s="751">
        <v>0.01</v>
      </c>
      <c r="J28" s="11" t="s">
        <v>28</v>
      </c>
      <c r="K28" s="35"/>
      <c r="L28" s="87" t="s">
        <v>315</v>
      </c>
      <c r="M28" s="87"/>
      <c r="N28" s="98">
        <v>0</v>
      </c>
      <c r="O28" s="118"/>
      <c r="Q28" s="47"/>
      <c r="R28" s="790" t="s">
        <v>36</v>
      </c>
      <c r="S28" s="272"/>
      <c r="T28" s="816" t="s">
        <v>610</v>
      </c>
      <c r="U28" s="816"/>
      <c r="V28" s="816"/>
      <c r="W28" s="816"/>
      <c r="X28" s="816"/>
    </row>
    <row r="29" spans="1:24" ht="15" customHeight="1">
      <c r="A29" s="794" t="s">
        <v>101</v>
      </c>
      <c r="B29" s="794"/>
      <c r="C29" s="794"/>
      <c r="D29" s="794"/>
      <c r="E29" s="794"/>
      <c r="F29" s="794"/>
      <c r="G29" s="13" t="s">
        <v>42</v>
      </c>
      <c r="H29" s="139" t="s">
        <v>258</v>
      </c>
      <c r="I29" s="13"/>
      <c r="J29" s="13"/>
      <c r="K29" s="473"/>
      <c r="L29" s="473"/>
      <c r="M29" s="473"/>
      <c r="N29" s="118"/>
      <c r="O29" s="118"/>
      <c r="Q29" s="47"/>
      <c r="R29" s="792"/>
      <c r="S29" s="361">
        <f>'NPV (Tong dau tu) -Bảng 7'!C21</f>
        <v>0.14357365231169023</v>
      </c>
      <c r="T29" s="42">
        <v>0</v>
      </c>
      <c r="U29" s="42">
        <v>0.03</v>
      </c>
      <c r="V29" s="42">
        <f>V20</f>
        <v>7.0000000000000007E-2</v>
      </c>
      <c r="W29" s="42">
        <f>W20</f>
        <v>0.1</v>
      </c>
      <c r="X29" s="337">
        <f>X20</f>
        <v>0.15</v>
      </c>
    </row>
    <row r="30" spans="1:24" ht="15" customHeight="1">
      <c r="A30" s="94">
        <v>1</v>
      </c>
      <c r="B30" s="89" t="s">
        <v>88</v>
      </c>
      <c r="C30" s="95">
        <v>0.2</v>
      </c>
      <c r="D30" s="89"/>
      <c r="E30" s="96"/>
      <c r="F30" s="89"/>
      <c r="G30" s="13"/>
      <c r="H30" s="11" t="s">
        <v>395</v>
      </c>
      <c r="I30" s="44">
        <v>15</v>
      </c>
      <c r="J30" s="11" t="s">
        <v>25</v>
      </c>
      <c r="K30" s="807" t="s">
        <v>115</v>
      </c>
      <c r="L30" s="808"/>
      <c r="M30" s="809"/>
      <c r="N30" s="119"/>
      <c r="O30" s="119"/>
      <c r="Q30" s="4"/>
      <c r="R30" s="790" t="s">
        <v>93</v>
      </c>
      <c r="S30" s="752">
        <v>0</v>
      </c>
      <c r="T30" s="60">
        <f t="dataTable" ref="T30:X35" dt2D="1" dtr="0" r1="N25" r2="N24" ca="1"/>
        <v>0.14357365231169023</v>
      </c>
      <c r="U30" s="60">
        <v>0.14377658835856855</v>
      </c>
      <c r="V30" s="60">
        <v>0.14405060828835661</v>
      </c>
      <c r="W30" s="60">
        <v>0.14425872501956341</v>
      </c>
      <c r="X30" s="60">
        <v>0.14461059458226969</v>
      </c>
    </row>
    <row r="31" spans="1:24" ht="15" customHeight="1">
      <c r="A31" s="465"/>
      <c r="B31" s="466"/>
      <c r="C31" s="468"/>
      <c r="D31" s="469"/>
      <c r="E31" s="470"/>
      <c r="F31" s="466"/>
      <c r="G31" s="32"/>
      <c r="H31" s="11" t="s">
        <v>33</v>
      </c>
      <c r="I31" s="44">
        <v>10</v>
      </c>
      <c r="J31" s="11" t="s">
        <v>25</v>
      </c>
      <c r="K31" s="35"/>
      <c r="L31" s="35" t="s">
        <v>30</v>
      </c>
      <c r="M31" s="35"/>
      <c r="N31" s="12">
        <f>'NPV (Tong dau tu) -Bảng 7'!C20</f>
        <v>68315.150706149783</v>
      </c>
      <c r="O31" s="119"/>
      <c r="Q31" s="4"/>
      <c r="R31" s="791"/>
      <c r="S31" s="752">
        <v>5.0000000000000001E-3</v>
      </c>
      <c r="T31" s="60">
        <v>0.13648830445566218</v>
      </c>
      <c r="U31" s="60">
        <v>0.13669744526446526</v>
      </c>
      <c r="V31" s="60">
        <v>0.13697983909263506</v>
      </c>
      <c r="W31" s="60">
        <v>0.1371943125522091</v>
      </c>
      <c r="X31" s="60">
        <v>0.13755692347561144</v>
      </c>
    </row>
    <row r="32" spans="1:24" ht="15" customHeight="1">
      <c r="A32" s="466"/>
      <c r="B32" s="466"/>
      <c r="C32" s="466"/>
      <c r="D32" s="471"/>
      <c r="E32" s="466"/>
      <c r="F32" s="472"/>
      <c r="G32" s="462"/>
      <c r="H32" s="463"/>
      <c r="I32" s="464"/>
      <c r="J32" s="464"/>
      <c r="K32" s="107"/>
      <c r="L32" s="35" t="s">
        <v>36</v>
      </c>
      <c r="M32" s="35"/>
      <c r="N32" s="755">
        <f>'NPV (Tong dau tu) -Bảng 7'!C21</f>
        <v>0.14357365231169023</v>
      </c>
      <c r="O32" s="119"/>
      <c r="Q32" s="72"/>
      <c r="R32" s="791"/>
      <c r="S32" s="752">
        <v>0.01</v>
      </c>
      <c r="T32" s="452">
        <v>0.12925558038550256</v>
      </c>
      <c r="U32" s="452">
        <v>0.12947115035212389</v>
      </c>
      <c r="V32" s="452">
        <v>0.1297622222353125</v>
      </c>
      <c r="W32" s="452">
        <v>0.12998328430205094</v>
      </c>
      <c r="X32" s="452">
        <v>0.13035703030623164</v>
      </c>
    </row>
    <row r="33" spans="1:24" ht="15" customHeight="1">
      <c r="A33" s="4"/>
      <c r="B33" s="4"/>
      <c r="C33" s="4"/>
      <c r="D33" s="4"/>
      <c r="E33" s="4"/>
      <c r="F33" s="4"/>
      <c r="G33" s="465"/>
      <c r="H33" s="466"/>
      <c r="I33" s="467"/>
      <c r="J33" s="466"/>
      <c r="K33" s="4"/>
      <c r="L33" s="4"/>
      <c r="M33" s="4"/>
      <c r="N33" s="38"/>
      <c r="O33" s="38"/>
      <c r="Q33" s="4"/>
      <c r="R33" s="791"/>
      <c r="S33" s="752">
        <v>1.4999999999999999E-2</v>
      </c>
      <c r="T33" s="452">
        <v>0.12186401571655217</v>
      </c>
      <c r="U33" s="452">
        <v>0.12208625465168695</v>
      </c>
      <c r="V33" s="452">
        <v>0.122386329764219</v>
      </c>
      <c r="W33" s="452">
        <v>0.12261422843358935</v>
      </c>
      <c r="X33" s="452">
        <v>0.12300835467558055</v>
      </c>
    </row>
    <row r="34" spans="1:24" ht="15" customHeight="1">
      <c r="G34" s="465"/>
      <c r="H34" s="466"/>
      <c r="I34" s="467"/>
      <c r="J34" s="466"/>
      <c r="K34" s="4"/>
      <c r="L34" s="4"/>
      <c r="M34" s="4"/>
      <c r="N34" s="38"/>
      <c r="O34" s="38"/>
      <c r="Q34" s="4"/>
      <c r="R34" s="791"/>
      <c r="S34" s="752">
        <v>0.02</v>
      </c>
      <c r="T34" s="452">
        <v>0.11430138592966742</v>
      </c>
      <c r="U34" s="452">
        <v>0.11453672667292104</v>
      </c>
      <c r="V34" s="452">
        <v>0.11485502458589278</v>
      </c>
      <c r="W34" s="452">
        <v>0.11509716222242759</v>
      </c>
      <c r="X34" s="452">
        <v>0.11550730056796732</v>
      </c>
    </row>
    <row r="35" spans="1:24" ht="15" customHeight="1">
      <c r="C35" s="100"/>
      <c r="D35" s="41"/>
      <c r="G35" s="466"/>
      <c r="H35" s="466"/>
      <c r="I35" s="467"/>
      <c r="J35" s="466"/>
      <c r="K35" s="4"/>
      <c r="L35" s="4"/>
      <c r="M35" s="4"/>
      <c r="N35" s="38"/>
      <c r="O35" s="38"/>
      <c r="Q35" s="47"/>
      <c r="R35" s="792"/>
      <c r="S35" s="752">
        <v>2.5000000000000001E-2</v>
      </c>
      <c r="T35" s="452">
        <v>0.10657516903142157</v>
      </c>
      <c r="U35" s="452">
        <v>0.10681857536040845</v>
      </c>
      <c r="V35" s="452">
        <v>0.10714776936318629</v>
      </c>
      <c r="W35" s="452">
        <v>0.10739818656088805</v>
      </c>
      <c r="X35" s="452">
        <v>0.10782233124314981</v>
      </c>
    </row>
    <row r="36" spans="1:24" ht="15" customHeight="1">
      <c r="C36" s="100"/>
      <c r="D36" s="41"/>
      <c r="Q36" s="47"/>
    </row>
    <row r="37" spans="1:24">
      <c r="C37" s="100"/>
      <c r="Q37" s="47"/>
    </row>
    <row r="38" spans="1:24">
      <c r="Q38" s="47"/>
    </row>
    <row r="39" spans="1:24">
      <c r="Q39" s="47"/>
    </row>
    <row r="40" spans="1:24" ht="13.5">
      <c r="Q40" s="99"/>
    </row>
    <row r="41" spans="1:24">
      <c r="Q41" s="78"/>
    </row>
    <row r="42" spans="1:24">
      <c r="Q42" s="4"/>
    </row>
    <row r="43" spans="1:24">
      <c r="Q43" s="4"/>
    </row>
    <row r="49" spans="6:19">
      <c r="G49" s="121"/>
    </row>
    <row r="50" spans="6:19">
      <c r="G50" s="121"/>
    </row>
    <row r="51" spans="6:19">
      <c r="F51" s="121"/>
      <c r="G51" s="121"/>
    </row>
    <row r="52" spans="6:19">
      <c r="F52" s="121"/>
      <c r="G52" s="121"/>
    </row>
    <row r="53" spans="6:19">
      <c r="F53" s="121"/>
      <c r="G53" s="121"/>
      <c r="K53" s="121"/>
      <c r="N53" s="1"/>
      <c r="O53" s="1"/>
    </row>
    <row r="54" spans="6:19">
      <c r="F54" s="121"/>
      <c r="G54" s="121"/>
      <c r="K54" s="121"/>
      <c r="N54" s="1"/>
      <c r="O54" s="1"/>
      <c r="S54" s="1"/>
    </row>
    <row r="55" spans="6:19">
      <c r="F55" s="121"/>
      <c r="G55" s="121"/>
      <c r="K55" s="121"/>
      <c r="N55" s="1"/>
      <c r="O55" s="1"/>
      <c r="S55" s="1"/>
    </row>
    <row r="56" spans="6:19">
      <c r="F56" s="121"/>
      <c r="K56" s="121"/>
      <c r="N56" s="1"/>
      <c r="O56" s="1"/>
      <c r="S56" s="1"/>
    </row>
    <row r="57" spans="6:19">
      <c r="F57" s="121"/>
      <c r="K57" s="121"/>
      <c r="N57" s="1"/>
      <c r="O57" s="1"/>
      <c r="S57" s="1"/>
    </row>
    <row r="58" spans="6:19">
      <c r="K58" s="121"/>
      <c r="N58" s="1"/>
      <c r="O58" s="1"/>
      <c r="S58" s="1"/>
    </row>
    <row r="59" spans="6:19">
      <c r="K59" s="121"/>
      <c r="N59" s="1"/>
      <c r="O59" s="1"/>
      <c r="S59" s="1"/>
    </row>
    <row r="60" spans="6:19">
      <c r="S60" s="1"/>
    </row>
  </sheetData>
  <mergeCells count="26">
    <mergeCell ref="R21:R26"/>
    <mergeCell ref="T28:X28"/>
    <mergeCell ref="S3:X3"/>
    <mergeCell ref="S8:X8"/>
    <mergeCell ref="T19:X19"/>
    <mergeCell ref="S2:X2"/>
    <mergeCell ref="S14:X14"/>
    <mergeCell ref="H5:J5"/>
    <mergeCell ref="L10:M10"/>
    <mergeCell ref="L11:M11"/>
    <mergeCell ref="I4:J4"/>
    <mergeCell ref="K30:M30"/>
    <mergeCell ref="L9:O9"/>
    <mergeCell ref="K22:M22"/>
    <mergeCell ref="L24:M24"/>
    <mergeCell ref="L25:M25"/>
    <mergeCell ref="R30:R35"/>
    <mergeCell ref="R28:R29"/>
    <mergeCell ref="A2:O2"/>
    <mergeCell ref="A29:F29"/>
    <mergeCell ref="A22:F22"/>
    <mergeCell ref="G3:J3"/>
    <mergeCell ref="K3:O3"/>
    <mergeCell ref="L17:M17"/>
    <mergeCell ref="L21:M21"/>
    <mergeCell ref="A3:F3"/>
  </mergeCells>
  <printOptions horizontalCentered="1"/>
  <pageMargins left="0.06" right="0" top="0.35433070866141703" bottom="0.27559055118110198" header="0.196850393700787" footer="0.196850393700787"/>
  <pageSetup paperSize="9" scale="80" orientation="landscape" r:id="rId1"/>
  <headerFooter alignWithMargins="0"/>
  <colBreaks count="2" manualBreakCount="2">
    <brk id="15" max="51" man="1"/>
    <brk id="17" max="51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2D050"/>
  </sheetPr>
  <dimension ref="A1:R55"/>
  <sheetViews>
    <sheetView topLeftCell="A25" workbookViewId="0">
      <selection activeCell="D54" sqref="D54"/>
    </sheetView>
  </sheetViews>
  <sheetFormatPr defaultRowHeight="15.75"/>
  <cols>
    <col min="1" max="1" width="5.140625" style="399" customWidth="1"/>
    <col min="2" max="2" width="40.140625" style="395" customWidth="1"/>
    <col min="3" max="3" width="25.140625" style="396" customWidth="1"/>
    <col min="4" max="4" width="24.42578125" style="395" customWidth="1"/>
    <col min="5" max="5" width="26.5703125" style="461" customWidth="1"/>
    <col min="6" max="6" width="6.140625" style="461" bestFit="1" customWidth="1"/>
    <col min="7" max="7" width="26.7109375" style="461" customWidth="1"/>
    <col min="8" max="8" width="18.140625" style="424" hidden="1" customWidth="1"/>
    <col min="9" max="9" width="19.7109375" style="534" hidden="1" customWidth="1"/>
    <col min="10" max="10" width="6.28515625" style="424" customWidth="1"/>
    <col min="11" max="11" width="14.28515625" style="425" customWidth="1"/>
    <col min="12" max="12" width="15.7109375" style="425" customWidth="1"/>
    <col min="13" max="17" width="9.140625" style="395"/>
    <col min="18" max="18" width="17.5703125" style="395" customWidth="1"/>
    <col min="19" max="16384" width="9.140625" style="395"/>
  </cols>
  <sheetData>
    <row r="1" spans="1:18" s="486" customFormat="1" ht="15">
      <c r="A1" s="820" t="s">
        <v>608</v>
      </c>
      <c r="B1" s="820"/>
      <c r="C1" s="820"/>
      <c r="D1" s="820"/>
      <c r="E1" s="481"/>
      <c r="F1" s="481"/>
      <c r="G1" s="482"/>
      <c r="H1" s="483"/>
      <c r="I1" s="484"/>
      <c r="J1" s="483"/>
      <c r="K1" s="485"/>
      <c r="L1" s="485"/>
    </row>
    <row r="2" spans="1:18" s="486" customFormat="1" ht="15">
      <c r="A2" s="821" t="s">
        <v>422</v>
      </c>
      <c r="B2" s="820"/>
      <c r="C2" s="820"/>
      <c r="D2" s="820"/>
      <c r="E2" s="481"/>
      <c r="F2" s="481"/>
      <c r="G2" s="482"/>
      <c r="H2" s="483"/>
      <c r="I2" s="484"/>
      <c r="J2" s="483"/>
      <c r="K2" s="485"/>
      <c r="L2" s="485"/>
    </row>
    <row r="3" spans="1:18" s="486" customFormat="1" ht="16.5" customHeight="1">
      <c r="A3" s="821" t="s">
        <v>423</v>
      </c>
      <c r="B3" s="821"/>
      <c r="C3" s="821"/>
      <c r="D3" s="821"/>
      <c r="E3" s="481"/>
      <c r="F3" s="481"/>
      <c r="G3" s="482"/>
      <c r="H3" s="483"/>
      <c r="I3" s="484"/>
      <c r="J3" s="483"/>
      <c r="K3" s="485"/>
      <c r="L3" s="485"/>
    </row>
    <row r="4" spans="1:18" s="486" customFormat="1" ht="5.25" customHeight="1">
      <c r="A4" s="487"/>
      <c r="B4" s="487"/>
      <c r="C4" s="487"/>
      <c r="D4" s="487"/>
      <c r="E4" s="481"/>
      <c r="F4" s="481"/>
      <c r="G4" s="482"/>
      <c r="H4" s="483"/>
      <c r="I4" s="484"/>
      <c r="J4" s="483"/>
      <c r="K4" s="485"/>
      <c r="L4" s="485"/>
    </row>
    <row r="5" spans="1:18" s="391" customFormat="1" ht="14.25" customHeight="1">
      <c r="A5" s="488" t="s">
        <v>397</v>
      </c>
      <c r="B5" s="489"/>
      <c r="C5" s="490"/>
      <c r="D5" s="491"/>
      <c r="E5" s="455"/>
      <c r="F5" s="455"/>
      <c r="G5" s="454"/>
      <c r="H5" s="404"/>
      <c r="I5" s="492"/>
      <c r="J5" s="404"/>
      <c r="K5" s="405"/>
      <c r="L5" s="405"/>
      <c r="R5" s="406"/>
    </row>
    <row r="6" spans="1:18" s="391" customFormat="1" ht="12.75" customHeight="1">
      <c r="A6" s="488"/>
      <c r="B6" s="489"/>
      <c r="C6" s="490"/>
      <c r="D6" s="491" t="s">
        <v>396</v>
      </c>
      <c r="E6" s="455"/>
      <c r="F6" s="455"/>
      <c r="G6" s="454"/>
      <c r="H6" s="404"/>
      <c r="I6" s="492"/>
      <c r="J6" s="404"/>
      <c r="K6" s="405"/>
      <c r="L6" s="405"/>
      <c r="R6" s="406"/>
    </row>
    <row r="7" spans="1:18" s="406" customFormat="1" ht="13.5" customHeight="1">
      <c r="A7" s="493" t="s">
        <v>3</v>
      </c>
      <c r="B7" s="494" t="s">
        <v>398</v>
      </c>
      <c r="C7" s="495" t="s">
        <v>399</v>
      </c>
      <c r="D7" s="496" t="s">
        <v>424</v>
      </c>
      <c r="E7" s="497" t="s">
        <v>399</v>
      </c>
      <c r="F7" s="497"/>
      <c r="G7" s="497" t="s">
        <v>400</v>
      </c>
      <c r="H7" s="404"/>
      <c r="I7" s="492"/>
      <c r="J7" s="404"/>
      <c r="K7" s="407"/>
      <c r="L7" s="407"/>
      <c r="M7" s="408"/>
      <c r="N7" s="408"/>
    </row>
    <row r="8" spans="1:18" s="410" customFormat="1" ht="15" customHeight="1">
      <c r="A8" s="493" t="s">
        <v>15</v>
      </c>
      <c r="B8" s="498" t="s">
        <v>257</v>
      </c>
      <c r="C8" s="499">
        <f>C9+C18</f>
        <v>54792.796016500011</v>
      </c>
      <c r="D8" s="499">
        <f>D9+D18</f>
        <v>60272.075618150018</v>
      </c>
      <c r="E8" s="456">
        <f>E9+E18</f>
        <v>54792796016.5</v>
      </c>
      <c r="F8" s="456"/>
      <c r="G8" s="456" t="s">
        <v>425</v>
      </c>
      <c r="H8" s="500" t="e">
        <f>SUM(H9,H16,H26)</f>
        <v>#REF!</v>
      </c>
      <c r="I8" s="501"/>
      <c r="J8" s="409"/>
      <c r="K8" s="411"/>
      <c r="L8" s="411"/>
    </row>
    <row r="9" spans="1:18" s="413" customFormat="1">
      <c r="A9" s="502" t="s">
        <v>403</v>
      </c>
      <c r="B9" s="503" t="s">
        <v>426</v>
      </c>
      <c r="C9" s="504">
        <f>SUM(C10:C17)</f>
        <v>15965.7965719</v>
      </c>
      <c r="D9" s="504">
        <f>SUM(D10:D17)</f>
        <v>17562.376229090001</v>
      </c>
      <c r="E9" s="457">
        <f>SUM(E10:E17)</f>
        <v>15965796571.900002</v>
      </c>
      <c r="F9" s="457"/>
      <c r="G9" s="457">
        <f>SUM(G10:G17)</f>
        <v>17562376229.09</v>
      </c>
      <c r="H9" s="505">
        <f>SUM(H10:H15)</f>
        <v>66158546092</v>
      </c>
      <c r="I9" s="506"/>
      <c r="J9" s="412"/>
      <c r="K9" s="414"/>
      <c r="L9" s="414"/>
    </row>
    <row r="10" spans="1:18" s="416" customFormat="1">
      <c r="A10" s="507"/>
      <c r="B10" s="508" t="s">
        <v>427</v>
      </c>
      <c r="C10" s="509">
        <f t="shared" ref="C10:C29" si="0">E10/1000000</f>
        <v>2141.8310815</v>
      </c>
      <c r="D10" s="509">
        <f t="shared" ref="D10:D17" si="1">G10/1000000</f>
        <v>2356.0141896499999</v>
      </c>
      <c r="E10" s="459">
        <v>2141831081.5</v>
      </c>
      <c r="F10" s="510">
        <v>1.1000000000000001</v>
      </c>
      <c r="G10" s="458">
        <f>E10*F10</f>
        <v>2356014189.6500001</v>
      </c>
      <c r="H10" s="415">
        <v>2408971068</v>
      </c>
      <c r="I10" s="511">
        <f t="shared" ref="I10:I29" si="2">E10-H10</f>
        <v>-267139986.5</v>
      </c>
      <c r="J10" s="415"/>
      <c r="K10" s="417"/>
      <c r="L10" s="417"/>
    </row>
    <row r="11" spans="1:18" s="416" customFormat="1">
      <c r="A11" s="512"/>
      <c r="B11" s="508" t="s">
        <v>428</v>
      </c>
      <c r="C11" s="509">
        <f t="shared" si="0"/>
        <v>3516.9317667</v>
      </c>
      <c r="D11" s="509">
        <f t="shared" si="1"/>
        <v>3868.62494337</v>
      </c>
      <c r="E11" s="459">
        <v>3516931766.6999998</v>
      </c>
      <c r="F11" s="510">
        <v>1.1000000000000001</v>
      </c>
      <c r="G11" s="458">
        <f t="shared" ref="G11:G35" si="3">E11*F11</f>
        <v>3868624943.3699999</v>
      </c>
      <c r="H11" s="415">
        <v>8473988172</v>
      </c>
      <c r="I11" s="511">
        <f t="shared" si="2"/>
        <v>-4957056405.3000002</v>
      </c>
      <c r="J11" s="415"/>
      <c r="K11" s="417"/>
      <c r="L11" s="417"/>
    </row>
    <row r="12" spans="1:18" s="416" customFormat="1">
      <c r="A12" s="512"/>
      <c r="B12" s="508" t="s">
        <v>429</v>
      </c>
      <c r="C12" s="509">
        <f t="shared" si="0"/>
        <v>1414.0853298</v>
      </c>
      <c r="D12" s="509">
        <f t="shared" si="1"/>
        <v>1555.49386278</v>
      </c>
      <c r="E12" s="459">
        <v>1414085329.8</v>
      </c>
      <c r="F12" s="510">
        <v>1.1000000000000001</v>
      </c>
      <c r="G12" s="458">
        <f t="shared" si="3"/>
        <v>1555493862.78</v>
      </c>
      <c r="H12" s="415">
        <v>11992391298</v>
      </c>
      <c r="I12" s="511">
        <f t="shared" si="2"/>
        <v>-10578305968.200001</v>
      </c>
      <c r="J12" s="415"/>
      <c r="K12" s="417"/>
      <c r="L12" s="417"/>
    </row>
    <row r="13" spans="1:18" s="416" customFormat="1">
      <c r="A13" s="512"/>
      <c r="B13" s="508" t="s">
        <v>430</v>
      </c>
      <c r="C13" s="509">
        <f t="shared" si="0"/>
        <v>3106.2386105999999</v>
      </c>
      <c r="D13" s="509">
        <f t="shared" si="1"/>
        <v>3416.8624716600002</v>
      </c>
      <c r="E13" s="459">
        <v>3106238610.5999999</v>
      </c>
      <c r="F13" s="510">
        <v>1.1000000000000001</v>
      </c>
      <c r="G13" s="458">
        <f t="shared" si="3"/>
        <v>3416862471.6600003</v>
      </c>
      <c r="H13" s="415">
        <v>18356999284</v>
      </c>
      <c r="I13" s="511">
        <f t="shared" si="2"/>
        <v>-15250760673.4</v>
      </c>
      <c r="J13" s="415"/>
      <c r="K13" s="417"/>
      <c r="L13" s="417"/>
    </row>
    <row r="14" spans="1:18" s="416" customFormat="1">
      <c r="A14" s="512"/>
      <c r="B14" s="508" t="s">
        <v>431</v>
      </c>
      <c r="C14" s="509">
        <f t="shared" si="0"/>
        <v>1908.7131627000001</v>
      </c>
      <c r="D14" s="509">
        <f t="shared" si="1"/>
        <v>2099.5844789700004</v>
      </c>
      <c r="E14" s="459">
        <v>1908713162.7</v>
      </c>
      <c r="F14" s="510">
        <v>1.1000000000000001</v>
      </c>
      <c r="G14" s="458">
        <f t="shared" si="3"/>
        <v>2099584478.9700003</v>
      </c>
      <c r="H14" s="415">
        <v>1442437716</v>
      </c>
      <c r="I14" s="511">
        <f t="shared" si="2"/>
        <v>466275446.70000005</v>
      </c>
      <c r="J14" s="415"/>
      <c r="K14" s="417"/>
      <c r="L14" s="417"/>
    </row>
    <row r="15" spans="1:18" s="416" customFormat="1">
      <c r="A15" s="507"/>
      <c r="B15" s="508" t="s">
        <v>432</v>
      </c>
      <c r="C15" s="509">
        <f t="shared" si="0"/>
        <v>1695.7042640999998</v>
      </c>
      <c r="D15" s="509">
        <f t="shared" si="1"/>
        <v>1865.27469051</v>
      </c>
      <c r="E15" s="459">
        <v>1695704264.0999999</v>
      </c>
      <c r="F15" s="510">
        <v>1.1000000000000001</v>
      </c>
      <c r="G15" s="458">
        <f t="shared" si="3"/>
        <v>1865274690.51</v>
      </c>
      <c r="H15" s="415">
        <v>23483758554</v>
      </c>
      <c r="I15" s="511">
        <f t="shared" si="2"/>
        <v>-21788054289.900002</v>
      </c>
      <c r="J15" s="415"/>
      <c r="K15" s="417"/>
      <c r="L15" s="417"/>
    </row>
    <row r="16" spans="1:18" s="416" customFormat="1">
      <c r="A16" s="513"/>
      <c r="B16" s="514" t="s">
        <v>433</v>
      </c>
      <c r="C16" s="509">
        <f t="shared" si="0"/>
        <v>455.34682710000004</v>
      </c>
      <c r="D16" s="509">
        <f t="shared" si="1"/>
        <v>500.88150981000007</v>
      </c>
      <c r="E16" s="459">
        <v>455346827.10000002</v>
      </c>
      <c r="F16" s="510">
        <v>1.1000000000000001</v>
      </c>
      <c r="G16" s="458">
        <f t="shared" si="3"/>
        <v>500881509.81000006</v>
      </c>
      <c r="H16" s="515">
        <f>SUM(H18:H25)</f>
        <v>229870670930</v>
      </c>
      <c r="I16" s="511">
        <f t="shared" si="2"/>
        <v>-229415324102.89999</v>
      </c>
      <c r="J16" s="415"/>
      <c r="K16" s="417"/>
      <c r="L16" s="417"/>
    </row>
    <row r="17" spans="1:12" s="416" customFormat="1">
      <c r="A17" s="513"/>
      <c r="B17" s="514" t="s">
        <v>434</v>
      </c>
      <c r="C17" s="509">
        <f t="shared" si="0"/>
        <v>1726.9455294000002</v>
      </c>
      <c r="D17" s="509">
        <f t="shared" si="1"/>
        <v>1899.6400823400002</v>
      </c>
      <c r="E17" s="459">
        <v>1726945529.4000001</v>
      </c>
      <c r="F17" s="510">
        <v>1.1000000000000001</v>
      </c>
      <c r="G17" s="458">
        <f t="shared" si="3"/>
        <v>1899640082.3400002</v>
      </c>
      <c r="H17" s="515" t="e">
        <f>SUM(H19:H26)</f>
        <v>#REF!</v>
      </c>
      <c r="I17" s="511" t="e">
        <f t="shared" si="2"/>
        <v>#REF!</v>
      </c>
      <c r="J17" s="415"/>
      <c r="K17" s="417"/>
      <c r="L17" s="417"/>
    </row>
    <row r="18" spans="1:12" s="413" customFormat="1">
      <c r="A18" s="516" t="s">
        <v>401</v>
      </c>
      <c r="B18" s="517" t="s">
        <v>435</v>
      </c>
      <c r="C18" s="518">
        <f>SUM(C19:C29)</f>
        <v>38826.999444600013</v>
      </c>
      <c r="D18" s="518">
        <f>SUM(D19:D29)</f>
        <v>42709.699389060013</v>
      </c>
      <c r="E18" s="519">
        <f>SUM(E19:E29)</f>
        <v>38826999444.599998</v>
      </c>
      <c r="F18" s="519"/>
      <c r="G18" s="519">
        <f>SUM(G19:G29)</f>
        <v>42709699389.060005</v>
      </c>
      <c r="H18" s="412">
        <v>10024292823</v>
      </c>
      <c r="I18" s="506">
        <f t="shared" si="2"/>
        <v>28802706621.599998</v>
      </c>
      <c r="J18" s="412"/>
      <c r="K18" s="414"/>
      <c r="L18" s="414"/>
    </row>
    <row r="19" spans="1:12" s="419" customFormat="1">
      <c r="A19" s="513"/>
      <c r="B19" s="520" t="s">
        <v>436</v>
      </c>
      <c r="C19" s="509">
        <f t="shared" si="0"/>
        <v>5845.0860629999997</v>
      </c>
      <c r="D19" s="509">
        <f t="shared" ref="D19:D29" si="4">G19/1000000</f>
        <v>6429.5946693000005</v>
      </c>
      <c r="E19" s="459">
        <v>5845086063</v>
      </c>
      <c r="F19" s="510">
        <v>1.1000000000000001</v>
      </c>
      <c r="G19" s="458">
        <f t="shared" si="3"/>
        <v>6429594669.3000002</v>
      </c>
      <c r="H19" s="418">
        <v>1756193595</v>
      </c>
      <c r="I19" s="511">
        <f t="shared" si="2"/>
        <v>4088892468</v>
      </c>
      <c r="J19" s="415"/>
      <c r="K19" s="420"/>
      <c r="L19" s="420"/>
    </row>
    <row r="20" spans="1:12" s="419" customFormat="1">
      <c r="A20" s="513"/>
      <c r="B20" s="521" t="s">
        <v>437</v>
      </c>
      <c r="C20" s="509">
        <f t="shared" si="0"/>
        <v>8206.8771465000009</v>
      </c>
      <c r="D20" s="509">
        <f t="shared" si="4"/>
        <v>9027.5648611500019</v>
      </c>
      <c r="E20" s="459">
        <v>8206877146.5</v>
      </c>
      <c r="F20" s="510">
        <v>1.1000000000000001</v>
      </c>
      <c r="G20" s="458">
        <f t="shared" si="3"/>
        <v>9027564861.1500015</v>
      </c>
      <c r="H20" s="418">
        <v>2634277000</v>
      </c>
      <c r="I20" s="511">
        <f t="shared" si="2"/>
        <v>5572600146.5</v>
      </c>
      <c r="J20" s="415"/>
      <c r="K20" s="420"/>
      <c r="L20" s="420"/>
    </row>
    <row r="21" spans="1:12" s="419" customFormat="1">
      <c r="A21" s="513"/>
      <c r="B21" s="521" t="s">
        <v>438</v>
      </c>
      <c r="C21" s="509">
        <f t="shared" si="0"/>
        <v>9819.1835730000003</v>
      </c>
      <c r="D21" s="509">
        <f t="shared" si="4"/>
        <v>10801.101930300001</v>
      </c>
      <c r="E21" s="459">
        <v>9819183573</v>
      </c>
      <c r="F21" s="510">
        <v>1.1000000000000001</v>
      </c>
      <c r="G21" s="458">
        <f t="shared" si="3"/>
        <v>10801101930.300001</v>
      </c>
      <c r="H21" s="418">
        <v>23558172345</v>
      </c>
      <c r="I21" s="511">
        <f t="shared" si="2"/>
        <v>-13738988772</v>
      </c>
      <c r="J21" s="418"/>
      <c r="K21" s="420"/>
      <c r="L21" s="420"/>
    </row>
    <row r="22" spans="1:12" s="419" customFormat="1">
      <c r="A22" s="513"/>
      <c r="B22" s="521" t="s">
        <v>439</v>
      </c>
      <c r="C22" s="509">
        <f t="shared" si="0"/>
        <v>9819.1835730000003</v>
      </c>
      <c r="D22" s="509">
        <f t="shared" si="4"/>
        <v>10801.101930300001</v>
      </c>
      <c r="E22" s="459">
        <v>9819183573</v>
      </c>
      <c r="F22" s="510">
        <v>1.1000000000000001</v>
      </c>
      <c r="G22" s="458">
        <f t="shared" si="3"/>
        <v>10801101930.300001</v>
      </c>
      <c r="H22" s="418">
        <v>827181439</v>
      </c>
      <c r="I22" s="511">
        <f t="shared" si="2"/>
        <v>8992002134</v>
      </c>
      <c r="J22" s="418"/>
      <c r="K22" s="420"/>
      <c r="L22" s="420"/>
    </row>
    <row r="23" spans="1:12" s="419" customFormat="1">
      <c r="A23" s="513"/>
      <c r="B23" s="521" t="s">
        <v>440</v>
      </c>
      <c r="C23" s="509">
        <f t="shared" si="0"/>
        <v>415.78361819999998</v>
      </c>
      <c r="D23" s="509">
        <f t="shared" si="4"/>
        <v>457.36198002000003</v>
      </c>
      <c r="E23" s="459">
        <v>415783618.19999999</v>
      </c>
      <c r="F23" s="510">
        <v>1.1000000000000001</v>
      </c>
      <c r="G23" s="458">
        <f t="shared" si="3"/>
        <v>457361980.02000004</v>
      </c>
      <c r="H23" s="418">
        <v>2722478314</v>
      </c>
      <c r="I23" s="511">
        <f t="shared" si="2"/>
        <v>-2306694695.8000002</v>
      </c>
      <c r="J23" s="418"/>
      <c r="K23" s="420"/>
      <c r="L23" s="420"/>
    </row>
    <row r="24" spans="1:12" s="419" customFormat="1">
      <c r="A24" s="513"/>
      <c r="B24" s="521" t="s">
        <v>441</v>
      </c>
      <c r="C24" s="509">
        <f t="shared" si="0"/>
        <v>465.56936280000002</v>
      </c>
      <c r="D24" s="509">
        <f t="shared" si="4"/>
        <v>512.12629908000008</v>
      </c>
      <c r="E24" s="459">
        <v>465569362.80000001</v>
      </c>
      <c r="F24" s="510">
        <v>1.1000000000000001</v>
      </c>
      <c r="G24" s="458">
        <f t="shared" si="3"/>
        <v>512126299.08000004</v>
      </c>
      <c r="H24" s="418">
        <v>718510324</v>
      </c>
      <c r="I24" s="511">
        <f t="shared" si="2"/>
        <v>-252940961.19999999</v>
      </c>
      <c r="J24" s="418"/>
      <c r="K24" s="420"/>
      <c r="L24" s="420"/>
    </row>
    <row r="25" spans="1:12" s="419" customFormat="1">
      <c r="A25" s="513"/>
      <c r="B25" s="521" t="s">
        <v>442</v>
      </c>
      <c r="C25" s="509">
        <f t="shared" si="0"/>
        <v>749.40471360000004</v>
      </c>
      <c r="D25" s="509">
        <f t="shared" si="4"/>
        <v>824.34518495999998</v>
      </c>
      <c r="E25" s="459">
        <v>749404713.60000002</v>
      </c>
      <c r="F25" s="510">
        <v>1.1000000000000001</v>
      </c>
      <c r="G25" s="458">
        <f t="shared" si="3"/>
        <v>824345184.96000004</v>
      </c>
      <c r="H25" s="418">
        <v>187629565090</v>
      </c>
      <c r="I25" s="511">
        <f t="shared" si="2"/>
        <v>-186880160376.39999</v>
      </c>
      <c r="J25" s="418"/>
      <c r="K25" s="420"/>
      <c r="L25" s="420"/>
    </row>
    <row r="26" spans="1:12" s="422" customFormat="1">
      <c r="A26" s="516"/>
      <c r="B26" s="514" t="s">
        <v>443</v>
      </c>
      <c r="C26" s="509">
        <f t="shared" si="0"/>
        <v>660.76983629999995</v>
      </c>
      <c r="D26" s="509">
        <f t="shared" si="4"/>
        <v>726.84681992999992</v>
      </c>
      <c r="E26" s="459">
        <v>660769836.29999995</v>
      </c>
      <c r="F26" s="510">
        <v>1.1000000000000001</v>
      </c>
      <c r="G26" s="458">
        <f t="shared" si="3"/>
        <v>726846819.92999995</v>
      </c>
      <c r="H26" s="522" t="e">
        <f>SUM(H27,#REF!)</f>
        <v>#REF!</v>
      </c>
      <c r="I26" s="506" t="e">
        <f t="shared" si="2"/>
        <v>#REF!</v>
      </c>
      <c r="J26" s="421"/>
      <c r="K26" s="423"/>
      <c r="L26" s="423"/>
    </row>
    <row r="27" spans="1:12" s="419" customFormat="1">
      <c r="A27" s="513"/>
      <c r="B27" s="521" t="s">
        <v>444</v>
      </c>
      <c r="C27" s="509">
        <f t="shared" si="0"/>
        <v>81.443005199999988</v>
      </c>
      <c r="D27" s="509">
        <f t="shared" si="4"/>
        <v>89.587305720000003</v>
      </c>
      <c r="E27" s="459">
        <v>81443005.199999988</v>
      </c>
      <c r="F27" s="510">
        <v>1.1000000000000001</v>
      </c>
      <c r="G27" s="458">
        <f t="shared" si="3"/>
        <v>89587305.719999999</v>
      </c>
      <c r="H27" s="515">
        <f>SUM(H28:H41)</f>
        <v>7504156462</v>
      </c>
      <c r="I27" s="511">
        <f t="shared" si="2"/>
        <v>-7422713456.8000002</v>
      </c>
      <c r="J27" s="418"/>
      <c r="K27" s="420"/>
      <c r="L27" s="420"/>
    </row>
    <row r="28" spans="1:12" s="419" customFormat="1">
      <c r="A28" s="513"/>
      <c r="B28" s="521" t="s">
        <v>445</v>
      </c>
      <c r="C28" s="509">
        <f t="shared" si="0"/>
        <v>1905.3393363</v>
      </c>
      <c r="D28" s="509">
        <f t="shared" si="4"/>
        <v>2095.8732699299999</v>
      </c>
      <c r="E28" s="459">
        <v>1905339336.3</v>
      </c>
      <c r="F28" s="510">
        <v>1.1000000000000001</v>
      </c>
      <c r="G28" s="458">
        <f t="shared" si="3"/>
        <v>2095873269.9300001</v>
      </c>
      <c r="H28" s="418">
        <v>1543794234</v>
      </c>
      <c r="I28" s="511">
        <f t="shared" si="2"/>
        <v>361545102.29999995</v>
      </c>
      <c r="J28" s="418"/>
      <c r="K28" s="420"/>
      <c r="L28" s="420"/>
    </row>
    <row r="29" spans="1:12" s="419" customFormat="1">
      <c r="A29" s="513"/>
      <c r="B29" s="521" t="s">
        <v>446</v>
      </c>
      <c r="C29" s="509">
        <f t="shared" si="0"/>
        <v>858.35921670000005</v>
      </c>
      <c r="D29" s="509">
        <f t="shared" si="4"/>
        <v>944.19513837000011</v>
      </c>
      <c r="E29" s="459">
        <v>858359216.70000005</v>
      </c>
      <c r="F29" s="510">
        <v>1.1000000000000001</v>
      </c>
      <c r="G29" s="458">
        <f t="shared" si="3"/>
        <v>944195138.37000012</v>
      </c>
      <c r="H29" s="418">
        <v>1039368753</v>
      </c>
      <c r="I29" s="511">
        <f t="shared" si="2"/>
        <v>-181009536.29999995</v>
      </c>
      <c r="J29" s="418"/>
      <c r="K29" s="420"/>
      <c r="L29" s="420"/>
    </row>
    <row r="30" spans="1:12" s="400" customFormat="1">
      <c r="A30" s="523" t="s">
        <v>74</v>
      </c>
      <c r="B30" s="524" t="s">
        <v>33</v>
      </c>
      <c r="C30" s="525">
        <f>SUM(C31:C35)-C36</f>
        <v>72518.542522883872</v>
      </c>
      <c r="D30" s="525">
        <f>SUM(D31:D35)-D36</f>
        <v>79770.396775172252</v>
      </c>
      <c r="E30" s="460">
        <f>SUM(E31:E35)-E36</f>
        <v>72518542522.883865</v>
      </c>
      <c r="F30" s="460"/>
      <c r="G30" s="460">
        <f>SUM(G31:G35)-G36</f>
        <v>79770396775.172272</v>
      </c>
      <c r="H30" s="402"/>
      <c r="I30" s="501"/>
      <c r="J30" s="402"/>
      <c r="K30" s="403"/>
      <c r="L30" s="403"/>
    </row>
    <row r="31" spans="1:12" s="419" customFormat="1">
      <c r="A31" s="513"/>
      <c r="B31" s="521" t="s">
        <v>447</v>
      </c>
      <c r="C31" s="509">
        <f t="shared" ref="C31:C38" si="5">E31/1000000</f>
        <v>61931.288015999999</v>
      </c>
      <c r="D31" s="509">
        <f t="shared" ref="D31:D40" si="6">G31/1000000</f>
        <v>68124.416817600009</v>
      </c>
      <c r="E31" s="459">
        <v>61931288016</v>
      </c>
      <c r="F31" s="510">
        <v>1.1000000000000001</v>
      </c>
      <c r="G31" s="458">
        <f t="shared" si="3"/>
        <v>68124416817.600006</v>
      </c>
      <c r="H31" s="418"/>
      <c r="I31" s="511"/>
      <c r="J31" s="418"/>
      <c r="K31" s="420"/>
      <c r="L31" s="420"/>
    </row>
    <row r="32" spans="1:12" s="419" customFormat="1">
      <c r="A32" s="513"/>
      <c r="B32" s="521" t="s">
        <v>448</v>
      </c>
      <c r="C32" s="509">
        <f t="shared" si="5"/>
        <v>2728.8039250000002</v>
      </c>
      <c r="D32" s="509">
        <f t="shared" si="6"/>
        <v>3001.6843175000004</v>
      </c>
      <c r="E32" s="459">
        <v>2728803925</v>
      </c>
      <c r="F32" s="510">
        <v>1.1000000000000001</v>
      </c>
      <c r="G32" s="458">
        <f t="shared" si="3"/>
        <v>3001684317.5000005</v>
      </c>
      <c r="H32" s="418"/>
      <c r="I32" s="511"/>
      <c r="J32" s="418"/>
      <c r="K32" s="420"/>
      <c r="L32" s="420"/>
    </row>
    <row r="33" spans="1:12" s="419" customFormat="1">
      <c r="A33" s="513"/>
      <c r="B33" s="521" t="s">
        <v>449</v>
      </c>
      <c r="C33" s="509">
        <f t="shared" si="5"/>
        <v>2181.8181818181815</v>
      </c>
      <c r="D33" s="509">
        <f t="shared" si="6"/>
        <v>2400</v>
      </c>
      <c r="E33" s="459">
        <v>2181818181.8181815</v>
      </c>
      <c r="F33" s="510">
        <v>1.1000000000000001</v>
      </c>
      <c r="G33" s="458">
        <f t="shared" si="3"/>
        <v>2400000000</v>
      </c>
      <c r="H33" s="418"/>
      <c r="I33" s="511"/>
      <c r="J33" s="418"/>
      <c r="K33" s="420"/>
      <c r="L33" s="420"/>
    </row>
    <row r="34" spans="1:12" s="419" customFormat="1">
      <c r="A34" s="513"/>
      <c r="B34" s="521" t="s">
        <v>450</v>
      </c>
      <c r="C34" s="509">
        <f t="shared" si="5"/>
        <v>2223.3684704045454</v>
      </c>
      <c r="D34" s="509">
        <f t="shared" si="6"/>
        <v>2445.7053174450002</v>
      </c>
      <c r="E34" s="459">
        <v>2223368470.4045453</v>
      </c>
      <c r="F34" s="510">
        <v>1.1000000000000001</v>
      </c>
      <c r="G34" s="458">
        <f t="shared" si="3"/>
        <v>2445705317.4450002</v>
      </c>
      <c r="H34" s="418"/>
      <c r="I34" s="511"/>
      <c r="J34" s="418"/>
      <c r="K34" s="420"/>
      <c r="L34" s="420"/>
    </row>
    <row r="35" spans="1:12" s="419" customFormat="1">
      <c r="A35" s="513"/>
      <c r="B35" s="521" t="s">
        <v>451</v>
      </c>
      <c r="C35" s="509">
        <f t="shared" si="5"/>
        <v>6906.5278593222702</v>
      </c>
      <c r="D35" s="509">
        <f t="shared" si="6"/>
        <v>7597.1806452544988</v>
      </c>
      <c r="E35" s="459">
        <v>6906527859.3222704</v>
      </c>
      <c r="F35" s="510">
        <v>1.1000000000000001</v>
      </c>
      <c r="G35" s="458">
        <f t="shared" si="3"/>
        <v>7597180645.2544985</v>
      </c>
      <c r="H35" s="418"/>
      <c r="I35" s="511"/>
      <c r="J35" s="418"/>
      <c r="K35" s="420"/>
      <c r="L35" s="420"/>
    </row>
    <row r="36" spans="1:12" s="419" customFormat="1">
      <c r="A36" s="513"/>
      <c r="B36" s="521" t="s">
        <v>452</v>
      </c>
      <c r="C36" s="509">
        <f>E36/1000000</f>
        <v>3453.2639296611364</v>
      </c>
      <c r="D36" s="509">
        <f t="shared" si="6"/>
        <v>3798.5903226272508</v>
      </c>
      <c r="E36" s="459">
        <v>3453263929.6611366</v>
      </c>
      <c r="F36" s="510">
        <v>1.1000000000000001</v>
      </c>
      <c r="G36" s="458">
        <f>E36*F36</f>
        <v>3798590322.6272507</v>
      </c>
      <c r="H36" s="418"/>
      <c r="I36" s="511"/>
      <c r="J36" s="418"/>
      <c r="K36" s="420"/>
      <c r="L36" s="420"/>
    </row>
    <row r="37" spans="1:12" s="422" customFormat="1" ht="15" customHeight="1">
      <c r="A37" s="523" t="s">
        <v>42</v>
      </c>
      <c r="B37" s="524" t="s">
        <v>453</v>
      </c>
      <c r="C37" s="525">
        <f>E37/1000000</f>
        <v>636.55832146430794</v>
      </c>
      <c r="D37" s="525">
        <f t="shared" si="6"/>
        <v>700.21415361073878</v>
      </c>
      <c r="E37" s="460">
        <v>636558321.4643079</v>
      </c>
      <c r="F37" s="510">
        <v>1.1000000000000001</v>
      </c>
      <c r="G37" s="526">
        <f>E37*F37</f>
        <v>700214153.61073875</v>
      </c>
      <c r="H37" s="421"/>
      <c r="I37" s="506"/>
      <c r="J37" s="421"/>
      <c r="K37" s="423"/>
      <c r="L37" s="423"/>
    </row>
    <row r="38" spans="1:12" s="422" customFormat="1" ht="15" customHeight="1">
      <c r="A38" s="523" t="s">
        <v>46</v>
      </c>
      <c r="B38" s="524" t="s">
        <v>454</v>
      </c>
      <c r="C38" s="525">
        <f t="shared" si="5"/>
        <v>1272.7950881230283</v>
      </c>
      <c r="D38" s="518">
        <f t="shared" si="6"/>
        <v>1400.0745969353311</v>
      </c>
      <c r="E38" s="460">
        <v>1272795088.1230283</v>
      </c>
      <c r="F38" s="510">
        <v>1.1000000000000001</v>
      </c>
      <c r="G38" s="526">
        <f>E38*F38</f>
        <v>1400074596.9353311</v>
      </c>
      <c r="H38" s="421"/>
      <c r="I38" s="506"/>
      <c r="J38" s="421"/>
      <c r="K38" s="423"/>
      <c r="L38" s="423"/>
    </row>
    <row r="39" spans="1:12" s="422" customFormat="1" ht="15" customHeight="1">
      <c r="A39" s="523" t="s">
        <v>65</v>
      </c>
      <c r="B39" s="524" t="s">
        <v>455</v>
      </c>
      <c r="C39" s="518">
        <f>E39/1000000</f>
        <v>10955.794489587981</v>
      </c>
      <c r="D39" s="518">
        <f t="shared" si="6"/>
        <v>12051.37393854678</v>
      </c>
      <c r="E39" s="460">
        <v>10955794489.58798</v>
      </c>
      <c r="F39" s="510">
        <v>1.1000000000000001</v>
      </c>
      <c r="G39" s="526">
        <f>E39*F39</f>
        <v>12051373938.54678</v>
      </c>
      <c r="H39" s="421"/>
      <c r="I39" s="506"/>
      <c r="J39" s="421"/>
      <c r="K39" s="423"/>
      <c r="L39" s="423"/>
    </row>
    <row r="40" spans="1:12" s="422" customFormat="1" ht="15" customHeight="1">
      <c r="A40" s="523" t="s">
        <v>456</v>
      </c>
      <c r="B40" s="524" t="s">
        <v>457</v>
      </c>
      <c r="C40" s="518">
        <f>E40/1000000</f>
        <v>1401.7681219203691</v>
      </c>
      <c r="D40" s="518">
        <f t="shared" si="6"/>
        <v>1541.9449341124061</v>
      </c>
      <c r="E40" s="460">
        <v>1401768121.9203691</v>
      </c>
      <c r="F40" s="510">
        <v>1.1000000000000001</v>
      </c>
      <c r="G40" s="526">
        <f>E40*F40</f>
        <v>1541944934.1124063</v>
      </c>
      <c r="H40" s="421">
        <v>3041651267</v>
      </c>
      <c r="I40" s="506">
        <f>E40-H40</f>
        <v>-1639883145.0796309</v>
      </c>
      <c r="J40" s="421"/>
      <c r="K40" s="423"/>
      <c r="L40" s="423"/>
    </row>
    <row r="41" spans="1:12" s="400" customFormat="1" ht="15" customHeight="1">
      <c r="A41" s="523" t="s">
        <v>458</v>
      </c>
      <c r="B41" s="524" t="s">
        <v>459</v>
      </c>
      <c r="C41" s="527">
        <f>E41/1000000</f>
        <v>15772.5</v>
      </c>
      <c r="D41" s="528">
        <f>C41</f>
        <v>15772.5</v>
      </c>
      <c r="E41" s="529">
        <v>15772500000</v>
      </c>
      <c r="F41" s="529"/>
      <c r="G41" s="529">
        <f>E41</f>
        <v>15772500000</v>
      </c>
      <c r="H41" s="402">
        <v>1879342208</v>
      </c>
      <c r="I41" s="501">
        <f>E41-H41</f>
        <v>13893157792</v>
      </c>
      <c r="J41" s="402"/>
      <c r="K41" s="403"/>
      <c r="L41" s="403"/>
    </row>
    <row r="42" spans="1:12" ht="15" customHeight="1">
      <c r="A42" s="530"/>
      <c r="B42" s="498" t="s">
        <v>460</v>
      </c>
      <c r="C42" s="531">
        <f>C8+C30+C37+C38+C39+C40+C41</f>
        <v>157350.7545604796</v>
      </c>
      <c r="D42" s="531">
        <f>D8+D30+D37+D38+D39+D40+D41</f>
        <v>171508.58001652753</v>
      </c>
      <c r="E42" s="532"/>
      <c r="F42" s="532"/>
      <c r="G42" s="532"/>
      <c r="H42" s="533" t="e">
        <f>SUM(#REF!,#REF!,H8)</f>
        <v>#REF!</v>
      </c>
    </row>
    <row r="43" spans="1:12">
      <c r="A43" s="394" t="s">
        <v>402</v>
      </c>
    </row>
    <row r="44" spans="1:12">
      <c r="A44" s="394"/>
      <c r="D44" s="392" t="s">
        <v>396</v>
      </c>
    </row>
    <row r="45" spans="1:12" ht="0.75" customHeight="1">
      <c r="A45" s="394"/>
      <c r="D45" s="392"/>
    </row>
    <row r="46" spans="1:12" ht="31.5">
      <c r="A46" s="393" t="s">
        <v>3</v>
      </c>
      <c r="B46" s="275" t="s">
        <v>398</v>
      </c>
      <c r="C46" s="276" t="s">
        <v>399</v>
      </c>
      <c r="D46" s="276" t="s">
        <v>461</v>
      </c>
    </row>
    <row r="47" spans="1:12">
      <c r="A47" s="397" t="s">
        <v>403</v>
      </c>
      <c r="B47" s="279" t="s">
        <v>404</v>
      </c>
      <c r="C47" s="535">
        <f>C8+C37+C38+C39+C40+C41</f>
        <v>84832.212037595687</v>
      </c>
      <c r="D47" s="535">
        <f>D8+D37+D38+D39+D40+D41</f>
        <v>91738.183241355277</v>
      </c>
    </row>
    <row r="48" spans="1:12">
      <c r="A48" s="397" t="s">
        <v>401</v>
      </c>
      <c r="B48" s="279" t="s">
        <v>462</v>
      </c>
      <c r="C48" s="535">
        <f>C30</f>
        <v>72518.542522883872</v>
      </c>
      <c r="D48" s="535">
        <f>D30</f>
        <v>79770.396775172252</v>
      </c>
    </row>
    <row r="49" spans="1:12">
      <c r="A49" s="397"/>
      <c r="B49" s="275" t="s">
        <v>262</v>
      </c>
      <c r="C49" s="398">
        <f>SUM(C47:C48)</f>
        <v>157350.75456047955</v>
      </c>
      <c r="D49" s="398">
        <f>SUM(D47:D48)</f>
        <v>171508.58001652753</v>
      </c>
    </row>
    <row r="51" spans="1:12" s="400" customFormat="1">
      <c r="A51" s="536"/>
      <c r="B51" s="536"/>
      <c r="D51" s="537"/>
      <c r="E51" s="453"/>
      <c r="F51" s="453"/>
      <c r="G51" s="453"/>
      <c r="H51" s="402"/>
      <c r="I51" s="538"/>
      <c r="J51" s="402"/>
      <c r="K51" s="403"/>
      <c r="L51" s="403"/>
    </row>
    <row r="54" spans="1:12">
      <c r="D54" s="539"/>
    </row>
    <row r="55" spans="1:12" s="422" customFormat="1">
      <c r="A55" s="540"/>
      <c r="B55" s="540"/>
      <c r="D55" s="539"/>
      <c r="E55" s="541"/>
      <c r="F55" s="541"/>
      <c r="G55" s="541"/>
      <c r="H55" s="421"/>
      <c r="I55" s="542"/>
      <c r="J55" s="421"/>
      <c r="K55" s="423"/>
      <c r="L55" s="423"/>
    </row>
  </sheetData>
  <mergeCells count="3">
    <mergeCell ref="A1:D1"/>
    <mergeCell ref="A2:D2"/>
    <mergeCell ref="A3:D3"/>
  </mergeCells>
  <pageMargins left="0.51181102362204722" right="0.31496062992125984" top="0" bottom="0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2D050"/>
  </sheetPr>
  <dimension ref="A1:U14"/>
  <sheetViews>
    <sheetView showGridLines="0" zoomScale="90" zoomScaleNormal="90" zoomScaleSheetLayoutView="100" workbookViewId="0">
      <selection activeCell="E12" sqref="E12"/>
    </sheetView>
  </sheetViews>
  <sheetFormatPr defaultColWidth="13" defaultRowHeight="16.5"/>
  <cols>
    <col min="1" max="1" width="4" style="435" customWidth="1"/>
    <col min="2" max="2" width="21.42578125" style="436" bestFit="1" customWidth="1"/>
    <col min="3" max="3" width="10" style="436" bestFit="1" customWidth="1"/>
    <col min="4" max="4" width="11.5703125" style="547" customWidth="1"/>
    <col min="5" max="19" width="9.85546875" style="436" customWidth="1"/>
    <col min="20" max="20" width="10" style="544" bestFit="1" customWidth="1"/>
    <col min="21" max="16384" width="13" style="436"/>
  </cols>
  <sheetData>
    <row r="1" spans="1:21" s="426" customFormat="1" ht="45" customHeight="1">
      <c r="A1" s="822" t="s">
        <v>405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543"/>
      <c r="T1" s="544"/>
    </row>
    <row r="2" spans="1:21" s="544" customFormat="1" ht="44.25" customHeight="1">
      <c r="A2" s="545"/>
      <c r="B2" s="546"/>
      <c r="D2" s="547"/>
      <c r="E2" s="548">
        <v>2018</v>
      </c>
      <c r="F2" s="548">
        <v>2019</v>
      </c>
      <c r="G2" s="548">
        <v>2020</v>
      </c>
      <c r="H2" s="548">
        <v>2021</v>
      </c>
      <c r="I2" s="548">
        <v>2022</v>
      </c>
      <c r="J2" s="548">
        <v>2023</v>
      </c>
      <c r="K2" s="548">
        <v>2024</v>
      </c>
      <c r="L2" s="548">
        <v>2025</v>
      </c>
      <c r="M2" s="548">
        <v>2026</v>
      </c>
      <c r="N2" s="548">
        <v>2027</v>
      </c>
      <c r="O2" s="548">
        <v>2028</v>
      </c>
      <c r="P2" s="548">
        <v>2029</v>
      </c>
      <c r="Q2" s="548">
        <v>2030</v>
      </c>
      <c r="R2" s="548">
        <v>2031</v>
      </c>
      <c r="S2" s="548">
        <v>2032</v>
      </c>
    </row>
    <row r="3" spans="1:21" s="431" customFormat="1" ht="51" customHeight="1">
      <c r="A3" s="823" t="s">
        <v>3</v>
      </c>
      <c r="B3" s="823" t="s">
        <v>406</v>
      </c>
      <c r="C3" s="823" t="s">
        <v>407</v>
      </c>
      <c r="D3" s="824" t="s">
        <v>408</v>
      </c>
      <c r="E3" s="823" t="s">
        <v>409</v>
      </c>
      <c r="F3" s="823"/>
      <c r="G3" s="823"/>
      <c r="H3" s="823"/>
      <c r="I3" s="823"/>
      <c r="J3" s="823"/>
      <c r="K3" s="823"/>
      <c r="L3" s="823"/>
      <c r="M3" s="823"/>
      <c r="N3" s="823"/>
      <c r="O3" s="823"/>
      <c r="P3" s="823"/>
      <c r="Q3" s="823"/>
      <c r="R3" s="823"/>
      <c r="S3" s="823"/>
      <c r="T3" s="549"/>
      <c r="U3" s="430"/>
    </row>
    <row r="4" spans="1:21" s="432" customFormat="1" ht="54.75" customHeight="1">
      <c r="A4" s="823"/>
      <c r="B4" s="823"/>
      <c r="C4" s="823"/>
      <c r="D4" s="824"/>
      <c r="E4" s="429">
        <v>1</v>
      </c>
      <c r="F4" s="429">
        <v>2</v>
      </c>
      <c r="G4" s="429">
        <v>3</v>
      </c>
      <c r="H4" s="429">
        <v>4</v>
      </c>
      <c r="I4" s="429">
        <v>5</v>
      </c>
      <c r="J4" s="429">
        <v>6</v>
      </c>
      <c r="K4" s="429">
        <v>7</v>
      </c>
      <c r="L4" s="429">
        <v>8</v>
      </c>
      <c r="M4" s="429">
        <v>9</v>
      </c>
      <c r="N4" s="429">
        <v>10</v>
      </c>
      <c r="O4" s="429">
        <v>11</v>
      </c>
      <c r="P4" s="429">
        <v>12</v>
      </c>
      <c r="Q4" s="429">
        <v>13</v>
      </c>
      <c r="R4" s="429">
        <v>14</v>
      </c>
      <c r="S4" s="429">
        <v>15</v>
      </c>
      <c r="T4" s="550"/>
    </row>
    <row r="5" spans="1:21" s="433" customFormat="1" ht="38.25" customHeight="1">
      <c r="A5" s="551">
        <v>1</v>
      </c>
      <c r="B5" s="552" t="s">
        <v>463</v>
      </c>
      <c r="C5" s="401">
        <f>'[4]Tổng mức đầu tư-Bảng 1'!D47</f>
        <v>91738.183241355277</v>
      </c>
      <c r="D5" s="553">
        <v>15</v>
      </c>
      <c r="E5" s="401">
        <f>C5/D5</f>
        <v>6115.8788827570188</v>
      </c>
      <c r="F5" s="401">
        <f>E5</f>
        <v>6115.8788827570188</v>
      </c>
      <c r="G5" s="401">
        <f t="shared" ref="G5:S6" si="0">F5</f>
        <v>6115.8788827570188</v>
      </c>
      <c r="H5" s="401">
        <f t="shared" si="0"/>
        <v>6115.8788827570188</v>
      </c>
      <c r="I5" s="401">
        <f t="shared" si="0"/>
        <v>6115.8788827570188</v>
      </c>
      <c r="J5" s="401">
        <f t="shared" si="0"/>
        <v>6115.8788827570188</v>
      </c>
      <c r="K5" s="401">
        <f t="shared" si="0"/>
        <v>6115.8788827570188</v>
      </c>
      <c r="L5" s="401">
        <f t="shared" si="0"/>
        <v>6115.8788827570188</v>
      </c>
      <c r="M5" s="401">
        <f t="shared" si="0"/>
        <v>6115.8788827570188</v>
      </c>
      <c r="N5" s="401">
        <f t="shared" si="0"/>
        <v>6115.8788827570188</v>
      </c>
      <c r="O5" s="401">
        <f t="shared" si="0"/>
        <v>6115.8788827570188</v>
      </c>
      <c r="P5" s="401">
        <f t="shared" si="0"/>
        <v>6115.8788827570188</v>
      </c>
      <c r="Q5" s="401">
        <f t="shared" si="0"/>
        <v>6115.8788827570188</v>
      </c>
      <c r="R5" s="401">
        <f t="shared" si="0"/>
        <v>6115.8788827570188</v>
      </c>
      <c r="S5" s="401">
        <f t="shared" si="0"/>
        <v>6115.8788827570188</v>
      </c>
      <c r="T5" s="554">
        <f>SUM(E5:S5)</f>
        <v>91738.183241355291</v>
      </c>
    </row>
    <row r="6" spans="1:21" s="433" customFormat="1" ht="38.25" customHeight="1">
      <c r="A6" s="551">
        <v>2</v>
      </c>
      <c r="B6" s="552" t="s">
        <v>462</v>
      </c>
      <c r="C6" s="401">
        <f>'[4]Tổng mức đầu tư-Bảng 1'!D48</f>
        <v>79770.396775172252</v>
      </c>
      <c r="D6" s="553">
        <v>10</v>
      </c>
      <c r="E6" s="401">
        <f>C6/D6</f>
        <v>7977.0396775172248</v>
      </c>
      <c r="F6" s="401">
        <f>E6</f>
        <v>7977.0396775172248</v>
      </c>
      <c r="G6" s="401">
        <f t="shared" si="0"/>
        <v>7977.0396775172248</v>
      </c>
      <c r="H6" s="401">
        <f t="shared" si="0"/>
        <v>7977.0396775172248</v>
      </c>
      <c r="I6" s="401">
        <f t="shared" si="0"/>
        <v>7977.0396775172248</v>
      </c>
      <c r="J6" s="401">
        <f t="shared" si="0"/>
        <v>7977.0396775172248</v>
      </c>
      <c r="K6" s="401">
        <f t="shared" si="0"/>
        <v>7977.0396775172248</v>
      </c>
      <c r="L6" s="401">
        <f t="shared" si="0"/>
        <v>7977.0396775172248</v>
      </c>
      <c r="M6" s="401">
        <f t="shared" si="0"/>
        <v>7977.0396775172248</v>
      </c>
      <c r="N6" s="401">
        <f t="shared" si="0"/>
        <v>7977.0396775172248</v>
      </c>
      <c r="O6" s="401">
        <v>0</v>
      </c>
      <c r="P6" s="401">
        <v>0</v>
      </c>
      <c r="Q6" s="401">
        <v>0</v>
      </c>
      <c r="R6" s="401">
        <v>0</v>
      </c>
      <c r="S6" s="401">
        <v>0</v>
      </c>
      <c r="T6" s="554">
        <f>SUM(E6:S6)</f>
        <v>79770.396775172252</v>
      </c>
    </row>
    <row r="7" spans="1:21" s="560" customFormat="1" ht="38.25" customHeight="1">
      <c r="A7" s="555"/>
      <c r="B7" s="556" t="s">
        <v>464</v>
      </c>
      <c r="C7" s="557">
        <f>C6</f>
        <v>79770.396775172252</v>
      </c>
      <c r="D7" s="558">
        <v>10</v>
      </c>
      <c r="E7" s="557"/>
      <c r="F7" s="557"/>
      <c r="G7" s="557"/>
      <c r="H7" s="557"/>
      <c r="I7" s="557"/>
      <c r="J7" s="557"/>
      <c r="K7" s="557"/>
      <c r="L7" s="557"/>
      <c r="M7" s="557"/>
      <c r="N7" s="557"/>
      <c r="O7" s="557">
        <f>$C$7/$D$7</f>
        <v>7977.0396775172248</v>
      </c>
      <c r="P7" s="557">
        <f>$C$7/$D$7</f>
        <v>7977.0396775172248</v>
      </c>
      <c r="Q7" s="557">
        <f>$C$7/$D$7</f>
        <v>7977.0396775172248</v>
      </c>
      <c r="R7" s="557">
        <f>$C$7/$D$7</f>
        <v>7977.0396775172248</v>
      </c>
      <c r="S7" s="557">
        <f>$C$7/$D$7</f>
        <v>7977.0396775172248</v>
      </c>
      <c r="T7" s="559">
        <f>SUM(E7:S7)</f>
        <v>39885.198387586126</v>
      </c>
    </row>
    <row r="8" spans="1:21" s="434" customFormat="1" ht="38.25" customHeight="1">
      <c r="A8" s="561"/>
      <c r="B8" s="562" t="s">
        <v>5</v>
      </c>
      <c r="C8" s="562">
        <f>SUM(C5:C6)</f>
        <v>171508.58001652753</v>
      </c>
      <c r="D8" s="563"/>
      <c r="E8" s="562">
        <f>SUM(E5:E7)</f>
        <v>14092.918560274244</v>
      </c>
      <c r="F8" s="562">
        <f t="shared" ref="F8:S8" si="1">SUM(F5:F7)</f>
        <v>14092.918560274244</v>
      </c>
      <c r="G8" s="562">
        <f t="shared" si="1"/>
        <v>14092.918560274244</v>
      </c>
      <c r="H8" s="562">
        <f t="shared" si="1"/>
        <v>14092.918560274244</v>
      </c>
      <c r="I8" s="562">
        <f t="shared" si="1"/>
        <v>14092.918560274244</v>
      </c>
      <c r="J8" s="562">
        <f t="shared" si="1"/>
        <v>14092.918560274244</v>
      </c>
      <c r="K8" s="562">
        <f t="shared" si="1"/>
        <v>14092.918560274244</v>
      </c>
      <c r="L8" s="562">
        <f t="shared" si="1"/>
        <v>14092.918560274244</v>
      </c>
      <c r="M8" s="562">
        <f t="shared" si="1"/>
        <v>14092.918560274244</v>
      </c>
      <c r="N8" s="562">
        <f t="shared" si="1"/>
        <v>14092.918560274244</v>
      </c>
      <c r="O8" s="562">
        <f t="shared" si="1"/>
        <v>14092.918560274244</v>
      </c>
      <c r="P8" s="562">
        <f t="shared" si="1"/>
        <v>14092.918560274244</v>
      </c>
      <c r="Q8" s="562">
        <f t="shared" si="1"/>
        <v>14092.918560274244</v>
      </c>
      <c r="R8" s="562">
        <f t="shared" si="1"/>
        <v>14092.918560274244</v>
      </c>
      <c r="S8" s="562">
        <f t="shared" si="1"/>
        <v>14092.918560274244</v>
      </c>
      <c r="T8" s="564">
        <f>SUM(E8:S8)</f>
        <v>211393.77840411357</v>
      </c>
    </row>
    <row r="9" spans="1:21" s="428" customFormat="1" ht="23.25">
      <c r="A9" s="427"/>
      <c r="D9" s="547"/>
      <c r="T9" s="544"/>
    </row>
    <row r="10" spans="1:21" s="566" customFormat="1" ht="18.75">
      <c r="A10" s="565"/>
      <c r="B10" s="825"/>
      <c r="C10" s="825"/>
      <c r="D10" s="435"/>
      <c r="H10" s="826"/>
      <c r="I10" s="826"/>
      <c r="O10" s="827"/>
      <c r="P10" s="827"/>
      <c r="Q10" s="827"/>
      <c r="T10" s="567"/>
    </row>
    <row r="14" spans="1:21" s="569" customFormat="1" ht="15.75">
      <c r="A14" s="568"/>
      <c r="B14" s="828"/>
      <c r="C14" s="828"/>
      <c r="D14" s="568"/>
      <c r="H14" s="829"/>
      <c r="I14" s="829"/>
    </row>
  </sheetData>
  <mergeCells count="11">
    <mergeCell ref="B10:C10"/>
    <mergeCell ref="H10:I10"/>
    <mergeCell ref="O10:Q10"/>
    <mergeCell ref="B14:C14"/>
    <mergeCell ref="H14:I14"/>
    <mergeCell ref="A1:R1"/>
    <mergeCell ref="A3:A4"/>
    <mergeCell ref="B3:B4"/>
    <mergeCell ref="C3:C4"/>
    <mergeCell ref="D3:D4"/>
    <mergeCell ref="E3:S3"/>
  </mergeCells>
  <printOptions horizontalCentered="1"/>
  <pageMargins left="0.196850393700787" right="0.196850393700787" top="0.35433070866141703" bottom="0.27559055118110198" header="0.196850393700787" footer="0.196850393700787"/>
  <pageSetup paperSize="9" scale="7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2D050"/>
  </sheetPr>
  <dimension ref="A1:S79"/>
  <sheetViews>
    <sheetView topLeftCell="A22" zoomScale="80" zoomScaleNormal="80" zoomScaleSheetLayoutView="100" workbookViewId="0">
      <selection activeCell="J44" sqref="J44"/>
    </sheetView>
  </sheetViews>
  <sheetFormatPr defaultColWidth="9.7109375" defaultRowHeight="15.75"/>
  <cols>
    <col min="1" max="1" width="5.140625" style="570" customWidth="1"/>
    <col min="2" max="2" width="42.5703125" style="571" customWidth="1"/>
    <col min="3" max="3" width="8.7109375" style="571" bestFit="1" customWidth="1"/>
    <col min="4" max="4" width="7.5703125" style="570" bestFit="1" customWidth="1"/>
    <col min="5" max="5" width="11.85546875" style="570" bestFit="1" customWidth="1"/>
    <col min="6" max="19" width="11.42578125" style="570" bestFit="1" customWidth="1"/>
    <col min="20" max="16384" width="9.7109375" style="570"/>
  </cols>
  <sheetData>
    <row r="1" spans="1:19" s="705" customFormat="1" ht="39.950000000000003" customHeight="1">
      <c r="A1" s="756" t="s">
        <v>525</v>
      </c>
      <c r="B1" s="756"/>
      <c r="C1" s="756"/>
      <c r="D1" s="756"/>
      <c r="E1" s="756"/>
      <c r="F1" s="756"/>
      <c r="G1" s="756"/>
      <c r="H1" s="756"/>
      <c r="I1" s="756"/>
      <c r="J1" s="756"/>
      <c r="K1" s="756"/>
      <c r="L1" s="756"/>
      <c r="M1" s="756"/>
      <c r="N1" s="756"/>
      <c r="O1" s="756"/>
      <c r="P1" s="756"/>
      <c r="Q1" s="706"/>
      <c r="R1" s="706"/>
      <c r="S1" s="706"/>
    </row>
    <row r="2" spans="1:19" s="703" customFormat="1" ht="30" customHeight="1">
      <c r="B2" s="704"/>
      <c r="C2" s="704"/>
      <c r="D2" s="703">
        <v>2017</v>
      </c>
      <c r="E2" s="703">
        <v>2018</v>
      </c>
      <c r="F2" s="703">
        <v>2019</v>
      </c>
      <c r="G2" s="703">
        <v>2020</v>
      </c>
      <c r="H2" s="703">
        <v>2021</v>
      </c>
      <c r="I2" s="703">
        <v>2022</v>
      </c>
      <c r="J2" s="703">
        <v>2023</v>
      </c>
      <c r="K2" s="703">
        <v>2024</v>
      </c>
      <c r="L2" s="703">
        <v>2025</v>
      </c>
      <c r="M2" s="703">
        <v>2026</v>
      </c>
      <c r="N2" s="703">
        <v>2027</v>
      </c>
      <c r="O2" s="703">
        <v>2028</v>
      </c>
      <c r="P2" s="703">
        <v>2029</v>
      </c>
      <c r="Q2" s="703">
        <v>2030</v>
      </c>
      <c r="R2" s="703">
        <v>2031</v>
      </c>
      <c r="S2" s="703">
        <v>2032</v>
      </c>
    </row>
    <row r="3" spans="1:19" ht="20.25" customHeight="1">
      <c r="A3" s="757" t="s">
        <v>3</v>
      </c>
      <c r="B3" s="759" t="s">
        <v>411</v>
      </c>
      <c r="C3" s="760"/>
      <c r="D3" s="763" t="s">
        <v>524</v>
      </c>
      <c r="E3" s="764"/>
      <c r="F3" s="764"/>
      <c r="G3" s="764"/>
      <c r="H3" s="764"/>
      <c r="I3" s="764"/>
      <c r="J3" s="764"/>
      <c r="K3" s="764"/>
      <c r="L3" s="764"/>
      <c r="M3" s="764"/>
      <c r="N3" s="764"/>
      <c r="O3" s="764"/>
      <c r="P3" s="764"/>
      <c r="Q3" s="702"/>
      <c r="R3" s="702"/>
      <c r="S3" s="702"/>
    </row>
    <row r="4" spans="1:19" s="577" customFormat="1" ht="20.25" customHeight="1">
      <c r="A4" s="758"/>
      <c r="B4" s="761"/>
      <c r="C4" s="762"/>
      <c r="D4" s="561">
        <v>0</v>
      </c>
      <c r="E4" s="561">
        <v>1</v>
      </c>
      <c r="F4" s="561">
        <v>2</v>
      </c>
      <c r="G4" s="561">
        <v>3</v>
      </c>
      <c r="H4" s="561">
        <v>4</v>
      </c>
      <c r="I4" s="561">
        <v>5</v>
      </c>
      <c r="J4" s="561">
        <v>6</v>
      </c>
      <c r="K4" s="561">
        <v>7</v>
      </c>
      <c r="L4" s="561">
        <v>8</v>
      </c>
      <c r="M4" s="561">
        <v>9</v>
      </c>
      <c r="N4" s="561">
        <v>10</v>
      </c>
      <c r="O4" s="561">
        <v>11</v>
      </c>
      <c r="P4" s="561">
        <v>12</v>
      </c>
      <c r="Q4" s="561">
        <v>13</v>
      </c>
      <c r="R4" s="561">
        <v>14</v>
      </c>
      <c r="S4" s="561">
        <v>15</v>
      </c>
    </row>
    <row r="5" spans="1:19" s="633" customFormat="1" ht="20.25" customHeight="1">
      <c r="A5" s="657" t="s">
        <v>18</v>
      </c>
      <c r="B5" s="656" t="s">
        <v>523</v>
      </c>
      <c r="C5" s="701"/>
      <c r="D5" s="700"/>
      <c r="E5" s="699">
        <f t="shared" ref="E5:S5" si="0">E6+E16+E19+E22</f>
        <v>71514.893119620639</v>
      </c>
      <c r="F5" s="699">
        <f t="shared" si="0"/>
        <v>300751.18291520269</v>
      </c>
      <c r="G5" s="699">
        <f t="shared" si="0"/>
        <v>342853.22870712046</v>
      </c>
      <c r="H5" s="699">
        <f t="shared" si="0"/>
        <v>351424.55942479853</v>
      </c>
      <c r="I5" s="699">
        <f t="shared" si="0"/>
        <v>360210.17341041844</v>
      </c>
      <c r="J5" s="699">
        <f t="shared" si="0"/>
        <v>369215.42774567875</v>
      </c>
      <c r="K5" s="699">
        <f t="shared" si="0"/>
        <v>378445.81343932083</v>
      </c>
      <c r="L5" s="699">
        <f t="shared" si="0"/>
        <v>387906.95877530379</v>
      </c>
      <c r="M5" s="699">
        <f t="shared" si="0"/>
        <v>397604.63274468633</v>
      </c>
      <c r="N5" s="699">
        <f t="shared" si="0"/>
        <v>407544.7485633035</v>
      </c>
      <c r="O5" s="699">
        <f t="shared" si="0"/>
        <v>417733.36727738613</v>
      </c>
      <c r="P5" s="699">
        <f t="shared" si="0"/>
        <v>428176.70145932073</v>
      </c>
      <c r="Q5" s="699">
        <f t="shared" si="0"/>
        <v>438881.11899580376</v>
      </c>
      <c r="R5" s="699">
        <f t="shared" si="0"/>
        <v>449853.14697069867</v>
      </c>
      <c r="S5" s="699">
        <f t="shared" si="0"/>
        <v>461099.4756449663</v>
      </c>
    </row>
    <row r="6" spans="1:19" s="658" customFormat="1" ht="20.25" customHeight="1">
      <c r="A6" s="663">
        <v>1</v>
      </c>
      <c r="B6" s="674" t="s">
        <v>522</v>
      </c>
      <c r="C6" s="670"/>
      <c r="D6" s="660"/>
      <c r="E6" s="660">
        <f t="shared" ref="E6:S6" si="1">E11+E7</f>
        <v>70864.518857745643</v>
      </c>
      <c r="F6" s="660">
        <f t="shared" si="1"/>
        <v>294479.07963132771</v>
      </c>
      <c r="G6" s="660">
        <f t="shared" si="1"/>
        <v>336424.32284114859</v>
      </c>
      <c r="H6" s="660">
        <f t="shared" si="1"/>
        <v>344834.93091217737</v>
      </c>
      <c r="I6" s="660">
        <f t="shared" si="1"/>
        <v>353455.80418498174</v>
      </c>
      <c r="J6" s="660">
        <f t="shared" si="1"/>
        <v>362292.19928960619</v>
      </c>
      <c r="K6" s="660">
        <f t="shared" si="1"/>
        <v>371349.50427184638</v>
      </c>
      <c r="L6" s="660">
        <f t="shared" si="1"/>
        <v>380633.24187864253</v>
      </c>
      <c r="M6" s="660">
        <f t="shared" si="1"/>
        <v>390149.07292560849</v>
      </c>
      <c r="N6" s="660">
        <f t="shared" si="1"/>
        <v>399902.79974874872</v>
      </c>
      <c r="O6" s="660">
        <f t="shared" si="1"/>
        <v>409900.36974246748</v>
      </c>
      <c r="P6" s="660">
        <f t="shared" si="1"/>
        <v>420147.87898602913</v>
      </c>
      <c r="Q6" s="660">
        <f t="shared" si="1"/>
        <v>430651.57596067985</v>
      </c>
      <c r="R6" s="660">
        <f t="shared" si="1"/>
        <v>441417.86535969668</v>
      </c>
      <c r="S6" s="660">
        <f t="shared" si="1"/>
        <v>452453.31199368922</v>
      </c>
    </row>
    <row r="7" spans="1:19" s="658" customFormat="1" ht="20.25" customHeight="1">
      <c r="A7" s="698">
        <v>1.1000000000000001</v>
      </c>
      <c r="B7" s="674" t="s">
        <v>521</v>
      </c>
      <c r="C7" s="670"/>
      <c r="D7" s="660"/>
      <c r="E7" s="660">
        <f>E10</f>
        <v>9466.0550156249974</v>
      </c>
      <c r="F7" s="660">
        <f t="shared" ref="F7:S7" si="2">F10</f>
        <v>32452.105999218744</v>
      </c>
      <c r="G7" s="660">
        <f t="shared" si="2"/>
        <v>34528.979048027337</v>
      </c>
      <c r="H7" s="660">
        <f t="shared" si="2"/>
        <v>35392.203524228011</v>
      </c>
      <c r="I7" s="660">
        <f t="shared" si="2"/>
        <v>36277.00861233371</v>
      </c>
      <c r="J7" s="660">
        <f t="shared" si="2"/>
        <v>37183.93382764206</v>
      </c>
      <c r="K7" s="660">
        <f t="shared" si="2"/>
        <v>38113.532173333093</v>
      </c>
      <c r="L7" s="660">
        <f t="shared" si="2"/>
        <v>39066.370477666431</v>
      </c>
      <c r="M7" s="660">
        <f t="shared" si="2"/>
        <v>40043.029739608086</v>
      </c>
      <c r="N7" s="660">
        <f t="shared" si="2"/>
        <v>41044.10548309829</v>
      </c>
      <c r="O7" s="660">
        <f t="shared" si="2"/>
        <v>42070.208120175746</v>
      </c>
      <c r="P7" s="660">
        <f t="shared" si="2"/>
        <v>43121.963323180134</v>
      </c>
      <c r="Q7" s="660">
        <f t="shared" si="2"/>
        <v>44200.012406259637</v>
      </c>
      <c r="R7" s="660">
        <f t="shared" si="2"/>
        <v>45305.012716416124</v>
      </c>
      <c r="S7" s="660">
        <f t="shared" si="2"/>
        <v>46437.638034326534</v>
      </c>
    </row>
    <row r="8" spans="1:19" s="685" customFormat="1" ht="20.25" customHeight="1">
      <c r="A8" s="690"/>
      <c r="B8" s="689" t="s">
        <v>520</v>
      </c>
      <c r="C8" s="697"/>
      <c r="D8" s="686"/>
      <c r="E8" s="686">
        <v>1391.9684999999999</v>
      </c>
      <c r="F8" s="686">
        <v>4282.9799999999996</v>
      </c>
      <c r="G8" s="686">
        <v>4282.9799999999996</v>
      </c>
      <c r="H8" s="686">
        <v>4282.9799999999996</v>
      </c>
      <c r="I8" s="686">
        <v>4282.9799999999996</v>
      </c>
      <c r="J8" s="686">
        <v>4282.9799999999996</v>
      </c>
      <c r="K8" s="686">
        <v>4282.9799999999996</v>
      </c>
      <c r="L8" s="686">
        <v>4282.9799999999996</v>
      </c>
      <c r="M8" s="686">
        <v>4282.9799999999996</v>
      </c>
      <c r="N8" s="686">
        <v>4282.9799999999996</v>
      </c>
      <c r="O8" s="686">
        <v>4282.9799999999996</v>
      </c>
      <c r="P8" s="686">
        <v>4282.9799999999996</v>
      </c>
      <c r="Q8" s="686">
        <v>4282.9799999999996</v>
      </c>
      <c r="R8" s="686">
        <v>4282.9799999999996</v>
      </c>
      <c r="S8" s="686">
        <v>4282.9799999999996</v>
      </c>
    </row>
    <row r="9" spans="1:19" s="677" customFormat="1" ht="20.25" customHeight="1">
      <c r="A9" s="682"/>
      <c r="B9" s="681" t="s">
        <v>519</v>
      </c>
      <c r="C9" s="684">
        <f>7.5*(1-'Thong so - Độ nhậy - Bảng 1'!N24)</f>
        <v>7.5</v>
      </c>
      <c r="D9" s="679">
        <v>2.5000000000000001E-2</v>
      </c>
      <c r="E9" s="696">
        <f t="shared" ref="E9:S9" si="3">$C$9*((1+$D$9)^E4)</f>
        <v>7.6874999999999991</v>
      </c>
      <c r="F9" s="696">
        <f t="shared" si="3"/>
        <v>7.8796874999999993</v>
      </c>
      <c r="G9" s="696">
        <f t="shared" si="3"/>
        <v>8.0766796874999986</v>
      </c>
      <c r="H9" s="696">
        <f t="shared" si="3"/>
        <v>8.2785966796874977</v>
      </c>
      <c r="I9" s="696">
        <f t="shared" si="3"/>
        <v>8.485561596679684</v>
      </c>
      <c r="J9" s="696">
        <f t="shared" si="3"/>
        <v>8.6977006365966769</v>
      </c>
      <c r="K9" s="696">
        <f t="shared" si="3"/>
        <v>8.9151431525115932</v>
      </c>
      <c r="L9" s="696">
        <f t="shared" si="3"/>
        <v>9.1380217313243826</v>
      </c>
      <c r="M9" s="696">
        <f t="shared" si="3"/>
        <v>9.3664722746074904</v>
      </c>
      <c r="N9" s="696">
        <f t="shared" si="3"/>
        <v>9.6006340814726787</v>
      </c>
      <c r="O9" s="696">
        <f t="shared" si="3"/>
        <v>9.8406499335094946</v>
      </c>
      <c r="P9" s="696">
        <f t="shared" si="3"/>
        <v>10.086666181847232</v>
      </c>
      <c r="Q9" s="696">
        <f t="shared" si="3"/>
        <v>10.338832836393411</v>
      </c>
      <c r="R9" s="696">
        <f t="shared" si="3"/>
        <v>10.597303657303247</v>
      </c>
      <c r="S9" s="696">
        <f t="shared" si="3"/>
        <v>10.862236248735829</v>
      </c>
    </row>
    <row r="10" spans="1:19" s="677" customFormat="1" ht="20.25" customHeight="1">
      <c r="A10" s="682"/>
      <c r="B10" s="681" t="s">
        <v>518</v>
      </c>
      <c r="C10" s="680"/>
      <c r="D10" s="679"/>
      <c r="E10" s="659">
        <f>E8*E9*23/26</f>
        <v>9466.0550156249974</v>
      </c>
      <c r="F10" s="659">
        <f>E9*E8*3/26+F8*F9*37/40</f>
        <v>32452.105999218744</v>
      </c>
      <c r="G10" s="659">
        <f>F9*F8*3/40+G8*G9*37/40</f>
        <v>34528.979048027337</v>
      </c>
      <c r="H10" s="659">
        <f t="shared" ref="H10:S10" si="4">G9*G8*3/40+H8*H9*37/40</f>
        <v>35392.203524228011</v>
      </c>
      <c r="I10" s="659">
        <f t="shared" si="4"/>
        <v>36277.00861233371</v>
      </c>
      <c r="J10" s="659">
        <f t="shared" si="4"/>
        <v>37183.93382764206</v>
      </c>
      <c r="K10" s="659">
        <f t="shared" si="4"/>
        <v>38113.532173333093</v>
      </c>
      <c r="L10" s="659">
        <f t="shared" si="4"/>
        <v>39066.370477666431</v>
      </c>
      <c r="M10" s="659">
        <f t="shared" si="4"/>
        <v>40043.029739608086</v>
      </c>
      <c r="N10" s="659">
        <f t="shared" si="4"/>
        <v>41044.10548309829</v>
      </c>
      <c r="O10" s="659">
        <f t="shared" si="4"/>
        <v>42070.208120175746</v>
      </c>
      <c r="P10" s="659">
        <f t="shared" si="4"/>
        <v>43121.963323180134</v>
      </c>
      <c r="Q10" s="659">
        <f t="shared" si="4"/>
        <v>44200.012406259637</v>
      </c>
      <c r="R10" s="659">
        <f t="shared" si="4"/>
        <v>45305.012716416124</v>
      </c>
      <c r="S10" s="659">
        <f t="shared" si="4"/>
        <v>46437.638034326534</v>
      </c>
    </row>
    <row r="11" spans="1:19" s="691" customFormat="1" ht="20.25" customHeight="1">
      <c r="A11" s="695">
        <v>1.2</v>
      </c>
      <c r="B11" s="694" t="s">
        <v>517</v>
      </c>
      <c r="C11" s="693"/>
      <c r="D11" s="692"/>
      <c r="E11" s="692">
        <f t="shared" ref="E11:S11" si="5">E15</f>
        <v>61398.46384212064</v>
      </c>
      <c r="F11" s="692">
        <f t="shared" si="5"/>
        <v>262026.97363210897</v>
      </c>
      <c r="G11" s="692">
        <f t="shared" si="5"/>
        <v>301895.34379312128</v>
      </c>
      <c r="H11" s="692">
        <f t="shared" si="5"/>
        <v>309442.72738794936</v>
      </c>
      <c r="I11" s="692">
        <f t="shared" si="5"/>
        <v>317178.795572648</v>
      </c>
      <c r="J11" s="692">
        <f t="shared" si="5"/>
        <v>325108.26546196413</v>
      </c>
      <c r="K11" s="692">
        <f t="shared" si="5"/>
        <v>333235.97209851327</v>
      </c>
      <c r="L11" s="692">
        <f t="shared" si="5"/>
        <v>341566.87140097609</v>
      </c>
      <c r="M11" s="692">
        <f t="shared" si="5"/>
        <v>350106.04318600043</v>
      </c>
      <c r="N11" s="692">
        <f t="shared" si="5"/>
        <v>358858.69426565041</v>
      </c>
      <c r="O11" s="692">
        <f t="shared" si="5"/>
        <v>367830.16162229172</v>
      </c>
      <c r="P11" s="692">
        <f t="shared" si="5"/>
        <v>377025.91566284897</v>
      </c>
      <c r="Q11" s="692">
        <f t="shared" si="5"/>
        <v>386451.56355442019</v>
      </c>
      <c r="R11" s="692">
        <f t="shared" si="5"/>
        <v>396112.85264328058</v>
      </c>
      <c r="S11" s="692">
        <f t="shared" si="5"/>
        <v>406015.67395936267</v>
      </c>
    </row>
    <row r="12" spans="1:19" s="685" customFormat="1" ht="20.25" customHeight="1">
      <c r="A12" s="690"/>
      <c r="B12" s="689" t="s">
        <v>516</v>
      </c>
      <c r="C12" s="688">
        <v>2.7469999999999999</v>
      </c>
      <c r="D12" s="687"/>
      <c r="E12" s="686">
        <v>1439.9945625</v>
      </c>
      <c r="F12" s="686">
        <v>4430.7524999999996</v>
      </c>
      <c r="G12" s="686">
        <v>4430.7524999999996</v>
      </c>
      <c r="H12" s="686">
        <v>4430.7524999999996</v>
      </c>
      <c r="I12" s="686">
        <v>4430.7524999999996</v>
      </c>
      <c r="J12" s="686">
        <v>4430.7524999999996</v>
      </c>
      <c r="K12" s="686">
        <v>4430.7524999999996</v>
      </c>
      <c r="L12" s="686">
        <v>4430.7524999999996</v>
      </c>
      <c r="M12" s="686">
        <v>4430.7524999999996</v>
      </c>
      <c r="N12" s="686">
        <v>4430.7524999999996</v>
      </c>
      <c r="O12" s="686">
        <v>4430.7524999999996</v>
      </c>
      <c r="P12" s="686">
        <v>4430.7524999999996</v>
      </c>
      <c r="Q12" s="686">
        <v>4430.7524999999996</v>
      </c>
      <c r="R12" s="686">
        <v>4430.7524999999996</v>
      </c>
      <c r="S12" s="686">
        <v>4430.7524999999996</v>
      </c>
    </row>
    <row r="13" spans="1:19" s="677" customFormat="1" ht="20.25" customHeight="1">
      <c r="A13" s="682"/>
      <c r="B13" s="681" t="s">
        <v>515</v>
      </c>
      <c r="C13" s="684">
        <f>24*(1-'Thong so - Độ nhậy - Bảng 1'!N24)</f>
        <v>24</v>
      </c>
      <c r="D13" s="679">
        <f>D9</f>
        <v>2.5000000000000001E-2</v>
      </c>
      <c r="E13" s="659">
        <f t="shared" ref="E13:S13" si="6">$C$13*$C$12*((1+$D$13)^E4)</f>
        <v>67.576199999999986</v>
      </c>
      <c r="F13" s="659">
        <f t="shared" si="6"/>
        <v>69.265604999999994</v>
      </c>
      <c r="G13" s="659">
        <f t="shared" si="6"/>
        <v>70.997245124999992</v>
      </c>
      <c r="H13" s="659">
        <f t="shared" si="6"/>
        <v>72.772176253124982</v>
      </c>
      <c r="I13" s="659">
        <f t="shared" si="6"/>
        <v>74.591480659453097</v>
      </c>
      <c r="J13" s="659">
        <f t="shared" si="6"/>
        <v>76.456267675939415</v>
      </c>
      <c r="K13" s="659">
        <f t="shared" si="6"/>
        <v>78.367674367837907</v>
      </c>
      <c r="L13" s="659">
        <f t="shared" si="6"/>
        <v>80.326866227033847</v>
      </c>
      <c r="M13" s="659">
        <f t="shared" si="6"/>
        <v>82.335037882709685</v>
      </c>
      <c r="N13" s="659">
        <f t="shared" si="6"/>
        <v>84.39341382977743</v>
      </c>
      <c r="O13" s="659">
        <f t="shared" si="6"/>
        <v>86.503249175521859</v>
      </c>
      <c r="P13" s="659">
        <f t="shared" si="6"/>
        <v>88.665830404909897</v>
      </c>
      <c r="Q13" s="659">
        <f t="shared" si="6"/>
        <v>90.882476165032642</v>
      </c>
      <c r="R13" s="659">
        <f t="shared" si="6"/>
        <v>93.154538069158448</v>
      </c>
      <c r="S13" s="659">
        <f t="shared" si="6"/>
        <v>95.483401520887426</v>
      </c>
    </row>
    <row r="14" spans="1:19" s="677" customFormat="1" ht="20.25" customHeight="1">
      <c r="A14" s="682"/>
      <c r="B14" s="681" t="s">
        <v>514</v>
      </c>
      <c r="C14" s="683">
        <v>3.5000000000000003E-2</v>
      </c>
      <c r="D14" s="679"/>
      <c r="E14" s="659">
        <f>E13*E12*(1-$C$14)</f>
        <v>93903.532935008043</v>
      </c>
      <c r="F14" s="659">
        <f t="shared" ref="F14:S14" si="7">F13*F12*(1-$C$14)</f>
        <v>296157.29617964075</v>
      </c>
      <c r="G14" s="659">
        <f t="shared" si="7"/>
        <v>303561.22858413175</v>
      </c>
      <c r="H14" s="659">
        <f t="shared" si="7"/>
        <v>311150.25929873507</v>
      </c>
      <c r="I14" s="659">
        <f t="shared" si="7"/>
        <v>318929.01578120334</v>
      </c>
      <c r="J14" s="659">
        <f t="shared" si="7"/>
        <v>326902.24117573339</v>
      </c>
      <c r="K14" s="659">
        <f t="shared" si="7"/>
        <v>335074.79720512673</v>
      </c>
      <c r="L14" s="659">
        <f t="shared" si="7"/>
        <v>343451.66713525489</v>
      </c>
      <c r="M14" s="659">
        <f t="shared" si="7"/>
        <v>352037.95881363621</v>
      </c>
      <c r="N14" s="659">
        <f t="shared" si="7"/>
        <v>360838.90778397716</v>
      </c>
      <c r="O14" s="659">
        <f t="shared" si="7"/>
        <v>369859.88047857652</v>
      </c>
      <c r="P14" s="659">
        <f t="shared" si="7"/>
        <v>379106.37749054097</v>
      </c>
      <c r="Q14" s="659">
        <f t="shared" si="7"/>
        <v>388584.03692780447</v>
      </c>
      <c r="R14" s="659">
        <f t="shared" si="7"/>
        <v>398298.63785099948</v>
      </c>
      <c r="S14" s="659">
        <f t="shared" si="7"/>
        <v>408256.10379727453</v>
      </c>
    </row>
    <row r="15" spans="1:19" s="677" customFormat="1" ht="20.25" customHeight="1">
      <c r="A15" s="682"/>
      <c r="B15" s="681" t="s">
        <v>513</v>
      </c>
      <c r="C15" s="680"/>
      <c r="D15" s="679"/>
      <c r="E15" s="678">
        <f>E14*17/26</f>
        <v>61398.46384212064</v>
      </c>
      <c r="F15" s="678">
        <f>E14/26*9+F14*31/40</f>
        <v>262026.97363210897</v>
      </c>
      <c r="G15" s="678">
        <f t="shared" ref="G15:S15" si="8">F14/40*9+G14*31/40</f>
        <v>301895.34379312128</v>
      </c>
      <c r="H15" s="678">
        <f t="shared" si="8"/>
        <v>309442.72738794936</v>
      </c>
      <c r="I15" s="678">
        <f t="shared" si="8"/>
        <v>317178.795572648</v>
      </c>
      <c r="J15" s="678">
        <f t="shared" si="8"/>
        <v>325108.26546196413</v>
      </c>
      <c r="K15" s="678">
        <f t="shared" si="8"/>
        <v>333235.97209851327</v>
      </c>
      <c r="L15" s="678">
        <f t="shared" si="8"/>
        <v>341566.87140097609</v>
      </c>
      <c r="M15" s="678">
        <f t="shared" si="8"/>
        <v>350106.04318600043</v>
      </c>
      <c r="N15" s="678">
        <f t="shared" si="8"/>
        <v>358858.69426565041</v>
      </c>
      <c r="O15" s="678">
        <f t="shared" si="8"/>
        <v>367830.16162229172</v>
      </c>
      <c r="P15" s="678">
        <f t="shared" si="8"/>
        <v>377025.91566284897</v>
      </c>
      <c r="Q15" s="678">
        <f t="shared" si="8"/>
        <v>386451.56355442019</v>
      </c>
      <c r="R15" s="678">
        <f t="shared" si="8"/>
        <v>396112.85264328058</v>
      </c>
      <c r="S15" s="678">
        <f t="shared" si="8"/>
        <v>406015.67395936267</v>
      </c>
    </row>
    <row r="16" spans="1:19" s="658" customFormat="1" ht="20.25" customHeight="1">
      <c r="A16" s="663">
        <v>2</v>
      </c>
      <c r="B16" s="671" t="s">
        <v>512</v>
      </c>
      <c r="C16" s="670"/>
      <c r="D16" s="660"/>
      <c r="E16" s="660">
        <f t="shared" ref="E16:S16" si="9">E17*E18</f>
        <v>233.65887187499999</v>
      </c>
      <c r="F16" s="660">
        <f t="shared" si="9"/>
        <v>736.92413437499988</v>
      </c>
      <c r="G16" s="660">
        <f t="shared" si="9"/>
        <v>755.34723773437486</v>
      </c>
      <c r="H16" s="660">
        <f t="shared" si="9"/>
        <v>774.23091867773417</v>
      </c>
      <c r="I16" s="660">
        <f t="shared" si="9"/>
        <v>793.58669164467744</v>
      </c>
      <c r="J16" s="660">
        <f t="shared" si="9"/>
        <v>813.42635893579438</v>
      </c>
      <c r="K16" s="660">
        <f t="shared" si="9"/>
        <v>833.76201790918924</v>
      </c>
      <c r="L16" s="660">
        <f t="shared" si="9"/>
        <v>854.60606835691897</v>
      </c>
      <c r="M16" s="660">
        <f t="shared" si="9"/>
        <v>875.97122006584164</v>
      </c>
      <c r="N16" s="660">
        <f t="shared" si="9"/>
        <v>897.87050056748774</v>
      </c>
      <c r="O16" s="660">
        <f t="shared" si="9"/>
        <v>920.31726308167504</v>
      </c>
      <c r="P16" s="660">
        <f t="shared" si="9"/>
        <v>943.32519465871667</v>
      </c>
      <c r="Q16" s="660">
        <f t="shared" si="9"/>
        <v>966.90832452518464</v>
      </c>
      <c r="R16" s="660">
        <f t="shared" si="9"/>
        <v>991.08103263831413</v>
      </c>
      <c r="S16" s="660">
        <f t="shared" si="9"/>
        <v>1015.8580584542721</v>
      </c>
    </row>
    <row r="17" spans="1:19" s="664" customFormat="1" ht="20.25" customHeight="1">
      <c r="A17" s="669"/>
      <c r="B17" s="668" t="s">
        <v>511</v>
      </c>
      <c r="C17" s="673"/>
      <c r="D17" s="666"/>
      <c r="E17" s="672">
        <v>175.35374999999999</v>
      </c>
      <c r="F17" s="672">
        <v>539.54999999999995</v>
      </c>
      <c r="G17" s="672">
        <v>539.54999999999995</v>
      </c>
      <c r="H17" s="672">
        <v>539.54999999999995</v>
      </c>
      <c r="I17" s="672">
        <v>539.54999999999995</v>
      </c>
      <c r="J17" s="672">
        <v>539.54999999999995</v>
      </c>
      <c r="K17" s="672">
        <v>539.54999999999995</v>
      </c>
      <c r="L17" s="672">
        <v>539.54999999999995</v>
      </c>
      <c r="M17" s="672">
        <v>539.54999999999995</v>
      </c>
      <c r="N17" s="672">
        <v>539.54999999999995</v>
      </c>
      <c r="O17" s="672">
        <v>539.54999999999995</v>
      </c>
      <c r="P17" s="672">
        <v>539.54999999999995</v>
      </c>
      <c r="Q17" s="672">
        <v>539.54999999999995</v>
      </c>
      <c r="R17" s="672">
        <v>539.54999999999995</v>
      </c>
      <c r="S17" s="672">
        <v>539.54999999999995</v>
      </c>
    </row>
    <row r="18" spans="1:19" s="658" customFormat="1" ht="20.25" customHeight="1">
      <c r="A18" s="663"/>
      <c r="B18" s="662" t="s">
        <v>504</v>
      </c>
      <c r="C18" s="676">
        <v>1.3</v>
      </c>
      <c r="D18" s="660"/>
      <c r="E18" s="675">
        <f t="shared" ref="E18:S18" si="10">$C$18*((1+$D$9)^E4)</f>
        <v>1.3325</v>
      </c>
      <c r="F18" s="675">
        <f t="shared" si="10"/>
        <v>1.3658124999999999</v>
      </c>
      <c r="G18" s="675">
        <f t="shared" si="10"/>
        <v>1.3999578124999998</v>
      </c>
      <c r="H18" s="675">
        <f t="shared" si="10"/>
        <v>1.4349567578124998</v>
      </c>
      <c r="I18" s="675">
        <f t="shared" si="10"/>
        <v>1.4708306767578121</v>
      </c>
      <c r="J18" s="675">
        <f t="shared" si="10"/>
        <v>1.5076014436767573</v>
      </c>
      <c r="K18" s="675">
        <f t="shared" si="10"/>
        <v>1.5452914797686763</v>
      </c>
      <c r="L18" s="675">
        <f t="shared" si="10"/>
        <v>1.5839237667628931</v>
      </c>
      <c r="M18" s="675">
        <f t="shared" si="10"/>
        <v>1.623521860931965</v>
      </c>
      <c r="N18" s="675">
        <f t="shared" si="10"/>
        <v>1.6641099074552643</v>
      </c>
      <c r="O18" s="675">
        <f t="shared" si="10"/>
        <v>1.7057126551416459</v>
      </c>
      <c r="P18" s="675">
        <f t="shared" si="10"/>
        <v>1.7483554715201868</v>
      </c>
      <c r="Q18" s="675">
        <f t="shared" si="10"/>
        <v>1.7920643583081914</v>
      </c>
      <c r="R18" s="675">
        <f t="shared" si="10"/>
        <v>1.836865967265896</v>
      </c>
      <c r="S18" s="675">
        <f t="shared" si="10"/>
        <v>1.8827876164475437</v>
      </c>
    </row>
    <row r="19" spans="1:19" s="658" customFormat="1" ht="20.25" customHeight="1">
      <c r="A19" s="663">
        <v>3</v>
      </c>
      <c r="B19" s="674" t="s">
        <v>510</v>
      </c>
      <c r="C19" s="670"/>
      <c r="D19" s="660"/>
      <c r="E19" s="660">
        <f t="shared" ref="E19:S19" si="11">E20*E21</f>
        <v>0</v>
      </c>
      <c r="F19" s="660">
        <f>F20*F21</f>
        <v>4680.9125999999997</v>
      </c>
      <c r="G19" s="660">
        <f t="shared" si="11"/>
        <v>4797.9354149999999</v>
      </c>
      <c r="H19" s="660">
        <f t="shared" si="11"/>
        <v>4917.8838003749988</v>
      </c>
      <c r="I19" s="660">
        <f t="shared" si="11"/>
        <v>5040.8308953843734</v>
      </c>
      <c r="J19" s="660">
        <f t="shared" si="11"/>
        <v>5166.8516677689822</v>
      </c>
      <c r="K19" s="660">
        <f t="shared" si="11"/>
        <v>5296.0229594632074</v>
      </c>
      <c r="L19" s="660">
        <f t="shared" si="11"/>
        <v>5428.4235334497871</v>
      </c>
      <c r="M19" s="660">
        <f t="shared" si="11"/>
        <v>5564.1341217860308</v>
      </c>
      <c r="N19" s="660">
        <f t="shared" si="11"/>
        <v>5703.2374748306811</v>
      </c>
      <c r="O19" s="660">
        <f t="shared" si="11"/>
        <v>5845.818411701448</v>
      </c>
      <c r="P19" s="660">
        <f t="shared" si="11"/>
        <v>5991.963871993984</v>
      </c>
      <c r="Q19" s="660">
        <f t="shared" si="11"/>
        <v>6141.7629687938334</v>
      </c>
      <c r="R19" s="660">
        <f t="shared" si="11"/>
        <v>6295.3070430136786</v>
      </c>
      <c r="S19" s="660">
        <f t="shared" si="11"/>
        <v>6452.6897190890222</v>
      </c>
    </row>
    <row r="20" spans="1:19" s="664" customFormat="1" ht="20.25" customHeight="1">
      <c r="A20" s="669"/>
      <c r="B20" s="668" t="s">
        <v>509</v>
      </c>
      <c r="C20" s="673"/>
      <c r="D20" s="666"/>
      <c r="E20" s="672">
        <v>0</v>
      </c>
      <c r="F20" s="672">
        <v>55.692</v>
      </c>
      <c r="G20" s="672">
        <v>55.692</v>
      </c>
      <c r="H20" s="672">
        <v>55.692</v>
      </c>
      <c r="I20" s="672">
        <v>55.692</v>
      </c>
      <c r="J20" s="672">
        <v>55.692</v>
      </c>
      <c r="K20" s="672">
        <v>55.692</v>
      </c>
      <c r="L20" s="672">
        <v>55.692</v>
      </c>
      <c r="M20" s="672">
        <v>55.692</v>
      </c>
      <c r="N20" s="672">
        <v>55.692</v>
      </c>
      <c r="O20" s="672">
        <v>55.692</v>
      </c>
      <c r="P20" s="672">
        <v>55.692</v>
      </c>
      <c r="Q20" s="672">
        <v>55.692</v>
      </c>
      <c r="R20" s="672">
        <v>55.692</v>
      </c>
      <c r="S20" s="672">
        <v>55.692</v>
      </c>
    </row>
    <row r="21" spans="1:19" s="658" customFormat="1" ht="20.25" customHeight="1">
      <c r="A21" s="663"/>
      <c r="B21" s="662" t="s">
        <v>508</v>
      </c>
      <c r="C21" s="661">
        <v>80</v>
      </c>
      <c r="D21" s="660"/>
      <c r="E21" s="659">
        <f t="shared" ref="E21:S21" si="12">$C$21*((1+$D$9)^E4)</f>
        <v>82</v>
      </c>
      <c r="F21" s="659">
        <f t="shared" si="12"/>
        <v>84.05</v>
      </c>
      <c r="G21" s="659">
        <f t="shared" si="12"/>
        <v>86.15124999999999</v>
      </c>
      <c r="H21" s="659">
        <f t="shared" si="12"/>
        <v>88.305031249999985</v>
      </c>
      <c r="I21" s="659">
        <f t="shared" si="12"/>
        <v>90.512657031249972</v>
      </c>
      <c r="J21" s="659">
        <f t="shared" si="12"/>
        <v>92.775473457031211</v>
      </c>
      <c r="K21" s="659">
        <f t="shared" si="12"/>
        <v>95.094860293457003</v>
      </c>
      <c r="L21" s="659">
        <f t="shared" si="12"/>
        <v>97.472231800793423</v>
      </c>
      <c r="M21" s="659">
        <f t="shared" si="12"/>
        <v>99.909037595813231</v>
      </c>
      <c r="N21" s="659">
        <f t="shared" si="12"/>
        <v>102.40676353570856</v>
      </c>
      <c r="O21" s="659">
        <f t="shared" si="12"/>
        <v>104.96693262410128</v>
      </c>
      <c r="P21" s="659">
        <f t="shared" si="12"/>
        <v>107.59110593970379</v>
      </c>
      <c r="Q21" s="659">
        <f t="shared" si="12"/>
        <v>110.28088358819639</v>
      </c>
      <c r="R21" s="659">
        <f t="shared" si="12"/>
        <v>113.03790567790129</v>
      </c>
      <c r="S21" s="659">
        <f t="shared" si="12"/>
        <v>115.86385331984884</v>
      </c>
    </row>
    <row r="22" spans="1:19" s="658" customFormat="1" ht="20.25" customHeight="1">
      <c r="A22" s="663">
        <v>4</v>
      </c>
      <c r="B22" s="671" t="s">
        <v>507</v>
      </c>
      <c r="C22" s="670"/>
      <c r="D22" s="660"/>
      <c r="E22" s="660">
        <f t="shared" ref="E22:S22" si="13">E23*E24</f>
        <v>416.71539000000001</v>
      </c>
      <c r="F22" s="660">
        <f t="shared" si="13"/>
        <v>854.2665495</v>
      </c>
      <c r="G22" s="660">
        <f t="shared" si="13"/>
        <v>875.62321323749973</v>
      </c>
      <c r="H22" s="660">
        <f t="shared" si="13"/>
        <v>897.51379356843711</v>
      </c>
      <c r="I22" s="660">
        <f t="shared" si="13"/>
        <v>919.95163840764803</v>
      </c>
      <c r="J22" s="660">
        <f t="shared" si="13"/>
        <v>942.95042936783921</v>
      </c>
      <c r="K22" s="660">
        <f t="shared" si="13"/>
        <v>966.52419010203528</v>
      </c>
      <c r="L22" s="660">
        <f t="shared" si="13"/>
        <v>990.68729485458596</v>
      </c>
      <c r="M22" s="660">
        <f t="shared" si="13"/>
        <v>1015.4544772259505</v>
      </c>
      <c r="N22" s="660">
        <f t="shared" si="13"/>
        <v>1040.8408391565993</v>
      </c>
      <c r="O22" s="660">
        <f t="shared" si="13"/>
        <v>1066.8618601355142</v>
      </c>
      <c r="P22" s="660">
        <f t="shared" si="13"/>
        <v>1093.5334066389019</v>
      </c>
      <c r="Q22" s="660">
        <f t="shared" si="13"/>
        <v>1120.8717418048745</v>
      </c>
      <c r="R22" s="660">
        <f t="shared" si="13"/>
        <v>1148.8935353499962</v>
      </c>
      <c r="S22" s="660">
        <f t="shared" si="13"/>
        <v>1177.6158737337464</v>
      </c>
    </row>
    <row r="23" spans="1:19" s="664" customFormat="1" ht="20.25" customHeight="1">
      <c r="A23" s="669"/>
      <c r="B23" s="668" t="s">
        <v>506</v>
      </c>
      <c r="C23" s="667" t="s">
        <v>505</v>
      </c>
      <c r="D23" s="666"/>
      <c r="E23" s="665">
        <v>0.81310320000000003</v>
      </c>
      <c r="F23" s="665">
        <v>1.6262064000000001</v>
      </c>
      <c r="G23" s="665">
        <v>1.6262063999999998</v>
      </c>
      <c r="H23" s="665">
        <v>1.6262063999999998</v>
      </c>
      <c r="I23" s="665">
        <v>1.6262063999999998</v>
      </c>
      <c r="J23" s="665">
        <v>1.6262063999999998</v>
      </c>
      <c r="K23" s="665">
        <v>1.6262063999999998</v>
      </c>
      <c r="L23" s="665">
        <v>1.6262063999999998</v>
      </c>
      <c r="M23" s="665">
        <v>1.6262063999999998</v>
      </c>
      <c r="N23" s="665">
        <v>1.6262063999999998</v>
      </c>
      <c r="O23" s="665">
        <v>1.6262063999999998</v>
      </c>
      <c r="P23" s="665">
        <v>1.6262063999999998</v>
      </c>
      <c r="Q23" s="665">
        <v>1.6262063999999998</v>
      </c>
      <c r="R23" s="665">
        <v>1.6262063999999998</v>
      </c>
      <c r="S23" s="665">
        <v>1.6262063999999998</v>
      </c>
    </row>
    <row r="24" spans="1:19" s="658" customFormat="1" ht="20.25" customHeight="1">
      <c r="A24" s="663"/>
      <c r="B24" s="662" t="s">
        <v>504</v>
      </c>
      <c r="C24" s="661">
        <v>500</v>
      </c>
      <c r="D24" s="660"/>
      <c r="E24" s="659">
        <f t="shared" ref="E24:S24" si="14">$C$24*((1+$D$9)^E4)</f>
        <v>512.5</v>
      </c>
      <c r="F24" s="659">
        <f t="shared" si="14"/>
        <v>525.3125</v>
      </c>
      <c r="G24" s="659">
        <f t="shared" si="14"/>
        <v>538.44531249999989</v>
      </c>
      <c r="H24" s="659">
        <f t="shared" si="14"/>
        <v>551.90644531249984</v>
      </c>
      <c r="I24" s="659">
        <f t="shared" si="14"/>
        <v>565.70410644531228</v>
      </c>
      <c r="J24" s="659">
        <f t="shared" si="14"/>
        <v>579.84670910644513</v>
      </c>
      <c r="K24" s="659">
        <f t="shared" si="14"/>
        <v>594.34287683410628</v>
      </c>
      <c r="L24" s="659">
        <f t="shared" si="14"/>
        <v>609.20144875495885</v>
      </c>
      <c r="M24" s="659">
        <f t="shared" si="14"/>
        <v>624.43148497383277</v>
      </c>
      <c r="N24" s="659">
        <f t="shared" si="14"/>
        <v>640.0422720981785</v>
      </c>
      <c r="O24" s="659">
        <f t="shared" si="14"/>
        <v>656.04332890063301</v>
      </c>
      <c r="P24" s="659">
        <f t="shared" si="14"/>
        <v>672.44441212314871</v>
      </c>
      <c r="Q24" s="659">
        <f t="shared" si="14"/>
        <v>689.25552242622746</v>
      </c>
      <c r="R24" s="659">
        <f t="shared" si="14"/>
        <v>706.48691048688306</v>
      </c>
      <c r="S24" s="659">
        <f t="shared" si="14"/>
        <v>724.14908324905525</v>
      </c>
    </row>
    <row r="25" spans="1:19" s="633" customFormat="1" ht="20.25" customHeight="1">
      <c r="A25" s="657" t="s">
        <v>68</v>
      </c>
      <c r="B25" s="656" t="s">
        <v>503</v>
      </c>
      <c r="C25" s="655"/>
      <c r="D25" s="654"/>
      <c r="E25" s="654">
        <f t="shared" ref="E25:S25" si="15">(E26+E49)</f>
        <v>92889.524499025196</v>
      </c>
      <c r="F25" s="654">
        <f t="shared" si="15"/>
        <v>295286.90108265879</v>
      </c>
      <c r="G25" s="654">
        <f t="shared" si="15"/>
        <v>329122.65119011072</v>
      </c>
      <c r="H25" s="654">
        <f t="shared" si="15"/>
        <v>334954.88866135391</v>
      </c>
      <c r="I25" s="654">
        <f t="shared" si="15"/>
        <v>340565.95297240082</v>
      </c>
      <c r="J25" s="654">
        <f t="shared" si="15"/>
        <v>346998.34761138534</v>
      </c>
      <c r="K25" s="654">
        <f t="shared" si="15"/>
        <v>352944.28509923967</v>
      </c>
      <c r="L25" s="654">
        <f t="shared" si="15"/>
        <v>358910.47236255987</v>
      </c>
      <c r="M25" s="654">
        <f t="shared" si="15"/>
        <v>367191.61843212036</v>
      </c>
      <c r="N25" s="654">
        <f t="shared" si="15"/>
        <v>375997.64387566445</v>
      </c>
      <c r="O25" s="654">
        <f t="shared" si="15"/>
        <v>385022.9404481721</v>
      </c>
      <c r="P25" s="654">
        <f t="shared" si="15"/>
        <v>394274.44602661749</v>
      </c>
      <c r="Q25" s="654">
        <f t="shared" si="15"/>
        <v>403759.25251789903</v>
      </c>
      <c r="R25" s="654">
        <f t="shared" si="15"/>
        <v>413477.44293108745</v>
      </c>
      <c r="S25" s="654">
        <f t="shared" si="15"/>
        <v>423441.42356660584</v>
      </c>
    </row>
    <row r="26" spans="1:19" s="652" customFormat="1" ht="20.25" customHeight="1">
      <c r="A26" s="623">
        <v>1</v>
      </c>
      <c r="B26" s="622" t="s">
        <v>502</v>
      </c>
      <c r="C26" s="621"/>
      <c r="D26" s="653"/>
      <c r="E26" s="653">
        <f>(E27+SUM(E34:E48))*(1+'Thong so - Độ nhậy - Bảng 1'!$N$28)</f>
        <v>78796.605938750945</v>
      </c>
      <c r="F26" s="653">
        <f>(F27+SUM(F34:F48))*(1+'Thong so - Độ nhậy - Bảng 1'!$N$28)</f>
        <v>281193.98252238455</v>
      </c>
      <c r="G26" s="653">
        <f>(G27+SUM(G34:G48))*(1+'Thong so - Độ nhậy - Bảng 1'!$N$28)</f>
        <v>314172.18972975382</v>
      </c>
      <c r="H26" s="653">
        <f>(H27+SUM(H34:H48))*(1+'Thong so - Độ nhậy - Bảng 1'!$N$28)</f>
        <v>320004.42720099702</v>
      </c>
      <c r="I26" s="653">
        <f>(I27+SUM(I34:I48))*(1+'Thong so - Độ nhậy - Bảng 1'!$N$28)</f>
        <v>325615.49151204393</v>
      </c>
      <c r="J26" s="653">
        <f>(J27+SUM(J34:J48))*(1+'Thong so - Độ nhậy - Bảng 1'!$N$28)</f>
        <v>332047.88615102845</v>
      </c>
      <c r="K26" s="653">
        <f>(K27+SUM(K34:K48))*(1+'Thong so - Độ nhậy - Bảng 1'!$N$28)</f>
        <v>337993.82363888278</v>
      </c>
      <c r="L26" s="653">
        <f>(L27+SUM(L34:L48))*(1+'Thong so - Độ nhậy - Bảng 1'!$N$28)</f>
        <v>343960.01090220298</v>
      </c>
      <c r="M26" s="653">
        <f>(M27+SUM(M34:M48))*(1+'Thong so - Độ nhậy - Bảng 1'!$N$28)</f>
        <v>352241.15697176347</v>
      </c>
      <c r="N26" s="653">
        <f>(N27+SUM(N34:N48))*(1+'Thong so - Độ nhậy - Bảng 1'!$N$28)</f>
        <v>361047.18241530756</v>
      </c>
      <c r="O26" s="653">
        <f>(O27+SUM(O34:O48))*(1+'Thong so - Độ nhậy - Bảng 1'!$N$28)</f>
        <v>370072.47898781521</v>
      </c>
      <c r="P26" s="653">
        <f>(P27+SUM(P34:P48))*(1+'Thong so - Độ nhậy - Bảng 1'!$N$28)</f>
        <v>379323.98456626059</v>
      </c>
      <c r="Q26" s="653">
        <f>(Q27+SUM(Q34:Q48))*(1+'Thong so - Độ nhậy - Bảng 1'!$N$28)</f>
        <v>388808.79105754214</v>
      </c>
      <c r="R26" s="653">
        <f>(R27+SUM(R34:R48))*(1+'Thong so - Độ nhậy - Bảng 1'!$N$28)</f>
        <v>398526.98147073056</v>
      </c>
      <c r="S26" s="653">
        <f>(S27+SUM(S34:S48))*(1+'Thong so - Độ nhậy - Bảng 1'!$N$28)</f>
        <v>408490.96210624895</v>
      </c>
    </row>
    <row r="27" spans="1:19" ht="20.25" customHeight="1">
      <c r="A27" s="629" t="s">
        <v>26</v>
      </c>
      <c r="B27" s="651" t="s">
        <v>501</v>
      </c>
      <c r="C27" s="649">
        <v>25900</v>
      </c>
      <c r="D27" s="613"/>
      <c r="E27" s="650">
        <f t="shared" ref="E27:S27" si="16">ROUNDUP((E28*E29+E30*E31+E32*E33)*$C$27/1000000,0)</f>
        <v>7416</v>
      </c>
      <c r="F27" s="650">
        <f t="shared" si="16"/>
        <v>7601</v>
      </c>
      <c r="G27" s="650">
        <f t="shared" si="16"/>
        <v>7791</v>
      </c>
      <c r="H27" s="650">
        <f t="shared" si="16"/>
        <v>7986</v>
      </c>
      <c r="I27" s="650">
        <f t="shared" si="16"/>
        <v>8186</v>
      </c>
      <c r="J27" s="650">
        <f t="shared" si="16"/>
        <v>8391</v>
      </c>
      <c r="K27" s="650">
        <f t="shared" si="16"/>
        <v>8600</v>
      </c>
      <c r="L27" s="650">
        <f t="shared" si="16"/>
        <v>8815</v>
      </c>
      <c r="M27" s="650">
        <f t="shared" si="16"/>
        <v>9036</v>
      </c>
      <c r="N27" s="650">
        <f t="shared" si="16"/>
        <v>9262</v>
      </c>
      <c r="O27" s="650">
        <f t="shared" si="16"/>
        <v>9493</v>
      </c>
      <c r="P27" s="650">
        <f t="shared" si="16"/>
        <v>9730</v>
      </c>
      <c r="Q27" s="650">
        <f t="shared" si="16"/>
        <v>9974</v>
      </c>
      <c r="R27" s="650">
        <f t="shared" si="16"/>
        <v>10223</v>
      </c>
      <c r="S27" s="650">
        <f t="shared" si="16"/>
        <v>10479</v>
      </c>
    </row>
    <row r="28" spans="1:19" ht="20.25" customHeight="1">
      <c r="A28" s="629"/>
      <c r="B28" s="648" t="s">
        <v>500</v>
      </c>
      <c r="C28" s="649">
        <v>15790</v>
      </c>
      <c r="D28" s="613">
        <v>1667</v>
      </c>
      <c r="E28" s="613">
        <f>(C28+D28)*2</f>
        <v>34914</v>
      </c>
      <c r="F28" s="613">
        <f t="shared" ref="F28:S28" si="17">E28</f>
        <v>34914</v>
      </c>
      <c r="G28" s="613">
        <f t="shared" si="17"/>
        <v>34914</v>
      </c>
      <c r="H28" s="613">
        <f t="shared" si="17"/>
        <v>34914</v>
      </c>
      <c r="I28" s="613">
        <f t="shared" si="17"/>
        <v>34914</v>
      </c>
      <c r="J28" s="613">
        <f t="shared" si="17"/>
        <v>34914</v>
      </c>
      <c r="K28" s="613">
        <f t="shared" si="17"/>
        <v>34914</v>
      </c>
      <c r="L28" s="613">
        <f t="shared" si="17"/>
        <v>34914</v>
      </c>
      <c r="M28" s="613">
        <f t="shared" si="17"/>
        <v>34914</v>
      </c>
      <c r="N28" s="613">
        <f t="shared" si="17"/>
        <v>34914</v>
      </c>
      <c r="O28" s="613">
        <f t="shared" si="17"/>
        <v>34914</v>
      </c>
      <c r="P28" s="613">
        <f t="shared" si="17"/>
        <v>34914</v>
      </c>
      <c r="Q28" s="613">
        <f t="shared" si="17"/>
        <v>34914</v>
      </c>
      <c r="R28" s="613">
        <f t="shared" si="17"/>
        <v>34914</v>
      </c>
      <c r="S28" s="613">
        <f t="shared" si="17"/>
        <v>34914</v>
      </c>
    </row>
    <row r="29" spans="1:19" ht="20.25" customHeight="1">
      <c r="A29" s="629"/>
      <c r="B29" s="648" t="s">
        <v>499</v>
      </c>
      <c r="C29" s="647">
        <v>4.2</v>
      </c>
      <c r="D29" s="613"/>
      <c r="E29" s="646">
        <f t="shared" ref="E29:S29" si="18">$C$29*((1+$D$9)^E4)</f>
        <v>4.3049999999999997</v>
      </c>
      <c r="F29" s="646">
        <f t="shared" si="18"/>
        <v>4.4126250000000002</v>
      </c>
      <c r="G29" s="646">
        <f t="shared" si="18"/>
        <v>4.5229406249999995</v>
      </c>
      <c r="H29" s="646">
        <f t="shared" si="18"/>
        <v>4.6360141406249991</v>
      </c>
      <c r="I29" s="646">
        <f t="shared" si="18"/>
        <v>4.7519144941406237</v>
      </c>
      <c r="J29" s="646">
        <f t="shared" si="18"/>
        <v>4.8707123564941393</v>
      </c>
      <c r="K29" s="646">
        <f t="shared" si="18"/>
        <v>4.9924801654064925</v>
      </c>
      <c r="L29" s="646">
        <f t="shared" si="18"/>
        <v>5.1172921695416544</v>
      </c>
      <c r="M29" s="646">
        <f t="shared" si="18"/>
        <v>5.245224473780195</v>
      </c>
      <c r="N29" s="646">
        <f t="shared" si="18"/>
        <v>5.3763550856247004</v>
      </c>
      <c r="O29" s="646">
        <f t="shared" si="18"/>
        <v>5.5107639627653171</v>
      </c>
      <c r="P29" s="646">
        <f t="shared" si="18"/>
        <v>5.64853306183445</v>
      </c>
      <c r="Q29" s="646">
        <f t="shared" si="18"/>
        <v>5.7897463883803111</v>
      </c>
      <c r="R29" s="646">
        <f t="shared" si="18"/>
        <v>5.9344900480898177</v>
      </c>
      <c r="S29" s="646">
        <f t="shared" si="18"/>
        <v>6.0828522992920639</v>
      </c>
    </row>
    <row r="30" spans="1:19" ht="20.25" customHeight="1">
      <c r="A30" s="629"/>
      <c r="B30" s="648" t="s">
        <v>498</v>
      </c>
      <c r="C30" s="649">
        <v>12632</v>
      </c>
      <c r="D30" s="613"/>
      <c r="E30" s="613">
        <f>$C$30*2</f>
        <v>25264</v>
      </c>
      <c r="F30" s="613">
        <f t="shared" ref="F30:S30" si="19">E30</f>
        <v>25264</v>
      </c>
      <c r="G30" s="613">
        <f t="shared" si="19"/>
        <v>25264</v>
      </c>
      <c r="H30" s="613">
        <f t="shared" si="19"/>
        <v>25264</v>
      </c>
      <c r="I30" s="613">
        <f t="shared" si="19"/>
        <v>25264</v>
      </c>
      <c r="J30" s="613">
        <f t="shared" si="19"/>
        <v>25264</v>
      </c>
      <c r="K30" s="613">
        <f t="shared" si="19"/>
        <v>25264</v>
      </c>
      <c r="L30" s="613">
        <f t="shared" si="19"/>
        <v>25264</v>
      </c>
      <c r="M30" s="613">
        <f t="shared" si="19"/>
        <v>25264</v>
      </c>
      <c r="N30" s="613">
        <f t="shared" si="19"/>
        <v>25264</v>
      </c>
      <c r="O30" s="613">
        <f t="shared" si="19"/>
        <v>25264</v>
      </c>
      <c r="P30" s="613">
        <f t="shared" si="19"/>
        <v>25264</v>
      </c>
      <c r="Q30" s="613">
        <f t="shared" si="19"/>
        <v>25264</v>
      </c>
      <c r="R30" s="613">
        <f t="shared" si="19"/>
        <v>25264</v>
      </c>
      <c r="S30" s="613">
        <f t="shared" si="19"/>
        <v>25264</v>
      </c>
    </row>
    <row r="31" spans="1:19" ht="20.25" customHeight="1">
      <c r="A31" s="629"/>
      <c r="B31" s="648" t="s">
        <v>497</v>
      </c>
      <c r="C31" s="647">
        <v>4.41</v>
      </c>
      <c r="D31" s="613"/>
      <c r="E31" s="646">
        <f t="shared" ref="E31:S31" si="20">$C$31*((1+$D$9)^E4)</f>
        <v>4.5202499999999999</v>
      </c>
      <c r="F31" s="646">
        <f t="shared" si="20"/>
        <v>4.6332562499999996</v>
      </c>
      <c r="G31" s="646">
        <f t="shared" si="20"/>
        <v>4.7490876562499995</v>
      </c>
      <c r="H31" s="646">
        <f t="shared" si="20"/>
        <v>4.8678148476562493</v>
      </c>
      <c r="I31" s="646">
        <f t="shared" si="20"/>
        <v>4.9895102188476548</v>
      </c>
      <c r="J31" s="646">
        <f t="shared" si="20"/>
        <v>5.1142479743188458</v>
      </c>
      <c r="K31" s="646">
        <f t="shared" si="20"/>
        <v>5.2421041736768172</v>
      </c>
      <c r="L31" s="646">
        <f t="shared" si="20"/>
        <v>5.3731567780187373</v>
      </c>
      <c r="M31" s="646">
        <f t="shared" si="20"/>
        <v>5.507485697469205</v>
      </c>
      <c r="N31" s="646">
        <f t="shared" si="20"/>
        <v>5.6451728399059347</v>
      </c>
      <c r="O31" s="646">
        <f t="shared" si="20"/>
        <v>5.786302160903583</v>
      </c>
      <c r="P31" s="646">
        <f t="shared" si="20"/>
        <v>5.9309597149261721</v>
      </c>
      <c r="Q31" s="646">
        <f t="shared" si="20"/>
        <v>6.0792337077993261</v>
      </c>
      <c r="R31" s="646">
        <f t="shared" si="20"/>
        <v>6.2312145504943084</v>
      </c>
      <c r="S31" s="646">
        <f t="shared" si="20"/>
        <v>6.3869949142566673</v>
      </c>
    </row>
    <row r="32" spans="1:19" ht="20.25" customHeight="1">
      <c r="A32" s="629"/>
      <c r="B32" s="648" t="s">
        <v>496</v>
      </c>
      <c r="C32" s="649">
        <v>1380</v>
      </c>
      <c r="D32" s="613"/>
      <c r="E32" s="613">
        <f>$C$32*2</f>
        <v>2760</v>
      </c>
      <c r="F32" s="613">
        <f t="shared" ref="F32:S32" si="21">E32</f>
        <v>2760</v>
      </c>
      <c r="G32" s="613">
        <f t="shared" si="21"/>
        <v>2760</v>
      </c>
      <c r="H32" s="613">
        <f t="shared" si="21"/>
        <v>2760</v>
      </c>
      <c r="I32" s="613">
        <f t="shared" si="21"/>
        <v>2760</v>
      </c>
      <c r="J32" s="613">
        <f t="shared" si="21"/>
        <v>2760</v>
      </c>
      <c r="K32" s="613">
        <f t="shared" si="21"/>
        <v>2760</v>
      </c>
      <c r="L32" s="613">
        <f t="shared" si="21"/>
        <v>2760</v>
      </c>
      <c r="M32" s="613">
        <f t="shared" si="21"/>
        <v>2760</v>
      </c>
      <c r="N32" s="613">
        <f t="shared" si="21"/>
        <v>2760</v>
      </c>
      <c r="O32" s="613">
        <f t="shared" si="21"/>
        <v>2760</v>
      </c>
      <c r="P32" s="613">
        <f t="shared" si="21"/>
        <v>2760</v>
      </c>
      <c r="Q32" s="613">
        <f t="shared" si="21"/>
        <v>2760</v>
      </c>
      <c r="R32" s="613">
        <f t="shared" si="21"/>
        <v>2760</v>
      </c>
      <c r="S32" s="613">
        <f t="shared" si="21"/>
        <v>2760</v>
      </c>
    </row>
    <row r="33" spans="1:19" ht="20.25" customHeight="1">
      <c r="A33" s="629"/>
      <c r="B33" s="648" t="s">
        <v>495</v>
      </c>
      <c r="C33" s="647">
        <v>7.71</v>
      </c>
      <c r="D33" s="613"/>
      <c r="E33" s="646">
        <f t="shared" ref="E33:S33" si="22">$C$33*((1+$D$9)^E4)</f>
        <v>7.9027499999999993</v>
      </c>
      <c r="F33" s="646">
        <f t="shared" si="22"/>
        <v>8.1003187499999996</v>
      </c>
      <c r="G33" s="646">
        <f t="shared" si="22"/>
        <v>8.3028267187499996</v>
      </c>
      <c r="H33" s="646">
        <f t="shared" si="22"/>
        <v>8.5103973867187488</v>
      </c>
      <c r="I33" s="646">
        <f t="shared" si="22"/>
        <v>8.7231573213867168</v>
      </c>
      <c r="J33" s="646">
        <f t="shared" si="22"/>
        <v>8.9412362544213835</v>
      </c>
      <c r="K33" s="646">
        <f t="shared" si="22"/>
        <v>9.1647671607819188</v>
      </c>
      <c r="L33" s="646">
        <f t="shared" si="22"/>
        <v>9.3938863398014654</v>
      </c>
      <c r="M33" s="646">
        <f t="shared" si="22"/>
        <v>9.6287334982964996</v>
      </c>
      <c r="N33" s="646">
        <f t="shared" si="22"/>
        <v>9.8694518357539138</v>
      </c>
      <c r="O33" s="646">
        <f t="shared" si="22"/>
        <v>10.11618813164776</v>
      </c>
      <c r="P33" s="646">
        <f t="shared" si="22"/>
        <v>10.369092834938954</v>
      </c>
      <c r="Q33" s="646">
        <f t="shared" si="22"/>
        <v>10.628320155812427</v>
      </c>
      <c r="R33" s="646">
        <f t="shared" si="22"/>
        <v>10.894028159707737</v>
      </c>
      <c r="S33" s="646">
        <f t="shared" si="22"/>
        <v>11.166378863700432</v>
      </c>
    </row>
    <row r="34" spans="1:19" s="572" customFormat="1" ht="20.25" customHeight="1">
      <c r="A34" s="641" t="s">
        <v>26</v>
      </c>
      <c r="B34" s="643" t="s">
        <v>494</v>
      </c>
      <c r="C34" s="642"/>
      <c r="D34" s="638"/>
      <c r="E34" s="638">
        <v>11277.877882972971</v>
      </c>
      <c r="F34" s="638">
        <v>22456</v>
      </c>
      <c r="G34" s="638">
        <v>23017</v>
      </c>
      <c r="H34" s="638">
        <v>23593</v>
      </c>
      <c r="I34" s="638">
        <v>23874</v>
      </c>
      <c r="J34" s="638">
        <v>24787</v>
      </c>
      <c r="K34" s="638">
        <v>25407</v>
      </c>
      <c r="L34" s="638">
        <v>26041</v>
      </c>
      <c r="M34" s="638">
        <v>26693</v>
      </c>
      <c r="N34" s="638">
        <v>27360</v>
      </c>
      <c r="O34" s="638">
        <v>28044</v>
      </c>
      <c r="P34" s="638">
        <v>28745</v>
      </c>
      <c r="Q34" s="638">
        <v>29465</v>
      </c>
      <c r="R34" s="638">
        <v>30200</v>
      </c>
      <c r="S34" s="638">
        <v>30955</v>
      </c>
    </row>
    <row r="35" spans="1:19" s="572" customFormat="1" ht="20.25" customHeight="1">
      <c r="A35" s="641" t="s">
        <v>26</v>
      </c>
      <c r="B35" s="643" t="s">
        <v>493</v>
      </c>
      <c r="C35" s="642"/>
      <c r="D35" s="638"/>
      <c r="E35" s="638">
        <v>822.55247550000001</v>
      </c>
      <c r="F35" s="638">
        <v>843.11628738749994</v>
      </c>
      <c r="G35" s="638">
        <v>864.19419457218737</v>
      </c>
      <c r="H35" s="638">
        <v>885.79904943649206</v>
      </c>
      <c r="I35" s="638">
        <v>907.94402567240422</v>
      </c>
      <c r="J35" s="638">
        <v>930.64262631421434</v>
      </c>
      <c r="K35" s="638">
        <v>953.90869197206973</v>
      </c>
      <c r="L35" s="638">
        <v>977.75640927137135</v>
      </c>
      <c r="M35" s="638">
        <v>1002.2003195031555</v>
      </c>
      <c r="N35" s="638">
        <v>1027.2553274907343</v>
      </c>
      <c r="O35" s="638">
        <v>1052.9367106780028</v>
      </c>
      <c r="P35" s="638">
        <v>1079.2601284449527</v>
      </c>
      <c r="Q35" s="638">
        <v>1106.2416316560764</v>
      </c>
      <c r="R35" s="638">
        <v>1133.8976724474783</v>
      </c>
      <c r="S35" s="638">
        <v>1162.2451142586654</v>
      </c>
    </row>
    <row r="36" spans="1:19" ht="20.25" customHeight="1">
      <c r="A36" s="629" t="s">
        <v>26</v>
      </c>
      <c r="B36" s="645" t="s">
        <v>492</v>
      </c>
      <c r="C36" s="644">
        <v>10</v>
      </c>
      <c r="D36" s="613">
        <v>25</v>
      </c>
      <c r="E36" s="613">
        <f t="shared" ref="E36:S36" si="23">$C$36*(1+$D$13)^E4*$D$36*12</f>
        <v>3075</v>
      </c>
      <c r="F36" s="613">
        <f t="shared" si="23"/>
        <v>3151.875</v>
      </c>
      <c r="G36" s="613">
        <f t="shared" si="23"/>
        <v>3230.6718749999991</v>
      </c>
      <c r="H36" s="613">
        <f t="shared" si="23"/>
        <v>3311.4386718749997</v>
      </c>
      <c r="I36" s="613">
        <f t="shared" si="23"/>
        <v>3394.2246386718734</v>
      </c>
      <c r="J36" s="613">
        <f t="shared" si="23"/>
        <v>3479.0802546386703</v>
      </c>
      <c r="K36" s="613">
        <f t="shared" si="23"/>
        <v>3566.0572610046374</v>
      </c>
      <c r="L36" s="613">
        <f t="shared" si="23"/>
        <v>3655.2086925297531</v>
      </c>
      <c r="M36" s="613">
        <f t="shared" si="23"/>
        <v>3746.5889098429961</v>
      </c>
      <c r="N36" s="613">
        <f t="shared" si="23"/>
        <v>3840.253632589071</v>
      </c>
      <c r="O36" s="613">
        <f t="shared" si="23"/>
        <v>3936.2599734037981</v>
      </c>
      <c r="P36" s="613">
        <f t="shared" si="23"/>
        <v>4034.6664727388925</v>
      </c>
      <c r="Q36" s="613">
        <f t="shared" si="23"/>
        <v>4135.533134557365</v>
      </c>
      <c r="R36" s="613">
        <f t="shared" si="23"/>
        <v>4238.9214629212984</v>
      </c>
      <c r="S36" s="613">
        <f t="shared" si="23"/>
        <v>4344.8944994943313</v>
      </c>
    </row>
    <row r="37" spans="1:19" s="572" customFormat="1" ht="20.25" customHeight="1">
      <c r="A37" s="641" t="s">
        <v>26</v>
      </c>
      <c r="B37" s="643" t="s">
        <v>491</v>
      </c>
      <c r="C37" s="642"/>
      <c r="D37" s="638"/>
      <c r="E37" s="638">
        <v>165.58140414038459</v>
      </c>
      <c r="F37" s="638">
        <v>381.10267553312497</v>
      </c>
      <c r="G37" s="638">
        <v>390.63024242145309</v>
      </c>
      <c r="H37" s="638">
        <v>400.39599848198935</v>
      </c>
      <c r="I37" s="638">
        <v>467.3146509705627</v>
      </c>
      <c r="J37" s="638">
        <v>712.32340260357398</v>
      </c>
      <c r="K37" s="638">
        <v>730.13148766866334</v>
      </c>
      <c r="L37" s="638">
        <v>748.38477486037982</v>
      </c>
      <c r="M37" s="638">
        <v>767.09439423188917</v>
      </c>
      <c r="N37" s="638">
        <v>786.27175408768642</v>
      </c>
      <c r="O37" s="638">
        <v>805.92854793987874</v>
      </c>
      <c r="P37" s="638">
        <v>826.0767616383755</v>
      </c>
      <c r="Q37" s="638">
        <v>846.72868067933484</v>
      </c>
      <c r="R37" s="638">
        <v>867.89689769631821</v>
      </c>
      <c r="S37" s="638">
        <v>889.59432013872629</v>
      </c>
    </row>
    <row r="38" spans="1:19" s="572" customFormat="1" ht="20.25" customHeight="1">
      <c r="A38" s="641" t="s">
        <v>26</v>
      </c>
      <c r="B38" s="640" t="s">
        <v>490</v>
      </c>
      <c r="C38" s="639"/>
      <c r="D38" s="638"/>
      <c r="E38" s="638">
        <v>7947.6758682692289</v>
      </c>
      <c r="F38" s="638">
        <v>33933.360402512015</v>
      </c>
      <c r="G38" s="638">
        <v>39098.972951144526</v>
      </c>
      <c r="H38" s="638">
        <v>40076.447274923135</v>
      </c>
      <c r="I38" s="638">
        <v>41078.35845679621</v>
      </c>
      <c r="J38" s="638">
        <v>42105.317418216109</v>
      </c>
      <c r="K38" s="638">
        <v>43157.95035367152</v>
      </c>
      <c r="L38" s="638">
        <v>44236.899112513289</v>
      </c>
      <c r="M38" s="638">
        <v>45342.821590326123</v>
      </c>
      <c r="N38" s="638">
        <v>46476.392130084278</v>
      </c>
      <c r="O38" s="638">
        <v>47638.301933336392</v>
      </c>
      <c r="P38" s="638">
        <v>48829.259481669797</v>
      </c>
      <c r="Q38" s="638">
        <v>50049.990968711536</v>
      </c>
      <c r="R38" s="638">
        <v>51301.240742929316</v>
      </c>
      <c r="S38" s="638">
        <v>52583.771761502554</v>
      </c>
    </row>
    <row r="39" spans="1:19" s="572" customFormat="1" ht="20.25" customHeight="1">
      <c r="A39" s="641" t="s">
        <v>26</v>
      </c>
      <c r="B39" s="640" t="s">
        <v>489</v>
      </c>
      <c r="C39" s="639"/>
      <c r="D39" s="638"/>
      <c r="E39" s="638">
        <v>37981.942974458645</v>
      </c>
      <c r="F39" s="638">
        <v>162167.52936360493</v>
      </c>
      <c r="G39" s="638">
        <v>186853.99173351968</v>
      </c>
      <c r="H39" s="638">
        <v>191525.34152685766</v>
      </c>
      <c r="I39" s="638">
        <v>196313.47506502905</v>
      </c>
      <c r="J39" s="638">
        <v>201221.31194165477</v>
      </c>
      <c r="K39" s="638">
        <v>206251.84474019616</v>
      </c>
      <c r="L39" s="638">
        <v>211408.14085870105</v>
      </c>
      <c r="M39" s="638">
        <v>216693.34438016854</v>
      </c>
      <c r="N39" s="638">
        <v>222110.67798967275</v>
      </c>
      <c r="O39" s="638">
        <v>227663.44493941459</v>
      </c>
      <c r="P39" s="638">
        <v>233355.03106289997</v>
      </c>
      <c r="Q39" s="638">
        <v>239188.90683947242</v>
      </c>
      <c r="R39" s="638">
        <v>245168.6295104592</v>
      </c>
      <c r="S39" s="638">
        <v>251297.84524822072</v>
      </c>
    </row>
    <row r="40" spans="1:19" s="626" customFormat="1" ht="20.25" customHeight="1">
      <c r="A40" s="629" t="s">
        <v>26</v>
      </c>
      <c r="B40" s="628" t="s">
        <v>488</v>
      </c>
      <c r="C40" s="637">
        <v>3.3</v>
      </c>
      <c r="D40" s="613"/>
      <c r="E40" s="624">
        <f t="shared" ref="E40:S40" si="24">E12*(1+$D$13)^E4*$C$40</f>
        <v>4870.7816076562494</v>
      </c>
      <c r="F40" s="624">
        <f t="shared" si="24"/>
        <v>15361.695839531247</v>
      </c>
      <c r="G40" s="624">
        <f t="shared" si="24"/>
        <v>15745.738235519526</v>
      </c>
      <c r="H40" s="624">
        <f t="shared" si="24"/>
        <v>16139.381691407516</v>
      </c>
      <c r="I40" s="624">
        <f t="shared" si="24"/>
        <v>16542.866233692701</v>
      </c>
      <c r="J40" s="624">
        <f t="shared" si="24"/>
        <v>16956.437889535016</v>
      </c>
      <c r="K40" s="624">
        <f t="shared" si="24"/>
        <v>17380.348836773392</v>
      </c>
      <c r="L40" s="624">
        <f t="shared" si="24"/>
        <v>17814.857557692725</v>
      </c>
      <c r="M40" s="624">
        <f t="shared" si="24"/>
        <v>18260.22899663504</v>
      </c>
      <c r="N40" s="624">
        <f t="shared" si="24"/>
        <v>18716.734721550918</v>
      </c>
      <c r="O40" s="624">
        <f t="shared" si="24"/>
        <v>19184.65308958969</v>
      </c>
      <c r="P40" s="624">
        <f t="shared" si="24"/>
        <v>19664.269416829429</v>
      </c>
      <c r="Q40" s="624">
        <f t="shared" si="24"/>
        <v>20155.876152250166</v>
      </c>
      <c r="R40" s="624">
        <f t="shared" si="24"/>
        <v>20659.773056056416</v>
      </c>
      <c r="S40" s="624">
        <f t="shared" si="24"/>
        <v>21176.267382457831</v>
      </c>
    </row>
    <row r="41" spans="1:19" s="633" customFormat="1" ht="20.25" customHeight="1">
      <c r="A41" s="551" t="s">
        <v>26</v>
      </c>
      <c r="B41" s="635" t="s">
        <v>487</v>
      </c>
      <c r="C41" s="636">
        <v>7.0000000000000007E-2</v>
      </c>
      <c r="D41" s="401"/>
      <c r="E41" s="401"/>
      <c r="F41" s="401">
        <f>'VLD- Bảng 6'!E16*$C$41</f>
        <v>3424.1627777794533</v>
      </c>
      <c r="G41" s="401">
        <f>'VLD- Bảng 6'!F16*$C$41</f>
        <v>3853.9135947435152</v>
      </c>
      <c r="H41" s="401">
        <f>'VLD- Bảng 6'!G16*$C$41</f>
        <v>3950.2732007371028</v>
      </c>
      <c r="I41" s="401">
        <f>'VLD- Bảng 6'!H16*$C$41</f>
        <v>4044.4077531727767</v>
      </c>
      <c r="J41" s="401">
        <f>'VLD- Bảng 6'!I16*$C$41</f>
        <v>4150.0868919753066</v>
      </c>
      <c r="K41" s="401">
        <f>'VLD- Bảng 6'!J16*$C$41</f>
        <v>4253.8325043996902</v>
      </c>
      <c r="L41" s="401">
        <f>'VLD- Bảng 6'!K16*$C$41</f>
        <v>4360.1606752596826</v>
      </c>
      <c r="M41" s="401">
        <f>'VLD- Bảng 6'!L16*$C$41</f>
        <v>4469.1886408911732</v>
      </c>
      <c r="N41" s="401">
        <f>'VLD- Bảng 6'!M16*$C$41</f>
        <v>4580.9148761634524</v>
      </c>
      <c r="O41" s="401">
        <f>'VLD- Bảng 6'!N16*$C$41</f>
        <v>4695.4297601925391</v>
      </c>
      <c r="P41" s="401">
        <f>'VLD- Bảng 6'!O16*$C$41</f>
        <v>4812.8091079473534</v>
      </c>
      <c r="Q41" s="401">
        <f>'VLD- Bảng 6'!P16*$C$41</f>
        <v>4933.161212771035</v>
      </c>
      <c r="R41" s="401">
        <f>'VLD- Bảng 6'!Q16*$C$41</f>
        <v>5056.4608798403106</v>
      </c>
      <c r="S41" s="401">
        <f>'VLD- Bảng 6'!R16*$C$41</f>
        <v>5182.878500586321</v>
      </c>
    </row>
    <row r="42" spans="1:19" s="633" customFormat="1" ht="20.25" customHeight="1">
      <c r="A42" s="551" t="s">
        <v>26</v>
      </c>
      <c r="B42" s="635" t="s">
        <v>486</v>
      </c>
      <c r="C42" s="634"/>
      <c r="D42" s="401"/>
      <c r="E42" s="401">
        <f>'[4]Nguồn trả nợ- Bảng 6'!D9</f>
        <v>0</v>
      </c>
      <c r="F42" s="401">
        <f>'KH trả nợ-Bảng 5'!D12</f>
        <v>12000</v>
      </c>
      <c r="G42" s="401">
        <f>'KH trả nợ-Bảng 5'!E12</f>
        <v>10707.495918158345</v>
      </c>
      <c r="H42" s="401">
        <f>'KH trả nợ-Bảng 5'!F12</f>
        <v>8952.0792779866024</v>
      </c>
      <c r="I42" s="401">
        <f>'KH trả nợ-Bảng 5'!G12</f>
        <v>7043.2734160145083</v>
      </c>
      <c r="J42" s="401">
        <f>'KH trả nợ-Bảng 5'!H12</f>
        <v>4956.692772266324</v>
      </c>
      <c r="K42" s="401">
        <f>'KH trả nợ-Bảng 5'!I12</f>
        <v>2726.0319855266962</v>
      </c>
      <c r="L42" s="401">
        <f>'KH trả nợ-Bảng 5'!J12</f>
        <v>311.44209926295412</v>
      </c>
      <c r="M42" s="401">
        <f>'[4]Nguồn trả nợ- Bảng 6'!L9</f>
        <v>0</v>
      </c>
      <c r="N42" s="401">
        <f>'[4]Nguồn trả nợ- Bảng 6'!M9</f>
        <v>0</v>
      </c>
      <c r="O42" s="401">
        <f>'[4]Nguồn trả nợ- Bảng 6'!N9</f>
        <v>0</v>
      </c>
      <c r="P42" s="401">
        <f>'[4]Nguồn trả nợ- Bảng 6'!O9</f>
        <v>0</v>
      </c>
      <c r="Q42" s="401">
        <f>'[4]Nguồn trả nợ- Bảng 6'!P9</f>
        <v>0</v>
      </c>
      <c r="R42" s="401">
        <f>'[4]Nguồn trả nợ- Bảng 6'!Q9</f>
        <v>0</v>
      </c>
      <c r="S42" s="401">
        <f>'[4]Nguồn trả nợ- Bảng 6'!R9</f>
        <v>0</v>
      </c>
    </row>
    <row r="43" spans="1:19" ht="20.25" customHeight="1">
      <c r="A43" s="617"/>
      <c r="B43" s="616" t="s">
        <v>485</v>
      </c>
      <c r="C43" s="618"/>
      <c r="D43" s="613"/>
      <c r="E43" s="613">
        <v>233</v>
      </c>
      <c r="F43" s="613">
        <v>733</v>
      </c>
      <c r="G43" s="613">
        <v>751</v>
      </c>
      <c r="H43" s="613">
        <v>770</v>
      </c>
      <c r="I43" s="613">
        <v>789</v>
      </c>
      <c r="J43" s="613">
        <v>809</v>
      </c>
      <c r="K43" s="613">
        <v>829</v>
      </c>
      <c r="L43" s="613">
        <v>850</v>
      </c>
      <c r="M43" s="613">
        <v>871</v>
      </c>
      <c r="N43" s="613">
        <v>893</v>
      </c>
      <c r="O43" s="613">
        <v>915</v>
      </c>
      <c r="P43" s="613">
        <v>938</v>
      </c>
      <c r="Q43" s="613">
        <v>961</v>
      </c>
      <c r="R43" s="613">
        <v>985</v>
      </c>
      <c r="S43" s="613">
        <v>1010</v>
      </c>
    </row>
    <row r="44" spans="1:19" ht="20.25" customHeight="1">
      <c r="A44" s="629"/>
      <c r="B44" s="631" t="s">
        <v>484</v>
      </c>
      <c r="C44" s="632"/>
      <c r="D44" s="613"/>
      <c r="E44" s="613">
        <v>400</v>
      </c>
      <c r="F44" s="613"/>
      <c r="G44" s="613"/>
      <c r="H44" s="613"/>
      <c r="I44" s="613"/>
      <c r="J44" s="613"/>
      <c r="K44" s="613"/>
      <c r="L44" s="613"/>
      <c r="M44" s="613"/>
      <c r="N44" s="613"/>
      <c r="O44" s="613"/>
      <c r="P44" s="613"/>
      <c r="Q44" s="613"/>
      <c r="R44" s="613"/>
      <c r="S44" s="613"/>
    </row>
    <row r="45" spans="1:19" ht="20.25" customHeight="1">
      <c r="A45" s="629" t="s">
        <v>26</v>
      </c>
      <c r="B45" s="631" t="s">
        <v>483</v>
      </c>
      <c r="C45" s="630">
        <v>0.02</v>
      </c>
      <c r="D45" s="613"/>
      <c r="E45" s="613">
        <f t="shared" ref="E45:S45" si="25">$C$45*E6</f>
        <v>1417.2903771549129</v>
      </c>
      <c r="F45" s="613">
        <f t="shared" si="25"/>
        <v>5889.5815926265541</v>
      </c>
      <c r="G45" s="613">
        <f t="shared" si="25"/>
        <v>6728.4864568229723</v>
      </c>
      <c r="H45" s="613">
        <f t="shared" si="25"/>
        <v>6896.6986182435476</v>
      </c>
      <c r="I45" s="613">
        <f t="shared" si="25"/>
        <v>7069.1160836996351</v>
      </c>
      <c r="J45" s="613">
        <f t="shared" si="25"/>
        <v>7245.8439857921239</v>
      </c>
      <c r="K45" s="613">
        <f t="shared" si="25"/>
        <v>7426.990085436928</v>
      </c>
      <c r="L45" s="613">
        <f t="shared" si="25"/>
        <v>7612.664837572851</v>
      </c>
      <c r="M45" s="613">
        <f t="shared" si="25"/>
        <v>7802.9814585121703</v>
      </c>
      <c r="N45" s="613">
        <f t="shared" si="25"/>
        <v>7998.0559949749741</v>
      </c>
      <c r="O45" s="613">
        <f t="shared" si="25"/>
        <v>8198.00739484935</v>
      </c>
      <c r="P45" s="613">
        <f t="shared" si="25"/>
        <v>8402.9575797205835</v>
      </c>
      <c r="Q45" s="613">
        <f t="shared" si="25"/>
        <v>8613.0315192135968</v>
      </c>
      <c r="R45" s="613">
        <f t="shared" si="25"/>
        <v>8828.3573071939336</v>
      </c>
      <c r="S45" s="613">
        <f t="shared" si="25"/>
        <v>9049.0662398737841</v>
      </c>
    </row>
    <row r="46" spans="1:19" s="626" customFormat="1" ht="20.25" customHeight="1">
      <c r="A46" s="629" t="s">
        <v>26</v>
      </c>
      <c r="B46" s="628" t="s">
        <v>482</v>
      </c>
      <c r="C46" s="627">
        <v>0.03</v>
      </c>
      <c r="D46" s="613"/>
      <c r="E46" s="613">
        <f t="shared" ref="E46:S46" si="26">$C$46*E6</f>
        <v>2125.935565732369</v>
      </c>
      <c r="F46" s="613">
        <f t="shared" si="26"/>
        <v>8834.3723889398316</v>
      </c>
      <c r="G46" s="613">
        <f t="shared" si="26"/>
        <v>10092.729685234457</v>
      </c>
      <c r="H46" s="613">
        <f t="shared" si="26"/>
        <v>10345.04792736532</v>
      </c>
      <c r="I46" s="613">
        <f t="shared" si="26"/>
        <v>10603.674125549453</v>
      </c>
      <c r="J46" s="613">
        <f t="shared" si="26"/>
        <v>10868.765978688185</v>
      </c>
      <c r="K46" s="613">
        <f t="shared" si="26"/>
        <v>11140.485128155391</v>
      </c>
      <c r="L46" s="613">
        <f t="shared" si="26"/>
        <v>11418.997256359275</v>
      </c>
      <c r="M46" s="613">
        <f t="shared" si="26"/>
        <v>11704.472187768255</v>
      </c>
      <c r="N46" s="613">
        <f t="shared" si="26"/>
        <v>11997.083992462462</v>
      </c>
      <c r="O46" s="613">
        <f t="shared" si="26"/>
        <v>12297.011092274024</v>
      </c>
      <c r="P46" s="613">
        <f t="shared" si="26"/>
        <v>12604.436369580873</v>
      </c>
      <c r="Q46" s="613">
        <f t="shared" si="26"/>
        <v>12919.547278820395</v>
      </c>
      <c r="R46" s="613">
        <f t="shared" si="26"/>
        <v>13242.535960790899</v>
      </c>
      <c r="S46" s="613">
        <f t="shared" si="26"/>
        <v>13573.599359810676</v>
      </c>
    </row>
    <row r="47" spans="1:19" s="626" customFormat="1" ht="20.25" customHeight="1">
      <c r="A47" s="629" t="s">
        <v>26</v>
      </c>
      <c r="B47" s="628" t="s">
        <v>481</v>
      </c>
      <c r="C47" s="627">
        <v>5.0000000000000001E-3</v>
      </c>
      <c r="D47" s="613"/>
      <c r="E47" s="613">
        <f t="shared" ref="E47:S47" si="27">$C$47*E6</f>
        <v>354.32259428872823</v>
      </c>
      <c r="F47" s="613">
        <f t="shared" si="27"/>
        <v>1472.3953981566385</v>
      </c>
      <c r="G47" s="613">
        <f t="shared" si="27"/>
        <v>1682.1216142057431</v>
      </c>
      <c r="H47" s="613">
        <f t="shared" si="27"/>
        <v>1724.1746545608869</v>
      </c>
      <c r="I47" s="613">
        <f t="shared" si="27"/>
        <v>1767.2790209249088</v>
      </c>
      <c r="J47" s="613">
        <f t="shared" si="27"/>
        <v>1811.460996448031</v>
      </c>
      <c r="K47" s="613">
        <f t="shared" si="27"/>
        <v>1856.747521359232</v>
      </c>
      <c r="L47" s="613">
        <f t="shared" si="27"/>
        <v>1903.1662093932127</v>
      </c>
      <c r="M47" s="613">
        <f t="shared" si="27"/>
        <v>1950.7453646280426</v>
      </c>
      <c r="N47" s="613">
        <f t="shared" si="27"/>
        <v>1999.5139987437435</v>
      </c>
      <c r="O47" s="613">
        <f t="shared" si="27"/>
        <v>2049.5018487123375</v>
      </c>
      <c r="P47" s="613">
        <f t="shared" si="27"/>
        <v>2100.7393949301459</v>
      </c>
      <c r="Q47" s="613">
        <f t="shared" si="27"/>
        <v>2153.2578798033992</v>
      </c>
      <c r="R47" s="613">
        <f t="shared" si="27"/>
        <v>2207.0893267984834</v>
      </c>
      <c r="S47" s="613">
        <f t="shared" si="27"/>
        <v>2262.266559968446</v>
      </c>
    </row>
    <row r="48" spans="1:19" ht="20.25" customHeight="1">
      <c r="A48" s="617"/>
      <c r="B48" s="616" t="s">
        <v>480</v>
      </c>
      <c r="C48" s="625">
        <v>0.01</v>
      </c>
      <c r="D48" s="613"/>
      <c r="E48" s="624">
        <f t="shared" ref="E48:S48" si="28">$C$48*E6</f>
        <v>708.64518857745645</v>
      </c>
      <c r="F48" s="613">
        <f t="shared" si="28"/>
        <v>2944.790796313277</v>
      </c>
      <c r="G48" s="613">
        <f t="shared" si="28"/>
        <v>3364.2432284114861</v>
      </c>
      <c r="H48" s="613">
        <f t="shared" si="28"/>
        <v>3448.3493091217738</v>
      </c>
      <c r="I48" s="613">
        <f t="shared" si="28"/>
        <v>3534.5580418498175</v>
      </c>
      <c r="J48" s="613">
        <f t="shared" si="28"/>
        <v>3622.921992896062</v>
      </c>
      <c r="K48" s="613">
        <f t="shared" si="28"/>
        <v>3713.495042718464</v>
      </c>
      <c r="L48" s="613">
        <f t="shared" si="28"/>
        <v>3806.3324187864255</v>
      </c>
      <c r="M48" s="613">
        <f t="shared" si="28"/>
        <v>3901.4907292560852</v>
      </c>
      <c r="N48" s="613">
        <f t="shared" si="28"/>
        <v>3999.027997487487</v>
      </c>
      <c r="O48" s="613">
        <f t="shared" si="28"/>
        <v>4099.003697424675</v>
      </c>
      <c r="P48" s="613">
        <f t="shared" si="28"/>
        <v>4201.4787898602917</v>
      </c>
      <c r="Q48" s="613">
        <f t="shared" si="28"/>
        <v>4306.5157596067984</v>
      </c>
      <c r="R48" s="613">
        <f t="shared" si="28"/>
        <v>4414.1786535969668</v>
      </c>
      <c r="S48" s="613">
        <f t="shared" si="28"/>
        <v>4524.533119936892</v>
      </c>
    </row>
    <row r="49" spans="1:19" s="619" customFormat="1" ht="20.25" customHeight="1">
      <c r="A49" s="623">
        <v>2</v>
      </c>
      <c r="B49" s="622" t="s">
        <v>479</v>
      </c>
      <c r="C49" s="621"/>
      <c r="D49" s="620"/>
      <c r="E49" s="620">
        <f t="shared" ref="E49:S49" si="29">SUM(E50:E51)</f>
        <v>14092.918560274244</v>
      </c>
      <c r="F49" s="620">
        <f t="shared" si="29"/>
        <v>14092.918560274244</v>
      </c>
      <c r="G49" s="620">
        <f t="shared" si="29"/>
        <v>14950.461460356881</v>
      </c>
      <c r="H49" s="620">
        <f t="shared" si="29"/>
        <v>14950.461460356881</v>
      </c>
      <c r="I49" s="620">
        <f t="shared" si="29"/>
        <v>14950.461460356881</v>
      </c>
      <c r="J49" s="620">
        <f t="shared" si="29"/>
        <v>14950.461460356881</v>
      </c>
      <c r="K49" s="620">
        <f t="shared" si="29"/>
        <v>14950.461460356881</v>
      </c>
      <c r="L49" s="620">
        <f t="shared" si="29"/>
        <v>14950.461460356881</v>
      </c>
      <c r="M49" s="620">
        <f t="shared" si="29"/>
        <v>14950.461460356881</v>
      </c>
      <c r="N49" s="620">
        <f t="shared" si="29"/>
        <v>14950.461460356881</v>
      </c>
      <c r="O49" s="620">
        <f t="shared" si="29"/>
        <v>14950.461460356881</v>
      </c>
      <c r="P49" s="620">
        <f t="shared" si="29"/>
        <v>14950.461460356881</v>
      </c>
      <c r="Q49" s="620">
        <f t="shared" si="29"/>
        <v>14950.461460356881</v>
      </c>
      <c r="R49" s="620">
        <f t="shared" si="29"/>
        <v>14950.461460356881</v>
      </c>
      <c r="S49" s="620">
        <f t="shared" si="29"/>
        <v>14950.461460356881</v>
      </c>
    </row>
    <row r="50" spans="1:19" ht="20.25" customHeight="1">
      <c r="A50" s="617"/>
      <c r="B50" s="616" t="s">
        <v>27</v>
      </c>
      <c r="C50" s="618"/>
      <c r="D50" s="613"/>
      <c r="E50" s="613">
        <f>'[4]Khấu hao- Bảng 3'!E8</f>
        <v>14092.918560274244</v>
      </c>
      <c r="F50" s="613">
        <f>'[4]Khấu hao- Bảng 3'!F8</f>
        <v>14092.918560274244</v>
      </c>
      <c r="G50" s="613">
        <f>'[4]Khấu hao- Bảng 3'!G8</f>
        <v>14092.918560274244</v>
      </c>
      <c r="H50" s="613">
        <f>'[4]Khấu hao- Bảng 3'!H8</f>
        <v>14092.918560274244</v>
      </c>
      <c r="I50" s="613">
        <f>'[4]Khấu hao- Bảng 3'!I8</f>
        <v>14092.918560274244</v>
      </c>
      <c r="J50" s="613">
        <f>'[4]Khấu hao- Bảng 3'!J8</f>
        <v>14092.918560274244</v>
      </c>
      <c r="K50" s="613">
        <f>'[4]Khấu hao- Bảng 3'!K8</f>
        <v>14092.918560274244</v>
      </c>
      <c r="L50" s="613">
        <f>'[4]Khấu hao- Bảng 3'!L8</f>
        <v>14092.918560274244</v>
      </c>
      <c r="M50" s="613">
        <f>'[4]Khấu hao- Bảng 3'!M8</f>
        <v>14092.918560274244</v>
      </c>
      <c r="N50" s="613">
        <f>'[4]Khấu hao- Bảng 3'!N8</f>
        <v>14092.918560274244</v>
      </c>
      <c r="O50" s="613">
        <f>'[4]Khấu hao- Bảng 3'!O8</f>
        <v>14092.918560274244</v>
      </c>
      <c r="P50" s="613">
        <f>'[4]Khấu hao- Bảng 3'!P8</f>
        <v>14092.918560274244</v>
      </c>
      <c r="Q50" s="613">
        <f>'[4]Khấu hao- Bảng 3'!Q8</f>
        <v>14092.918560274244</v>
      </c>
      <c r="R50" s="613">
        <f>'[4]Khấu hao- Bảng 3'!R8</f>
        <v>14092.918560274244</v>
      </c>
      <c r="S50" s="613">
        <f>'[4]Khấu hao- Bảng 3'!S8</f>
        <v>14092.918560274244</v>
      </c>
    </row>
    <row r="51" spans="1:19" ht="20.25" customHeight="1">
      <c r="A51" s="617"/>
      <c r="B51" s="616" t="s">
        <v>478</v>
      </c>
      <c r="C51" s="615">
        <v>5.0000000000000001E-3</v>
      </c>
      <c r="D51" s="613"/>
      <c r="E51" s="613">
        <v>0</v>
      </c>
      <c r="F51" s="613">
        <v>0</v>
      </c>
      <c r="G51" s="613">
        <f>$C$51*'[4]Tổng mức đầu tư-Bảng 1'!$D$42</f>
        <v>857.54290008263763</v>
      </c>
      <c r="H51" s="613">
        <f t="shared" ref="H51:S51" si="30">G51</f>
        <v>857.54290008263763</v>
      </c>
      <c r="I51" s="613">
        <f t="shared" si="30"/>
        <v>857.54290008263763</v>
      </c>
      <c r="J51" s="613">
        <f t="shared" si="30"/>
        <v>857.54290008263763</v>
      </c>
      <c r="K51" s="613">
        <f t="shared" si="30"/>
        <v>857.54290008263763</v>
      </c>
      <c r="L51" s="613">
        <f t="shared" si="30"/>
        <v>857.54290008263763</v>
      </c>
      <c r="M51" s="613">
        <f t="shared" si="30"/>
        <v>857.54290008263763</v>
      </c>
      <c r="N51" s="613">
        <f t="shared" si="30"/>
        <v>857.54290008263763</v>
      </c>
      <c r="O51" s="613">
        <f t="shared" si="30"/>
        <v>857.54290008263763</v>
      </c>
      <c r="P51" s="613">
        <f t="shared" si="30"/>
        <v>857.54290008263763</v>
      </c>
      <c r="Q51" s="613">
        <f t="shared" si="30"/>
        <v>857.54290008263763</v>
      </c>
      <c r="R51" s="613">
        <f t="shared" si="30"/>
        <v>857.54290008263763</v>
      </c>
      <c r="S51" s="613">
        <f t="shared" si="30"/>
        <v>857.54290008263763</v>
      </c>
    </row>
    <row r="52" spans="1:19" s="396" customFormat="1" ht="20.25" customHeight="1">
      <c r="A52" s="563" t="s">
        <v>234</v>
      </c>
      <c r="B52" s="609" t="s">
        <v>477</v>
      </c>
      <c r="C52" s="614"/>
      <c r="D52" s="613"/>
      <c r="E52" s="563">
        <f t="shared" ref="E52:S52" si="31">E5-E25</f>
        <v>-21374.631379404556</v>
      </c>
      <c r="F52" s="563">
        <f t="shared" si="31"/>
        <v>5464.2818325439002</v>
      </c>
      <c r="G52" s="563">
        <f t="shared" si="31"/>
        <v>13730.577517009748</v>
      </c>
      <c r="H52" s="563">
        <f t="shared" si="31"/>
        <v>16469.670763444621</v>
      </c>
      <c r="I52" s="563">
        <f t="shared" si="31"/>
        <v>19644.220438017626</v>
      </c>
      <c r="J52" s="563">
        <f t="shared" si="31"/>
        <v>22217.080134293414</v>
      </c>
      <c r="K52" s="563">
        <f t="shared" si="31"/>
        <v>25501.52834008116</v>
      </c>
      <c r="L52" s="563">
        <f t="shared" si="31"/>
        <v>28996.486412743921</v>
      </c>
      <c r="M52" s="563">
        <f t="shared" si="31"/>
        <v>30413.014312565967</v>
      </c>
      <c r="N52" s="563">
        <f t="shared" si="31"/>
        <v>31547.104687639046</v>
      </c>
      <c r="O52" s="563">
        <f t="shared" si="31"/>
        <v>32710.426829214033</v>
      </c>
      <c r="P52" s="563">
        <f t="shared" si="31"/>
        <v>33902.255432703241</v>
      </c>
      <c r="Q52" s="563">
        <f t="shared" si="31"/>
        <v>35121.866477904725</v>
      </c>
      <c r="R52" s="563">
        <f t="shared" si="31"/>
        <v>36375.704039611213</v>
      </c>
      <c r="S52" s="563">
        <f t="shared" si="31"/>
        <v>37658.052078360459</v>
      </c>
    </row>
    <row r="53" spans="1:19" s="396" customFormat="1" ht="20.25" customHeight="1">
      <c r="A53" s="610" t="s">
        <v>236</v>
      </c>
      <c r="B53" s="612" t="s">
        <v>476</v>
      </c>
      <c r="C53" s="611">
        <v>0.2</v>
      </c>
      <c r="D53" s="610"/>
      <c r="E53" s="610">
        <v>0</v>
      </c>
      <c r="F53" s="610">
        <f t="shared" ref="F53:S53" si="32">F52*$C$53</f>
        <v>1092.8563665087802</v>
      </c>
      <c r="G53" s="610">
        <f t="shared" si="32"/>
        <v>2746.1155034019498</v>
      </c>
      <c r="H53" s="610">
        <f t="shared" si="32"/>
        <v>3293.9341526889243</v>
      </c>
      <c r="I53" s="610">
        <f t="shared" si="32"/>
        <v>3928.8440876035256</v>
      </c>
      <c r="J53" s="610">
        <f t="shared" si="32"/>
        <v>4443.4160268586829</v>
      </c>
      <c r="K53" s="610">
        <f t="shared" si="32"/>
        <v>5100.3056680162326</v>
      </c>
      <c r="L53" s="610">
        <f t="shared" si="32"/>
        <v>5799.297282548785</v>
      </c>
      <c r="M53" s="610">
        <f t="shared" si="32"/>
        <v>6082.6028625131939</v>
      </c>
      <c r="N53" s="610">
        <f t="shared" si="32"/>
        <v>6309.4209375278097</v>
      </c>
      <c r="O53" s="610">
        <f t="shared" si="32"/>
        <v>6542.0853658428068</v>
      </c>
      <c r="P53" s="610">
        <f t="shared" si="32"/>
        <v>6780.4510865406482</v>
      </c>
      <c r="Q53" s="610">
        <f t="shared" si="32"/>
        <v>7024.3732955809455</v>
      </c>
      <c r="R53" s="610">
        <f t="shared" si="32"/>
        <v>7275.1408079222429</v>
      </c>
      <c r="S53" s="610">
        <f t="shared" si="32"/>
        <v>7531.6104156720921</v>
      </c>
    </row>
    <row r="54" spans="1:19" s="396" customFormat="1" ht="20.25" customHeight="1">
      <c r="A54" s="563" t="s">
        <v>237</v>
      </c>
      <c r="B54" s="609" t="s">
        <v>475</v>
      </c>
      <c r="C54" s="609"/>
      <c r="D54" s="563"/>
      <c r="E54" s="563">
        <f t="shared" ref="E54:S54" si="33">E52-E53</f>
        <v>-21374.631379404556</v>
      </c>
      <c r="F54" s="563">
        <f t="shared" si="33"/>
        <v>4371.4254660351198</v>
      </c>
      <c r="G54" s="563">
        <f t="shared" si="33"/>
        <v>10984.462013607797</v>
      </c>
      <c r="H54" s="563">
        <f t="shared" si="33"/>
        <v>13175.736610755697</v>
      </c>
      <c r="I54" s="563">
        <f t="shared" si="33"/>
        <v>15715.376350414101</v>
      </c>
      <c r="J54" s="563">
        <f t="shared" si="33"/>
        <v>17773.664107434732</v>
      </c>
      <c r="K54" s="563">
        <f t="shared" si="33"/>
        <v>20401.222672064927</v>
      </c>
      <c r="L54" s="563">
        <f t="shared" si="33"/>
        <v>23197.189130195136</v>
      </c>
      <c r="M54" s="563">
        <f t="shared" si="33"/>
        <v>24330.411450052772</v>
      </c>
      <c r="N54" s="563">
        <f t="shared" si="33"/>
        <v>25237.683750111239</v>
      </c>
      <c r="O54" s="563">
        <f t="shared" si="33"/>
        <v>26168.341463371227</v>
      </c>
      <c r="P54" s="563">
        <f t="shared" si="33"/>
        <v>27121.804346162593</v>
      </c>
      <c r="Q54" s="563">
        <f t="shared" si="33"/>
        <v>28097.493182323778</v>
      </c>
      <c r="R54" s="563">
        <f t="shared" si="33"/>
        <v>29100.563231688971</v>
      </c>
      <c r="S54" s="563">
        <f t="shared" si="33"/>
        <v>30126.441662688369</v>
      </c>
    </row>
    <row r="55" spans="1:19" s="396" customFormat="1" ht="20.25" customHeight="1">
      <c r="A55" s="606"/>
      <c r="B55" s="608"/>
      <c r="C55" s="608"/>
      <c r="D55" s="606"/>
      <c r="E55" s="606"/>
      <c r="F55" s="606"/>
      <c r="G55" s="606"/>
      <c r="H55" s="606"/>
      <c r="I55" s="606"/>
      <c r="J55" s="607"/>
      <c r="K55" s="607"/>
      <c r="L55" s="606"/>
      <c r="M55" s="607"/>
      <c r="N55" s="607"/>
      <c r="O55" s="606"/>
      <c r="P55" s="606"/>
      <c r="Q55" s="606"/>
      <c r="R55" s="606"/>
      <c r="S55" s="606"/>
    </row>
    <row r="56" spans="1:19" s="605" customFormat="1" ht="24.75" customHeight="1">
      <c r="B56" s="765"/>
      <c r="C56" s="765"/>
      <c r="D56" s="765"/>
      <c r="H56" s="766"/>
      <c r="I56" s="766"/>
      <c r="J56" s="766"/>
      <c r="O56" s="767"/>
      <c r="P56" s="767"/>
      <c r="Q56" s="767"/>
      <c r="R56" s="767"/>
    </row>
    <row r="57" spans="1:19" s="584" customFormat="1" ht="18.75">
      <c r="B57" s="604"/>
      <c r="C57" s="603"/>
      <c r="D57" s="602"/>
    </row>
    <row r="58" spans="1:19" s="589" customFormat="1">
      <c r="A58" s="599"/>
      <c r="B58" s="598"/>
      <c r="C58" s="597"/>
      <c r="D58" s="601"/>
      <c r="E58" s="601"/>
      <c r="F58" s="601"/>
      <c r="G58" s="601"/>
      <c r="H58" s="601"/>
      <c r="I58" s="601"/>
      <c r="J58" s="601"/>
      <c r="K58" s="601"/>
      <c r="L58" s="601"/>
      <c r="M58" s="601"/>
      <c r="N58" s="601"/>
      <c r="O58" s="601"/>
      <c r="P58" s="601"/>
      <c r="Q58" s="601"/>
      <c r="R58" s="601"/>
      <c r="S58" s="600"/>
    </row>
    <row r="59" spans="1:19" s="589" customFormat="1">
      <c r="A59" s="599"/>
      <c r="B59" s="598"/>
      <c r="C59" s="597"/>
      <c r="S59" s="584"/>
    </row>
    <row r="60" spans="1:19" s="593" customFormat="1" ht="24.75" customHeight="1">
      <c r="B60" s="768"/>
      <c r="C60" s="768"/>
      <c r="D60" s="768"/>
      <c r="H60" s="769"/>
      <c r="I60" s="769"/>
      <c r="J60" s="769"/>
      <c r="O60" s="770"/>
      <c r="P60" s="770"/>
      <c r="Q60" s="770"/>
      <c r="R60" s="770"/>
    </row>
    <row r="61" spans="1:19" s="593" customFormat="1" ht="24.75" customHeight="1">
      <c r="B61" s="596"/>
      <c r="C61" s="596"/>
      <c r="D61" s="596"/>
      <c r="H61" s="595"/>
      <c r="I61" s="595"/>
      <c r="J61" s="595"/>
      <c r="O61" s="594"/>
      <c r="P61" s="594"/>
      <c r="Q61" s="594"/>
      <c r="R61" s="594"/>
    </row>
    <row r="62" spans="1:19" s="589" customFormat="1">
      <c r="B62" s="592"/>
      <c r="C62" s="591"/>
      <c r="D62" s="590"/>
      <c r="E62" s="590"/>
      <c r="F62" s="590"/>
      <c r="G62" s="590"/>
      <c r="H62" s="590"/>
      <c r="I62" s="590"/>
      <c r="J62" s="590"/>
      <c r="K62" s="590"/>
      <c r="L62" s="590"/>
      <c r="M62" s="590"/>
      <c r="N62" s="590"/>
      <c r="O62" s="590"/>
      <c r="P62" s="590"/>
      <c r="Q62" s="590"/>
      <c r="R62" s="590"/>
    </row>
    <row r="63" spans="1:19" s="586" customFormat="1">
      <c r="A63" s="771" t="s">
        <v>474</v>
      </c>
      <c r="B63" s="771"/>
      <c r="C63" s="588"/>
      <c r="D63" s="587">
        <v>2017</v>
      </c>
      <c r="E63" s="587">
        <v>2018</v>
      </c>
      <c r="F63" s="587">
        <v>2019</v>
      </c>
      <c r="G63" s="587">
        <v>2020</v>
      </c>
      <c r="H63" s="587">
        <v>2021</v>
      </c>
      <c r="I63" s="587">
        <v>2022</v>
      </c>
      <c r="J63" s="587">
        <v>2023</v>
      </c>
      <c r="K63" s="587">
        <v>2024</v>
      </c>
      <c r="L63" s="587">
        <v>2025</v>
      </c>
      <c r="M63" s="587">
        <v>2026</v>
      </c>
      <c r="N63" s="587">
        <v>2027</v>
      </c>
      <c r="O63" s="587">
        <v>2028</v>
      </c>
      <c r="P63" s="587">
        <v>2029</v>
      </c>
      <c r="Q63" s="587">
        <v>2030</v>
      </c>
      <c r="R63" s="587">
        <v>2031</v>
      </c>
      <c r="S63" s="587">
        <v>2032</v>
      </c>
    </row>
    <row r="64" spans="1:19" s="584" customFormat="1">
      <c r="A64" s="772" t="s">
        <v>473</v>
      </c>
      <c r="B64" s="773"/>
      <c r="C64" s="582"/>
      <c r="D64" s="581"/>
      <c r="E64" s="585">
        <f t="shared" ref="E64:S64" si="34">E27+E34+E35+E36+E37+E38+E39+E40+E43+E44+E45+E46+E47+E48</f>
        <v>78796.605938750945</v>
      </c>
      <c r="F64" s="585">
        <f t="shared" si="34"/>
        <v>265769.81974460511</v>
      </c>
      <c r="G64" s="585">
        <f t="shared" si="34"/>
        <v>299610.78021685197</v>
      </c>
      <c r="H64" s="585">
        <f t="shared" si="34"/>
        <v>307102.07472227339</v>
      </c>
      <c r="I64" s="585">
        <f t="shared" si="34"/>
        <v>314527.81034285662</v>
      </c>
      <c r="J64" s="585">
        <f t="shared" si="34"/>
        <v>322941.10648678674</v>
      </c>
      <c r="K64" s="585">
        <f t="shared" si="34"/>
        <v>331013.9591489564</v>
      </c>
      <c r="L64" s="585">
        <f t="shared" si="34"/>
        <v>339288.40812768036</v>
      </c>
      <c r="M64" s="585">
        <f t="shared" si="34"/>
        <v>347771.96833087236</v>
      </c>
      <c r="N64" s="585">
        <f t="shared" si="34"/>
        <v>356466.26753914409</v>
      </c>
      <c r="O64" s="585">
        <f t="shared" si="34"/>
        <v>365377.04922762269</v>
      </c>
      <c r="P64" s="585">
        <f t="shared" si="34"/>
        <v>374511.17545831326</v>
      </c>
      <c r="Q64" s="585">
        <f t="shared" si="34"/>
        <v>383875.62984477112</v>
      </c>
      <c r="R64" s="585">
        <f t="shared" si="34"/>
        <v>393470.52059089026</v>
      </c>
      <c r="S64" s="585">
        <f t="shared" si="34"/>
        <v>403308.08360566263</v>
      </c>
    </row>
    <row r="65" spans="1:19">
      <c r="A65" s="772" t="s">
        <v>472</v>
      </c>
      <c r="B65" s="773"/>
      <c r="C65" s="582"/>
      <c r="D65" s="574"/>
      <c r="E65" s="574">
        <f t="shared" ref="E65:S65" si="35">E38+E39+E40+SUM(E45:E48)*50%</f>
        <v>53103.497313260865</v>
      </c>
      <c r="F65" s="574">
        <f t="shared" si="35"/>
        <v>221033.15569366634</v>
      </c>
      <c r="G65" s="574">
        <f t="shared" si="35"/>
        <v>252632.49341252109</v>
      </c>
      <c r="H65" s="574">
        <f t="shared" si="35"/>
        <v>258948.30574783409</v>
      </c>
      <c r="I65" s="574">
        <f t="shared" si="35"/>
        <v>265422.01339152985</v>
      </c>
      <c r="J65" s="574">
        <f t="shared" si="35"/>
        <v>272057.56372631807</v>
      </c>
      <c r="K65" s="574">
        <f t="shared" si="35"/>
        <v>278859.00281947607</v>
      </c>
      <c r="L65" s="574">
        <f t="shared" si="35"/>
        <v>285830.47788996296</v>
      </c>
      <c r="M65" s="574">
        <f t="shared" si="35"/>
        <v>292976.23983721196</v>
      </c>
      <c r="N65" s="574">
        <f t="shared" si="35"/>
        <v>300300.64583314228</v>
      </c>
      <c r="O65" s="574">
        <f t="shared" si="35"/>
        <v>307808.16197897086</v>
      </c>
      <c r="P65" s="574">
        <f t="shared" si="35"/>
        <v>315503.36602844519</v>
      </c>
      <c r="Q65" s="574">
        <f t="shared" si="35"/>
        <v>323390.95017915621</v>
      </c>
      <c r="R65" s="574">
        <f t="shared" si="35"/>
        <v>331475.7239336351</v>
      </c>
      <c r="S65" s="574">
        <f t="shared" si="35"/>
        <v>339762.617031976</v>
      </c>
    </row>
    <row r="66" spans="1:19">
      <c r="A66" s="772" t="s">
        <v>471</v>
      </c>
      <c r="B66" s="773"/>
      <c r="C66" s="582">
        <v>6.5</v>
      </c>
      <c r="D66" s="581" t="s">
        <v>468</v>
      </c>
      <c r="E66" s="574">
        <f t="shared" ref="E66:S66" si="36">E65/$C$66</f>
        <v>8169.7688174247487</v>
      </c>
      <c r="F66" s="574">
        <f t="shared" si="36"/>
        <v>34005.100875948665</v>
      </c>
      <c r="G66" s="574">
        <f t="shared" si="36"/>
        <v>38866.537448080169</v>
      </c>
      <c r="H66" s="574">
        <f t="shared" si="36"/>
        <v>39838.200884282167</v>
      </c>
      <c r="I66" s="574">
        <f t="shared" si="36"/>
        <v>40834.155906389205</v>
      </c>
      <c r="J66" s="574">
        <f t="shared" si="36"/>
        <v>41855.009804048932</v>
      </c>
      <c r="K66" s="574">
        <f t="shared" si="36"/>
        <v>42901.385049150165</v>
      </c>
      <c r="L66" s="574">
        <f t="shared" si="36"/>
        <v>43973.919675378915</v>
      </c>
      <c r="M66" s="574">
        <f t="shared" si="36"/>
        <v>45073.267667263382</v>
      </c>
      <c r="N66" s="574">
        <f t="shared" si="36"/>
        <v>46200.099358944964</v>
      </c>
      <c r="O66" s="574">
        <f t="shared" si="36"/>
        <v>47355.101842918593</v>
      </c>
      <c r="P66" s="574">
        <f t="shared" si="36"/>
        <v>48538.979388991567</v>
      </c>
      <c r="Q66" s="574">
        <f t="shared" si="36"/>
        <v>49752.453873716338</v>
      </c>
      <c r="R66" s="574">
        <f t="shared" si="36"/>
        <v>50996.265220559246</v>
      </c>
      <c r="S66" s="574">
        <f t="shared" si="36"/>
        <v>52271.171851073232</v>
      </c>
    </row>
    <row r="67" spans="1:19">
      <c r="A67" s="772" t="s">
        <v>470</v>
      </c>
      <c r="B67" s="773"/>
      <c r="C67" s="575"/>
      <c r="D67" s="581"/>
      <c r="E67" s="583">
        <f t="shared" ref="E67:S67" si="37">E64-E65</f>
        <v>25693.10862549008</v>
      </c>
      <c r="F67" s="583">
        <f t="shared" si="37"/>
        <v>44736.664050938765</v>
      </c>
      <c r="G67" s="583">
        <f t="shared" si="37"/>
        <v>46978.286804330884</v>
      </c>
      <c r="H67" s="583">
        <f t="shared" si="37"/>
        <v>48153.768974439299</v>
      </c>
      <c r="I67" s="583">
        <f t="shared" si="37"/>
        <v>49105.796951326774</v>
      </c>
      <c r="J67" s="583">
        <f t="shared" si="37"/>
        <v>50883.54276046867</v>
      </c>
      <c r="K67" s="583">
        <f t="shared" si="37"/>
        <v>52154.956329480337</v>
      </c>
      <c r="L67" s="583">
        <f t="shared" si="37"/>
        <v>53457.930237717403</v>
      </c>
      <c r="M67" s="583">
        <f t="shared" si="37"/>
        <v>54795.728493660397</v>
      </c>
      <c r="N67" s="583">
        <f t="shared" si="37"/>
        <v>56165.62170600181</v>
      </c>
      <c r="O67" s="583">
        <f t="shared" si="37"/>
        <v>57568.887248651823</v>
      </c>
      <c r="P67" s="583">
        <f t="shared" si="37"/>
        <v>59007.809429868066</v>
      </c>
      <c r="Q67" s="583">
        <f t="shared" si="37"/>
        <v>60484.679665614909</v>
      </c>
      <c r="R67" s="583">
        <f t="shared" si="37"/>
        <v>61994.796657255152</v>
      </c>
      <c r="S67" s="583">
        <f t="shared" si="37"/>
        <v>63545.46657368663</v>
      </c>
    </row>
    <row r="68" spans="1:19">
      <c r="A68" s="772" t="s">
        <v>469</v>
      </c>
      <c r="B68" s="773"/>
      <c r="C68" s="582">
        <v>1.9</v>
      </c>
      <c r="D68" s="581" t="s">
        <v>468</v>
      </c>
      <c r="E68" s="574">
        <f t="shared" ref="E68:S68" si="38">E67/$C$68</f>
        <v>13522.688750257937</v>
      </c>
      <c r="F68" s="574">
        <f t="shared" si="38"/>
        <v>23545.612658388825</v>
      </c>
      <c r="G68" s="574">
        <f t="shared" si="38"/>
        <v>24725.414107542572</v>
      </c>
      <c r="H68" s="574">
        <f t="shared" si="38"/>
        <v>25344.08893391542</v>
      </c>
      <c r="I68" s="574">
        <f t="shared" si="38"/>
        <v>25845.156290171988</v>
      </c>
      <c r="J68" s="574">
        <f t="shared" si="38"/>
        <v>26780.811979194037</v>
      </c>
      <c r="K68" s="574">
        <f t="shared" si="38"/>
        <v>27449.977015515968</v>
      </c>
      <c r="L68" s="574">
        <f t="shared" si="38"/>
        <v>28135.752756693371</v>
      </c>
      <c r="M68" s="574">
        <f t="shared" si="38"/>
        <v>28839.857101926526</v>
      </c>
      <c r="N68" s="574">
        <f t="shared" si="38"/>
        <v>29560.85352947464</v>
      </c>
      <c r="O68" s="574">
        <f t="shared" si="38"/>
        <v>30299.414341395699</v>
      </c>
      <c r="P68" s="574">
        <f t="shared" si="38"/>
        <v>31056.74180519372</v>
      </c>
      <c r="Q68" s="574">
        <f t="shared" si="38"/>
        <v>31834.041929271007</v>
      </c>
      <c r="R68" s="574">
        <f t="shared" si="38"/>
        <v>32628.840345923767</v>
      </c>
      <c r="S68" s="574">
        <f t="shared" si="38"/>
        <v>33444.98240720349</v>
      </c>
    </row>
    <row r="69" spans="1:19" s="577" customFormat="1">
      <c r="A69" s="774" t="s">
        <v>467</v>
      </c>
      <c r="B69" s="775"/>
      <c r="C69" s="580"/>
      <c r="D69" s="579"/>
      <c r="E69" s="578">
        <f t="shared" ref="E69:S69" si="39">E66+E68</f>
        <v>21692.457567682686</v>
      </c>
      <c r="F69" s="578">
        <f t="shared" si="39"/>
        <v>57550.71353433749</v>
      </c>
      <c r="G69" s="578">
        <f t="shared" si="39"/>
        <v>63591.951555622742</v>
      </c>
      <c r="H69" s="578">
        <f t="shared" si="39"/>
        <v>65182.289818197591</v>
      </c>
      <c r="I69" s="578">
        <f t="shared" si="39"/>
        <v>66679.312196561194</v>
      </c>
      <c r="J69" s="578">
        <f t="shared" si="39"/>
        <v>68635.821783242965</v>
      </c>
      <c r="K69" s="578">
        <f t="shared" si="39"/>
        <v>70351.362064666129</v>
      </c>
      <c r="L69" s="578">
        <f t="shared" si="39"/>
        <v>72109.672432072286</v>
      </c>
      <c r="M69" s="578">
        <f t="shared" si="39"/>
        <v>73913.124769189904</v>
      </c>
      <c r="N69" s="578">
        <f t="shared" si="39"/>
        <v>75760.952888419604</v>
      </c>
      <c r="O69" s="578">
        <f t="shared" si="39"/>
        <v>77654.5161843143</v>
      </c>
      <c r="P69" s="578">
        <f t="shared" si="39"/>
        <v>79595.721194185287</v>
      </c>
      <c r="Q69" s="578">
        <f t="shared" si="39"/>
        <v>81586.495802987338</v>
      </c>
      <c r="R69" s="578">
        <f t="shared" si="39"/>
        <v>83625.10556648302</v>
      </c>
      <c r="S69" s="578">
        <f t="shared" si="39"/>
        <v>85716.154258276714</v>
      </c>
    </row>
    <row r="70" spans="1:19">
      <c r="A70" s="772" t="s">
        <v>466</v>
      </c>
      <c r="B70" s="773"/>
      <c r="C70" s="576">
        <v>0.85</v>
      </c>
      <c r="D70" s="575"/>
      <c r="E70" s="574">
        <f t="shared" ref="E70:S70" si="40">E69*$C$70</f>
        <v>18438.588932530281</v>
      </c>
      <c r="F70" s="574">
        <f t="shared" si="40"/>
        <v>48918.106504186864</v>
      </c>
      <c r="G70" s="574">
        <f t="shared" si="40"/>
        <v>54053.158822279329</v>
      </c>
      <c r="H70" s="574">
        <f t="shared" si="40"/>
        <v>55404.94634546795</v>
      </c>
      <c r="I70" s="574">
        <f t="shared" si="40"/>
        <v>56677.41536707701</v>
      </c>
      <c r="J70" s="574">
        <f t="shared" si="40"/>
        <v>58340.448515756521</v>
      </c>
      <c r="K70" s="574">
        <f t="shared" si="40"/>
        <v>59798.657754966211</v>
      </c>
      <c r="L70" s="574">
        <f t="shared" si="40"/>
        <v>61293.22156726144</v>
      </c>
      <c r="M70" s="574">
        <f t="shared" si="40"/>
        <v>62826.156053811414</v>
      </c>
      <c r="N70" s="574">
        <f t="shared" si="40"/>
        <v>64396.809955156663</v>
      </c>
      <c r="O70" s="574">
        <f t="shared" si="40"/>
        <v>66006.338756667159</v>
      </c>
      <c r="P70" s="574">
        <f t="shared" si="40"/>
        <v>67656.36301505749</v>
      </c>
      <c r="Q70" s="574">
        <f t="shared" si="40"/>
        <v>69348.52143253923</v>
      </c>
      <c r="R70" s="574">
        <f t="shared" si="40"/>
        <v>71081.339731510569</v>
      </c>
      <c r="S70" s="574">
        <f t="shared" si="40"/>
        <v>72858.731119535209</v>
      </c>
    </row>
    <row r="71" spans="1:19">
      <c r="A71" s="772" t="s">
        <v>465</v>
      </c>
      <c r="B71" s="773"/>
      <c r="C71" s="576">
        <v>0.15</v>
      </c>
      <c r="D71" s="575"/>
      <c r="E71" s="574">
        <f t="shared" ref="E71:S71" si="41">E69*$C$71</f>
        <v>3253.8686351524029</v>
      </c>
      <c r="F71" s="574">
        <f t="shared" si="41"/>
        <v>8632.6070301506224</v>
      </c>
      <c r="G71" s="574">
        <f t="shared" si="41"/>
        <v>9538.7927333434109</v>
      </c>
      <c r="H71" s="574">
        <f t="shared" si="41"/>
        <v>9777.343472729639</v>
      </c>
      <c r="I71" s="574">
        <f t="shared" si="41"/>
        <v>10001.896829484178</v>
      </c>
      <c r="J71" s="574">
        <f t="shared" si="41"/>
        <v>10295.373267486444</v>
      </c>
      <c r="K71" s="574">
        <f t="shared" si="41"/>
        <v>10552.704309699919</v>
      </c>
      <c r="L71" s="574">
        <f t="shared" si="41"/>
        <v>10816.450864810842</v>
      </c>
      <c r="M71" s="574">
        <f t="shared" si="41"/>
        <v>11086.968715378485</v>
      </c>
      <c r="N71" s="574">
        <f t="shared" si="41"/>
        <v>11364.14293326294</v>
      </c>
      <c r="O71" s="574">
        <f t="shared" si="41"/>
        <v>11648.177427647144</v>
      </c>
      <c r="P71" s="574">
        <f t="shared" si="41"/>
        <v>11939.358179127792</v>
      </c>
      <c r="Q71" s="574">
        <f t="shared" si="41"/>
        <v>12237.974370448101</v>
      </c>
      <c r="R71" s="574">
        <f t="shared" si="41"/>
        <v>12543.765834972453</v>
      </c>
      <c r="S71" s="574">
        <f t="shared" si="41"/>
        <v>12857.423138741508</v>
      </c>
    </row>
    <row r="72" spans="1:19" s="572" customFormat="1">
      <c r="B72" s="573"/>
      <c r="C72" s="573"/>
    </row>
    <row r="73" spans="1:19" s="572" customFormat="1">
      <c r="B73" s="573"/>
      <c r="C73" s="573"/>
    </row>
    <row r="74" spans="1:19" s="572" customFormat="1">
      <c r="B74" s="573"/>
      <c r="C74" s="573"/>
    </row>
    <row r="75" spans="1:19" s="572" customFormat="1">
      <c r="B75" s="573"/>
      <c r="C75" s="573"/>
    </row>
    <row r="76" spans="1:19" s="572" customFormat="1">
      <c r="B76" s="573"/>
      <c r="C76" s="573"/>
    </row>
    <row r="77" spans="1:19" s="572" customFormat="1">
      <c r="B77" s="573"/>
      <c r="C77" s="573"/>
      <c r="S77" s="570"/>
    </row>
    <row r="78" spans="1:19" s="572" customFormat="1">
      <c r="B78" s="573"/>
      <c r="C78" s="573"/>
      <c r="S78" s="570"/>
    </row>
    <row r="79" spans="1:19" s="572" customFormat="1">
      <c r="B79" s="573"/>
      <c r="C79" s="573"/>
      <c r="S79" s="570"/>
    </row>
  </sheetData>
  <mergeCells count="19">
    <mergeCell ref="A70:B70"/>
    <mergeCell ref="A71:B71"/>
    <mergeCell ref="A63:B63"/>
    <mergeCell ref="A64:B64"/>
    <mergeCell ref="A65:B65"/>
    <mergeCell ref="A66:B66"/>
    <mergeCell ref="A67:B67"/>
    <mergeCell ref="A68:B68"/>
    <mergeCell ref="A69:B69"/>
    <mergeCell ref="B60:D60"/>
    <mergeCell ref="H60:J60"/>
    <mergeCell ref="O60:R60"/>
    <mergeCell ref="A1:P1"/>
    <mergeCell ref="A3:A4"/>
    <mergeCell ref="B3:C4"/>
    <mergeCell ref="D3:P3"/>
    <mergeCell ref="B56:D56"/>
    <mergeCell ref="H56:J56"/>
    <mergeCell ref="O56:R56"/>
  </mergeCells>
  <printOptions horizontalCentered="1"/>
  <pageMargins left="0.196850393700787" right="0.196850393700787" top="0.55118110236220497" bottom="0.47244094488188998" header="0.196850393700787" footer="0.196850393700787"/>
  <pageSetup paperSize="9" scale="60" fitToWidth="3" orientation="landscape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4"/>
  <sheetViews>
    <sheetView showGridLines="0" zoomScale="70" zoomScaleNormal="70" zoomScaleSheetLayoutView="100" workbookViewId="0">
      <selection activeCell="G22" sqref="G22:G23"/>
    </sheetView>
  </sheetViews>
  <sheetFormatPr defaultColWidth="11.42578125" defaultRowHeight="12.75"/>
  <cols>
    <col min="1" max="1" width="23.140625" style="1" customWidth="1"/>
    <col min="2" max="2" width="14.28515625" style="1" bestFit="1" customWidth="1"/>
    <col min="3" max="3" width="14.42578125" style="1" customWidth="1"/>
    <col min="4" max="4" width="13.85546875" style="1" customWidth="1"/>
    <col min="5" max="17" width="12" style="1" bestFit="1" customWidth="1"/>
    <col min="18" max="16384" width="11.42578125" style="1"/>
  </cols>
  <sheetData>
    <row r="1" spans="1:17" ht="23.25" customHeight="1">
      <c r="A1" s="836" t="s">
        <v>388</v>
      </c>
      <c r="B1" s="837"/>
      <c r="C1" s="837"/>
      <c r="D1" s="837"/>
      <c r="E1" s="837"/>
      <c r="F1" s="837"/>
      <c r="G1" s="837"/>
      <c r="H1" s="837"/>
      <c r="I1" s="837"/>
      <c r="J1" s="837"/>
      <c r="K1" s="837"/>
      <c r="L1" s="291"/>
      <c r="M1" s="291"/>
      <c r="N1" s="291"/>
      <c r="O1" s="291"/>
      <c r="P1" s="291"/>
      <c r="Q1" s="291"/>
    </row>
    <row r="2" spans="1:17" ht="15.75" hidden="1" customHeight="1">
      <c r="B2" s="272">
        <v>0</v>
      </c>
      <c r="C2" s="272">
        <v>1</v>
      </c>
      <c r="D2" s="272">
        <v>2</v>
      </c>
      <c r="E2" s="272">
        <v>3</v>
      </c>
      <c r="F2" s="272">
        <v>4</v>
      </c>
      <c r="G2" s="272">
        <v>5</v>
      </c>
      <c r="H2" s="272">
        <v>6</v>
      </c>
      <c r="I2" s="272">
        <v>7</v>
      </c>
      <c r="J2" s="272">
        <v>8</v>
      </c>
      <c r="K2" s="272">
        <v>9</v>
      </c>
      <c r="L2" s="272">
        <v>10</v>
      </c>
      <c r="M2" s="259">
        <v>10</v>
      </c>
      <c r="N2" s="259">
        <v>11</v>
      </c>
      <c r="O2" s="259">
        <v>14</v>
      </c>
      <c r="P2" s="259">
        <v>15</v>
      </c>
      <c r="Q2" s="259">
        <v>16</v>
      </c>
    </row>
    <row r="3" spans="1:17" ht="24.95" customHeight="1">
      <c r="A3" s="360" t="s">
        <v>346</v>
      </c>
      <c r="B3" s="370" t="s">
        <v>17</v>
      </c>
      <c r="C3" s="360" t="s">
        <v>297</v>
      </c>
      <c r="D3" s="360" t="s">
        <v>298</v>
      </c>
      <c r="E3" s="360" t="s">
        <v>301</v>
      </c>
      <c r="F3" s="360" t="s">
        <v>302</v>
      </c>
      <c r="G3" s="360" t="s">
        <v>303</v>
      </c>
      <c r="H3" s="360" t="s">
        <v>304</v>
      </c>
      <c r="I3" s="360" t="s">
        <v>305</v>
      </c>
      <c r="J3" s="360" t="s">
        <v>306</v>
      </c>
      <c r="K3" s="360" t="s">
        <v>307</v>
      </c>
      <c r="L3" s="360" t="s">
        <v>308</v>
      </c>
      <c r="M3" s="360" t="s">
        <v>309</v>
      </c>
      <c r="N3" s="360" t="s">
        <v>310</v>
      </c>
      <c r="O3" s="360" t="s">
        <v>311</v>
      </c>
      <c r="P3" s="360" t="s">
        <v>312</v>
      </c>
      <c r="Q3" s="360" t="s">
        <v>410</v>
      </c>
    </row>
    <row r="4" spans="1:17" ht="24.95" customHeight="1">
      <c r="A4" s="371" t="s">
        <v>386</v>
      </c>
      <c r="B4" s="372"/>
      <c r="C4" s="437">
        <f>SUM(C5:C6)</f>
        <v>-11509.588387212587</v>
      </c>
      <c r="D4" s="437">
        <f t="shared" ref="D4:Q4" si="0">SUM(D5:D6)</f>
        <v>12925.040818416554</v>
      </c>
      <c r="E4" s="437">
        <f t="shared" si="0"/>
        <v>17554.166401717426</v>
      </c>
      <c r="F4" s="437">
        <f t="shared" si="0"/>
        <v>19088.058619720956</v>
      </c>
      <c r="G4" s="437">
        <f t="shared" si="0"/>
        <v>20865.806437481839</v>
      </c>
      <c r="H4" s="437">
        <f t="shared" si="0"/>
        <v>22306.60786739628</v>
      </c>
      <c r="I4" s="437">
        <f t="shared" si="0"/>
        <v>24145.898862637419</v>
      </c>
      <c r="J4" s="437">
        <f t="shared" si="0"/>
        <v>26103.075383328563</v>
      </c>
      <c r="K4" s="437">
        <f t="shared" si="0"/>
        <v>26896.33100722891</v>
      </c>
      <c r="L4" s="437">
        <f t="shared" si="0"/>
        <v>27531.421617269836</v>
      </c>
      <c r="M4" s="438">
        <f t="shared" si="0"/>
        <v>28182.882016551826</v>
      </c>
      <c r="N4" s="438">
        <f t="shared" si="0"/>
        <v>28850.306034505782</v>
      </c>
      <c r="O4" s="438">
        <f t="shared" si="0"/>
        <v>29533.288219818613</v>
      </c>
      <c r="P4" s="438">
        <f t="shared" si="0"/>
        <v>30235.43725437425</v>
      </c>
      <c r="Q4" s="438">
        <f t="shared" si="0"/>
        <v>30953.552156073827</v>
      </c>
    </row>
    <row r="5" spans="1:17" ht="24.95" customHeight="1">
      <c r="A5" s="373" t="s">
        <v>348</v>
      </c>
      <c r="B5" s="374"/>
      <c r="C5" s="439">
        <f>'Thong so - Độ nhậy - Bảng 1'!$N$11*'Khấu hao- Bảng 3'!E8</f>
        <v>9865.0429921919695</v>
      </c>
      <c r="D5" s="439">
        <f>'Thong so - Độ nhậy - Bảng 1'!$N$11*'Khấu hao- Bảng 3'!F8</f>
        <v>9865.0429921919695</v>
      </c>
      <c r="E5" s="439">
        <f>'Thong so - Độ nhậy - Bảng 1'!$N$11*'Khấu hao- Bảng 3'!G8</f>
        <v>9865.0429921919695</v>
      </c>
      <c r="F5" s="439">
        <f>'Thong so - Độ nhậy - Bảng 1'!$N$11*'Khấu hao- Bảng 3'!H8</f>
        <v>9865.0429921919695</v>
      </c>
      <c r="G5" s="439">
        <f>'Thong so - Độ nhậy - Bảng 1'!$N$11*'Khấu hao- Bảng 3'!I8</f>
        <v>9865.0429921919695</v>
      </c>
      <c r="H5" s="439">
        <f>'Thong so - Độ nhậy - Bảng 1'!$N$11*'Khấu hao- Bảng 3'!J8</f>
        <v>9865.0429921919695</v>
      </c>
      <c r="I5" s="439">
        <f>'Thong so - Độ nhậy - Bảng 1'!$N$11*'Khấu hao- Bảng 3'!K8</f>
        <v>9865.0429921919695</v>
      </c>
      <c r="J5" s="439">
        <f>'Thong so - Độ nhậy - Bảng 1'!$N$11*'Khấu hao- Bảng 3'!L8</f>
        <v>9865.0429921919695</v>
      </c>
      <c r="K5" s="439">
        <f>'Thong so - Độ nhậy - Bảng 1'!$N$11*'Khấu hao- Bảng 3'!M8</f>
        <v>9865.0429921919695</v>
      </c>
      <c r="L5" s="439">
        <f>'Thong so - Độ nhậy - Bảng 1'!$N$11*'Khấu hao- Bảng 3'!N8</f>
        <v>9865.0429921919695</v>
      </c>
      <c r="M5" s="439">
        <f>'Thong so - Độ nhậy - Bảng 1'!$N$11*'Khấu hao- Bảng 3'!O8</f>
        <v>9865.0429921919695</v>
      </c>
      <c r="N5" s="439">
        <f>'Thong so - Độ nhậy - Bảng 1'!$N$11*'Khấu hao- Bảng 3'!P8</f>
        <v>9865.0429921919695</v>
      </c>
      <c r="O5" s="439">
        <f>'Thong so - Độ nhậy - Bảng 1'!$N$11*'Khấu hao- Bảng 3'!Q8</f>
        <v>9865.0429921919695</v>
      </c>
      <c r="P5" s="439">
        <f>'Thong so - Độ nhậy - Bảng 1'!$N$11*'Khấu hao- Bảng 3'!R8</f>
        <v>9865.0429921919695</v>
      </c>
      <c r="Q5" s="439">
        <f>'Thong so - Độ nhậy - Bảng 1'!$N$11*'Khấu hao- Bảng 3'!S8</f>
        <v>9865.0429921919695</v>
      </c>
    </row>
    <row r="6" spans="1:17" ht="24.95" customHeight="1">
      <c r="A6" s="373" t="s">
        <v>387</v>
      </c>
      <c r="B6" s="374"/>
      <c r="C6" s="439">
        <f>IF('KQKD- Bảng 4 '!E54&gt;0,'KQKD- Bảng 4 '!E54*'Thong so - Độ nhậy - Bảng 1'!$N$12,'KQKD- Bảng 4 '!E54)</f>
        <v>-21374.631379404556</v>
      </c>
      <c r="D6" s="439">
        <f>IF('KQKD- Bảng 4 '!F54&gt;0,'KQKD- Bảng 4 '!F54*'Thong so - Độ nhậy - Bảng 1'!$N$12,'KQKD- Bảng 4 '!F54)</f>
        <v>3059.9978262245836</v>
      </c>
      <c r="E6" s="439">
        <f>IF('KQKD- Bảng 4 '!G54&gt;0,'KQKD- Bảng 4 '!G54*'Thong so - Độ nhậy - Bảng 1'!$N$12,'KQKD- Bảng 4 '!G54)</f>
        <v>7689.1234095254576</v>
      </c>
      <c r="F6" s="439">
        <f>IF('KQKD- Bảng 4 '!H54&gt;0,'KQKD- Bảng 4 '!H54*'Thong so - Độ nhậy - Bảng 1'!$N$12,'KQKD- Bảng 4 '!H54)</f>
        <v>9223.0156275289883</v>
      </c>
      <c r="G6" s="439">
        <f>IF('KQKD- Bảng 4 '!I54&gt;0,'KQKD- Bảng 4 '!I54*'Thong so - Độ nhậy - Bảng 1'!$N$12,'KQKD- Bảng 4 '!I54)</f>
        <v>11000.763445289869</v>
      </c>
      <c r="H6" s="439">
        <f>IF('KQKD- Bảng 4 '!J54&gt;0,'KQKD- Bảng 4 '!J54*'Thong so - Độ nhậy - Bảng 1'!$N$12,'KQKD- Bảng 4 '!J54)</f>
        <v>12441.564875204311</v>
      </c>
      <c r="I6" s="439">
        <f>IF('KQKD- Bảng 4 '!K54&gt;0,'KQKD- Bảng 4 '!K54*'Thong so - Độ nhậy - Bảng 1'!$N$12,'KQKD- Bảng 4 '!K54)</f>
        <v>14280.855870445448</v>
      </c>
      <c r="J6" s="439">
        <f>IF('KQKD- Bảng 4 '!L54&gt;0,'KQKD- Bảng 4 '!L54*'Thong so - Độ nhậy - Bảng 1'!$N$12,'KQKD- Bảng 4 '!L54)</f>
        <v>16238.032391136594</v>
      </c>
      <c r="K6" s="439">
        <f>IF('KQKD- Bảng 4 '!M54&gt;0,'KQKD- Bảng 4 '!M54*'Thong so - Độ nhậy - Bảng 1'!$N$12,'KQKD- Bảng 4 '!M54)</f>
        <v>17031.288015036938</v>
      </c>
      <c r="L6" s="439">
        <f>IF('KQKD- Bảng 4 '!N54&gt;0,'KQKD- Bảng 4 '!N54*'Thong so - Độ nhậy - Bảng 1'!$N$12,'KQKD- Bảng 4 '!N54)</f>
        <v>17666.378625077865</v>
      </c>
      <c r="M6" s="439">
        <f>IF('KQKD- Bảng 4 '!O54&gt;0,'KQKD- Bảng 4 '!O54*'Thong so - Độ nhậy - Bảng 1'!$N$12,'KQKD- Bảng 4 '!O54)</f>
        <v>18317.839024359859</v>
      </c>
      <c r="N6" s="439">
        <f>IF('KQKD- Bảng 4 '!P54&gt;0,'KQKD- Bảng 4 '!P54*'Thong so - Độ nhậy - Bảng 1'!$N$12,'KQKD- Bảng 4 '!P54)</f>
        <v>18985.263042313814</v>
      </c>
      <c r="O6" s="439">
        <f>IF('KQKD- Bảng 4 '!Q54&gt;0,'KQKD- Bảng 4 '!Q54*'Thong so - Độ nhậy - Bảng 1'!$N$12,'KQKD- Bảng 4 '!Q54)</f>
        <v>19668.245227626645</v>
      </c>
      <c r="P6" s="439">
        <f>IF('KQKD- Bảng 4 '!R54&gt;0,'KQKD- Bảng 4 '!R54*'Thong so - Độ nhậy - Bảng 1'!$N$12,'KQKD- Bảng 4 '!R54)</f>
        <v>20370.394262182279</v>
      </c>
      <c r="Q6" s="439">
        <f>IF('KQKD- Bảng 4 '!S54&gt;0,'KQKD- Bảng 4 '!S54*'Thong so - Độ nhậy - Bảng 1'!$N$12,'KQKD- Bảng 4 '!S54)</f>
        <v>21088.509163881856</v>
      </c>
    </row>
    <row r="7" spans="1:17" ht="24.95" customHeight="1">
      <c r="A7" s="375" t="s">
        <v>48</v>
      </c>
      <c r="B7" s="376"/>
      <c r="C7" s="440"/>
      <c r="D7" s="440"/>
      <c r="E7" s="440"/>
      <c r="F7" s="440"/>
      <c r="G7" s="440"/>
      <c r="H7" s="440"/>
      <c r="I7" s="440"/>
      <c r="J7" s="440"/>
      <c r="K7" s="440"/>
      <c r="L7" s="441"/>
      <c r="M7" s="442"/>
      <c r="N7" s="442"/>
      <c r="O7" s="442"/>
      <c r="P7" s="442"/>
      <c r="Q7" s="442"/>
    </row>
    <row r="8" spans="1:17" ht="24.95" customHeight="1">
      <c r="A8" s="377" t="s">
        <v>347</v>
      </c>
      <c r="B8" s="378"/>
      <c r="C8" s="443">
        <f>IF(C9&lt;C11,C9/C11*12/100+C3-1,0)</f>
        <v>0</v>
      </c>
      <c r="D8" s="443">
        <f t="shared" ref="D8:J8" si="1">IF(D9&lt;D4,IF(C13&gt;0,D9/D4+C2,0),0)</f>
        <v>0</v>
      </c>
      <c r="E8" s="443">
        <f t="shared" si="1"/>
        <v>0</v>
      </c>
      <c r="F8" s="443">
        <f t="shared" si="1"/>
        <v>0</v>
      </c>
      <c r="G8" s="443">
        <f t="shared" si="1"/>
        <v>0</v>
      </c>
      <c r="H8" s="443">
        <f t="shared" si="1"/>
        <v>0</v>
      </c>
      <c r="I8" s="443">
        <f t="shared" si="1"/>
        <v>0</v>
      </c>
      <c r="J8" s="443">
        <f t="shared" si="1"/>
        <v>7.1193124161384693</v>
      </c>
      <c r="K8" s="443">
        <f>IF(K9&lt;K4,IF(J13&gt;0,K9/K4+J2,0),0)</f>
        <v>8</v>
      </c>
      <c r="L8" s="444"/>
      <c r="M8" s="444"/>
      <c r="N8" s="444"/>
      <c r="O8" s="444"/>
      <c r="P8" s="444"/>
      <c r="Q8" s="443"/>
    </row>
    <row r="9" spans="1:17" ht="24.95" customHeight="1">
      <c r="A9" s="373" t="s">
        <v>349</v>
      </c>
      <c r="B9" s="374">
        <v>120000</v>
      </c>
      <c r="C9" s="439">
        <f>B13</f>
        <v>120000</v>
      </c>
      <c r="D9" s="439">
        <f>C13</f>
        <v>120000</v>
      </c>
      <c r="E9" s="439">
        <f t="shared" ref="E9:J9" si="2">D13</f>
        <v>107074.95918158344</v>
      </c>
      <c r="F9" s="439">
        <f t="shared" si="2"/>
        <v>89520.792779866024</v>
      </c>
      <c r="G9" s="439">
        <f t="shared" si="2"/>
        <v>70432.734160145075</v>
      </c>
      <c r="H9" s="439">
        <f t="shared" si="2"/>
        <v>49566.92772266324</v>
      </c>
      <c r="I9" s="439">
        <f t="shared" si="2"/>
        <v>27260.31985526696</v>
      </c>
      <c r="J9" s="439">
        <f t="shared" si="2"/>
        <v>3114.4209926295407</v>
      </c>
      <c r="K9" s="439"/>
      <c r="L9" s="439"/>
      <c r="M9" s="439"/>
      <c r="N9" s="439"/>
      <c r="O9" s="439"/>
      <c r="P9" s="439"/>
      <c r="Q9" s="439"/>
    </row>
    <row r="10" spans="1:17" ht="24.95" customHeight="1">
      <c r="A10" s="373" t="s">
        <v>389</v>
      </c>
      <c r="B10" s="374"/>
      <c r="C10" s="439"/>
      <c r="D10" s="439"/>
      <c r="E10" s="439"/>
      <c r="F10" s="439"/>
      <c r="G10" s="439"/>
      <c r="H10" s="439"/>
      <c r="I10" s="439"/>
      <c r="J10" s="439"/>
      <c r="K10" s="439"/>
      <c r="L10" s="439"/>
      <c r="M10" s="439"/>
      <c r="N10" s="439"/>
      <c r="O10" s="439"/>
      <c r="P10" s="439"/>
      <c r="Q10" s="439"/>
    </row>
    <row r="11" spans="1:17" ht="24.95" customHeight="1">
      <c r="A11" s="373" t="s">
        <v>350</v>
      </c>
      <c r="B11" s="374"/>
      <c r="C11" s="439"/>
      <c r="D11" s="439">
        <f t="shared" ref="D11:I11" si="3">D4</f>
        <v>12925.040818416554</v>
      </c>
      <c r="E11" s="439">
        <f t="shared" si="3"/>
        <v>17554.166401717426</v>
      </c>
      <c r="F11" s="439">
        <f t="shared" si="3"/>
        <v>19088.058619720956</v>
      </c>
      <c r="G11" s="439">
        <f t="shared" si="3"/>
        <v>20865.806437481839</v>
      </c>
      <c r="H11" s="439">
        <f t="shared" si="3"/>
        <v>22306.60786739628</v>
      </c>
      <c r="I11" s="439">
        <f t="shared" si="3"/>
        <v>24145.898862637419</v>
      </c>
      <c r="J11" s="439">
        <v>3114</v>
      </c>
      <c r="K11" s="439"/>
      <c r="L11" s="439"/>
      <c r="M11" s="439"/>
      <c r="N11" s="439"/>
      <c r="O11" s="439"/>
      <c r="P11" s="439"/>
      <c r="Q11" s="439"/>
    </row>
    <row r="12" spans="1:17" ht="24.95" customHeight="1">
      <c r="A12" s="373" t="s">
        <v>351</v>
      </c>
      <c r="B12" s="374"/>
      <c r="C12" s="439"/>
      <c r="D12" s="439">
        <f>D9*'Thong so - Độ nhậy - Bảng 1'!$N$16</f>
        <v>12000</v>
      </c>
      <c r="E12" s="439">
        <f>E9*'Thong so - Độ nhậy - Bảng 1'!$N$16</f>
        <v>10707.495918158345</v>
      </c>
      <c r="F12" s="439">
        <f>F9*'Thong so - Độ nhậy - Bảng 1'!$N$16</f>
        <v>8952.0792779866024</v>
      </c>
      <c r="G12" s="439">
        <f>G9*'Thong so - Độ nhậy - Bảng 1'!$N$16</f>
        <v>7043.2734160145083</v>
      </c>
      <c r="H12" s="439">
        <f>H9*'Thong so - Độ nhậy - Bảng 1'!$N$16</f>
        <v>4956.692772266324</v>
      </c>
      <c r="I12" s="439">
        <f>I9*'Thong so - Độ nhậy - Bảng 1'!$N$16</f>
        <v>2726.0319855266962</v>
      </c>
      <c r="J12" s="439">
        <f>J9*'Thong so - Độ nhậy - Bảng 1'!$N$16</f>
        <v>311.44209926295412</v>
      </c>
      <c r="K12" s="439"/>
      <c r="L12" s="439"/>
      <c r="M12" s="439"/>
      <c r="N12" s="439"/>
      <c r="O12" s="439"/>
      <c r="P12" s="439"/>
      <c r="Q12" s="439"/>
    </row>
    <row r="13" spans="1:17" ht="24.95" customHeight="1">
      <c r="A13" s="379" t="s">
        <v>384</v>
      </c>
      <c r="B13" s="380">
        <f>IF(B9&gt;B11,B9-B11,0)</f>
        <v>120000</v>
      </c>
      <c r="C13" s="441">
        <f>IF(C9&gt;C11,C9-C11,0)</f>
        <v>120000</v>
      </c>
      <c r="D13" s="441">
        <f>IF(D9&gt;D11,D9-D11,0)+D10</f>
        <v>107074.95918158344</v>
      </c>
      <c r="E13" s="441">
        <f t="shared" ref="E13:J13" si="4">IF(E9&gt;E11,E9-E11,0)</f>
        <v>89520.792779866024</v>
      </c>
      <c r="F13" s="441">
        <f t="shared" si="4"/>
        <v>70432.734160145075</v>
      </c>
      <c r="G13" s="441">
        <f t="shared" si="4"/>
        <v>49566.92772266324</v>
      </c>
      <c r="H13" s="441">
        <f t="shared" si="4"/>
        <v>27260.31985526696</v>
      </c>
      <c r="I13" s="441">
        <f t="shared" si="4"/>
        <v>3114.4209926295407</v>
      </c>
      <c r="J13" s="445">
        <f t="shared" si="4"/>
        <v>0.42099262954070582</v>
      </c>
      <c r="K13" s="445"/>
      <c r="L13" s="445"/>
      <c r="M13" s="445"/>
      <c r="N13" s="445"/>
      <c r="O13" s="445"/>
      <c r="P13" s="445"/>
      <c r="Q13" s="445"/>
    </row>
    <row r="14" spans="1:17" ht="24.95" customHeight="1">
      <c r="A14" s="381" t="s">
        <v>385</v>
      </c>
      <c r="B14" s="382"/>
      <c r="C14" s="446">
        <f>C15+C16</f>
        <v>0</v>
      </c>
      <c r="D14" s="446">
        <f t="shared" ref="D14:J14" si="5">D15+D16</f>
        <v>12925.040818416554</v>
      </c>
      <c r="E14" s="446">
        <f t="shared" si="5"/>
        <v>17554.166401717426</v>
      </c>
      <c r="F14" s="446">
        <f t="shared" si="5"/>
        <v>19088.058619720956</v>
      </c>
      <c r="G14" s="446">
        <f t="shared" si="5"/>
        <v>20865.806437481839</v>
      </c>
      <c r="H14" s="446">
        <f t="shared" si="5"/>
        <v>22306.60786739628</v>
      </c>
      <c r="I14" s="446">
        <f t="shared" si="5"/>
        <v>24145.898862637419</v>
      </c>
      <c r="J14" s="446">
        <f t="shared" si="5"/>
        <v>3114</v>
      </c>
      <c r="K14" s="446"/>
      <c r="L14" s="446"/>
      <c r="M14" s="446"/>
      <c r="N14" s="446"/>
      <c r="O14" s="446"/>
      <c r="P14" s="447"/>
      <c r="Q14" s="447"/>
    </row>
    <row r="15" spans="1:17" ht="24.95" customHeight="1">
      <c r="A15" s="383" t="s">
        <v>352</v>
      </c>
      <c r="B15" s="378"/>
      <c r="C15" s="378">
        <f>C11</f>
        <v>0</v>
      </c>
      <c r="D15" s="378">
        <f t="shared" ref="D15:J15" si="6">D11</f>
        <v>12925.040818416554</v>
      </c>
      <c r="E15" s="378">
        <f t="shared" si="6"/>
        <v>17554.166401717426</v>
      </c>
      <c r="F15" s="378">
        <f t="shared" si="6"/>
        <v>19088.058619720956</v>
      </c>
      <c r="G15" s="378">
        <f t="shared" si="6"/>
        <v>20865.806437481839</v>
      </c>
      <c r="H15" s="378">
        <f t="shared" si="6"/>
        <v>22306.60786739628</v>
      </c>
      <c r="I15" s="378">
        <f t="shared" si="6"/>
        <v>24145.898862637419</v>
      </c>
      <c r="J15" s="378">
        <f t="shared" si="6"/>
        <v>3114</v>
      </c>
      <c r="K15" s="378"/>
      <c r="L15" s="378"/>
      <c r="M15" s="378"/>
      <c r="N15" s="378"/>
      <c r="O15" s="378"/>
      <c r="P15" s="37"/>
      <c r="Q15" s="37"/>
    </row>
    <row r="16" spans="1:17" ht="24.95" customHeight="1">
      <c r="A16" s="379" t="s">
        <v>353</v>
      </c>
      <c r="B16" s="380"/>
      <c r="C16" s="380"/>
      <c r="D16" s="380"/>
      <c r="E16" s="380"/>
      <c r="F16" s="380"/>
      <c r="G16" s="380"/>
      <c r="H16" s="380"/>
      <c r="I16" s="380"/>
      <c r="J16" s="380"/>
      <c r="K16" s="380"/>
      <c r="L16" s="37"/>
      <c r="M16" s="37"/>
      <c r="N16" s="37"/>
      <c r="O16" s="37"/>
      <c r="P16" s="37"/>
      <c r="Q16" s="37"/>
    </row>
    <row r="17" spans="1:17" ht="24.95" customHeight="1">
      <c r="A17" s="833" t="s">
        <v>83</v>
      </c>
      <c r="B17" s="384">
        <v>73</v>
      </c>
      <c r="C17" s="385" t="s">
        <v>615</v>
      </c>
      <c r="D17" s="386"/>
      <c r="E17" s="387"/>
      <c r="F17" s="835"/>
      <c r="G17" s="835"/>
      <c r="H17" s="835"/>
      <c r="I17" s="835"/>
      <c r="J17" s="835"/>
      <c r="K17" s="835"/>
      <c r="L17" s="338"/>
      <c r="M17" s="51"/>
      <c r="N17" s="51"/>
      <c r="O17" s="51"/>
      <c r="P17" s="51"/>
      <c r="Q17" s="51"/>
    </row>
    <row r="18" spans="1:17" ht="24.95" customHeight="1">
      <c r="A18" s="834"/>
      <c r="B18" s="388">
        <v>88</v>
      </c>
      <c r="C18" s="830" t="s">
        <v>614</v>
      </c>
      <c r="D18" s="831"/>
      <c r="E18" s="832"/>
      <c r="F18" s="835"/>
      <c r="G18" s="835"/>
      <c r="H18" s="835"/>
      <c r="I18" s="835"/>
      <c r="J18" s="835"/>
      <c r="K18" s="835"/>
      <c r="L18" s="339"/>
      <c r="M18" s="50"/>
      <c r="N18" s="50"/>
      <c r="O18" s="50"/>
      <c r="P18" s="50"/>
      <c r="Q18" s="50"/>
    </row>
    <row r="19" spans="1:17" ht="15.75" customHeight="1"/>
    <row r="21" spans="1:17">
      <c r="M21" s="93"/>
      <c r="N21" s="93"/>
      <c r="O21" s="93"/>
      <c r="P21" s="93"/>
      <c r="Q21" s="93"/>
    </row>
    <row r="22" spans="1:17">
      <c r="M22" s="5"/>
      <c r="N22" s="5"/>
      <c r="O22" s="5"/>
      <c r="P22" s="5"/>
      <c r="Q22" s="5"/>
    </row>
    <row r="23" spans="1:17">
      <c r="M23" s="5"/>
      <c r="N23" s="5"/>
      <c r="O23" s="5"/>
      <c r="P23" s="5"/>
      <c r="Q23" s="5"/>
    </row>
    <row r="24" spans="1:17">
      <c r="M24" s="5"/>
      <c r="N24" s="5"/>
      <c r="O24" s="5"/>
      <c r="P24" s="5"/>
      <c r="Q24" s="5"/>
    </row>
    <row r="25" spans="1:17">
      <c r="M25" s="5"/>
      <c r="N25" s="5"/>
      <c r="O25" s="5"/>
      <c r="P25" s="5"/>
      <c r="Q25" s="5"/>
    </row>
    <row r="26" spans="1:17">
      <c r="M26" s="52"/>
      <c r="N26" s="52"/>
      <c r="O26" s="52"/>
      <c r="P26" s="52"/>
      <c r="Q26" s="52"/>
    </row>
    <row r="27" spans="1:17">
      <c r="M27" s="5"/>
      <c r="N27" s="5"/>
      <c r="O27" s="5"/>
      <c r="P27" s="5"/>
      <c r="Q27" s="5"/>
    </row>
    <row r="28" spans="1:17">
      <c r="M28" s="5"/>
      <c r="N28" s="5"/>
      <c r="O28" s="5"/>
      <c r="P28" s="5"/>
      <c r="Q28" s="5"/>
    </row>
    <row r="29" spans="1:17">
      <c r="M29" s="5"/>
      <c r="N29" s="5"/>
      <c r="O29" s="5"/>
      <c r="P29" s="5"/>
      <c r="Q29" s="5"/>
    </row>
    <row r="30" spans="1:17">
      <c r="M30" s="5"/>
      <c r="N30" s="5"/>
      <c r="O30" s="5"/>
      <c r="P30" s="5"/>
      <c r="Q30" s="5"/>
    </row>
    <row r="31" spans="1:17">
      <c r="M31" s="52"/>
      <c r="N31" s="52"/>
      <c r="O31" s="52"/>
      <c r="P31" s="52"/>
      <c r="Q31" s="52"/>
    </row>
    <row r="32" spans="1:17">
      <c r="M32" s="5"/>
      <c r="N32" s="5"/>
      <c r="O32" s="5"/>
      <c r="P32" s="5"/>
      <c r="Q32" s="5"/>
    </row>
    <row r="33" spans="13:17">
      <c r="M33" s="5"/>
      <c r="N33" s="5"/>
      <c r="O33" s="5"/>
      <c r="P33" s="5"/>
      <c r="Q33" s="5"/>
    </row>
    <row r="34" spans="13:17">
      <c r="M34" s="5"/>
      <c r="N34" s="5"/>
      <c r="O34" s="5"/>
      <c r="P34" s="5"/>
      <c r="Q34" s="5"/>
    </row>
    <row r="35" spans="13:17">
      <c r="M35" s="5"/>
      <c r="N35" s="5"/>
      <c r="O35" s="5"/>
      <c r="P35" s="5"/>
      <c r="Q35" s="5"/>
    </row>
    <row r="36" spans="13:17">
      <c r="M36" s="52"/>
      <c r="N36" s="52"/>
      <c r="O36" s="52"/>
      <c r="P36" s="52"/>
      <c r="Q36" s="52"/>
    </row>
    <row r="37" spans="13:17">
      <c r="M37" s="5"/>
      <c r="N37" s="5"/>
      <c r="O37" s="5"/>
      <c r="P37" s="5"/>
      <c r="Q37" s="5"/>
    </row>
    <row r="38" spans="13:17">
      <c r="M38" s="5"/>
      <c r="N38" s="5"/>
      <c r="O38" s="5"/>
      <c r="P38" s="5"/>
      <c r="Q38" s="5"/>
    </row>
    <row r="39" spans="13:17">
      <c r="M39" s="5"/>
      <c r="N39" s="5"/>
      <c r="O39" s="5"/>
      <c r="P39" s="5"/>
      <c r="Q39" s="5"/>
    </row>
    <row r="40" spans="13:17">
      <c r="M40" s="5"/>
      <c r="N40" s="5"/>
      <c r="O40" s="5"/>
      <c r="P40" s="5"/>
      <c r="Q40" s="5"/>
    </row>
    <row r="41" spans="13:17">
      <c r="M41" s="5"/>
      <c r="N41" s="5"/>
      <c r="O41" s="5"/>
      <c r="P41" s="5"/>
      <c r="Q41" s="5"/>
    </row>
    <row r="42" spans="13:17">
      <c r="M42" s="5"/>
      <c r="N42" s="5"/>
      <c r="O42" s="5"/>
      <c r="P42" s="5"/>
      <c r="Q42" s="5"/>
    </row>
    <row r="43" spans="13:17">
      <c r="M43" s="5"/>
      <c r="N43" s="5"/>
      <c r="O43" s="5"/>
      <c r="P43" s="5"/>
      <c r="Q43" s="5"/>
    </row>
    <row r="44" spans="13:17">
      <c r="M44" s="101"/>
      <c r="N44" s="101"/>
      <c r="O44" s="101"/>
      <c r="P44" s="101"/>
      <c r="Q44" s="101"/>
    </row>
  </sheetData>
  <mergeCells count="4">
    <mergeCell ref="C18:E18"/>
    <mergeCell ref="A17:A18"/>
    <mergeCell ref="F17:K18"/>
    <mergeCell ref="A1:K1"/>
  </mergeCells>
  <printOptions horizontalCentered="1"/>
  <pageMargins left="0.196850393700787" right="0.196850393700787" top="0.35433070866141703" bottom="0.27559055118110198" header="0.196850393700787" footer="0.196850393700787"/>
  <pageSetup paperSize="9" orientation="landscape" r:id="rId1"/>
  <headerFooter alignWithMargins="0"/>
  <ignoredErrors>
    <ignoredError sqref="D1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2:R48"/>
  <sheetViews>
    <sheetView showGridLines="0" zoomScale="85" zoomScaleNormal="85" zoomScaleSheetLayoutView="100" workbookViewId="0">
      <selection activeCell="F27" sqref="F27"/>
    </sheetView>
  </sheetViews>
  <sheetFormatPr defaultColWidth="11.42578125" defaultRowHeight="12.75"/>
  <cols>
    <col min="1" max="1" width="5" style="121" customWidth="1"/>
    <col min="2" max="2" width="23.7109375" style="1" customWidth="1"/>
    <col min="3" max="3" width="11.5703125" style="1" customWidth="1"/>
    <col min="4" max="4" width="8.42578125" style="1" customWidth="1"/>
    <col min="5" max="5" width="8.85546875" style="1" customWidth="1"/>
    <col min="6" max="6" width="10" style="1" customWidth="1"/>
    <col min="7" max="7" width="9.85546875" style="1" customWidth="1"/>
    <col min="8" max="9" width="8.42578125" style="1" customWidth="1"/>
    <col min="10" max="10" width="8" style="1" customWidth="1"/>
    <col min="11" max="11" width="8.28515625" style="1" customWidth="1"/>
    <col min="12" max="12" width="8.42578125" style="1" customWidth="1"/>
    <col min="13" max="13" width="8.85546875" style="1" customWidth="1"/>
    <col min="14" max="14" width="9.85546875" style="1" customWidth="1"/>
    <col min="15" max="15" width="9.28515625" style="1" customWidth="1"/>
    <col min="16" max="16" width="9.42578125" style="1" customWidth="1"/>
    <col min="17" max="17" width="8.5703125" style="1" customWidth="1"/>
    <col min="18" max="18" width="8.28515625" style="1" customWidth="1"/>
    <col min="19" max="16384" width="11.42578125" style="1"/>
  </cols>
  <sheetData>
    <row r="2" spans="1:18" ht="30" customHeight="1">
      <c r="A2" s="843" t="s">
        <v>325</v>
      </c>
      <c r="B2" s="843"/>
      <c r="C2" s="843"/>
      <c r="D2" s="843"/>
      <c r="E2" s="843"/>
      <c r="F2" s="843"/>
      <c r="G2" s="843"/>
      <c r="H2" s="843"/>
      <c r="I2" s="843"/>
      <c r="J2" s="843"/>
      <c r="K2" s="843"/>
      <c r="L2" s="843"/>
      <c r="M2" s="843"/>
      <c r="N2" s="843"/>
      <c r="O2" s="843"/>
      <c r="P2" s="843"/>
      <c r="Q2" s="843"/>
      <c r="R2" s="843"/>
    </row>
    <row r="3" spans="1:18" ht="15.75" customHeight="1">
      <c r="A3" s="838" t="s">
        <v>6</v>
      </c>
      <c r="B3" s="838" t="s">
        <v>7</v>
      </c>
      <c r="C3" s="840" t="s">
        <v>17</v>
      </c>
      <c r="D3" s="842" t="s">
        <v>9</v>
      </c>
      <c r="E3" s="842"/>
      <c r="F3" s="842"/>
      <c r="G3" s="842"/>
      <c r="H3" s="842"/>
      <c r="I3" s="842"/>
      <c r="J3" s="842"/>
      <c r="K3" s="842"/>
      <c r="L3" s="842"/>
      <c r="M3" s="842"/>
      <c r="N3" s="842"/>
      <c r="O3" s="842"/>
      <c r="P3" s="842"/>
      <c r="Q3" s="842"/>
      <c r="R3" s="842"/>
    </row>
    <row r="4" spans="1:18" ht="16.5" customHeight="1">
      <c r="A4" s="839"/>
      <c r="B4" s="839"/>
      <c r="C4" s="841"/>
      <c r="D4" s="22">
        <v>1</v>
      </c>
      <c r="E4" s="23">
        <v>2</v>
      </c>
      <c r="F4" s="22">
        <v>3</v>
      </c>
      <c r="G4" s="23">
        <v>4</v>
      </c>
      <c r="H4" s="22">
        <v>5</v>
      </c>
      <c r="I4" s="23">
        <v>6</v>
      </c>
      <c r="J4" s="22">
        <v>7</v>
      </c>
      <c r="K4" s="23">
        <v>8</v>
      </c>
      <c r="L4" s="22">
        <v>9</v>
      </c>
      <c r="M4" s="23">
        <v>10</v>
      </c>
      <c r="N4" s="22">
        <v>11</v>
      </c>
      <c r="O4" s="23">
        <v>12</v>
      </c>
      <c r="P4" s="22">
        <v>13</v>
      </c>
      <c r="Q4" s="23">
        <v>14</v>
      </c>
      <c r="R4" s="22">
        <v>15</v>
      </c>
    </row>
    <row r="5" spans="1:18" ht="24.95" customHeight="1">
      <c r="A5" s="122">
        <v>1</v>
      </c>
      <c r="B5" s="37" t="s">
        <v>28</v>
      </c>
      <c r="C5" s="37"/>
      <c r="D5" s="37">
        <f>'KQKD- Bảng 4 '!E5</f>
        <v>71514.893119620639</v>
      </c>
      <c r="E5" s="37">
        <f>'KQKD- Bảng 4 '!F5</f>
        <v>300751.18291520269</v>
      </c>
      <c r="F5" s="37">
        <f>'KQKD- Bảng 4 '!G5</f>
        <v>342853.22870712046</v>
      </c>
      <c r="G5" s="37">
        <f>'KQKD- Bảng 4 '!H5</f>
        <v>351424.55942479853</v>
      </c>
      <c r="H5" s="37">
        <f>'KQKD- Bảng 4 '!I5</f>
        <v>360210.17341041844</v>
      </c>
      <c r="I5" s="37">
        <f>'KQKD- Bảng 4 '!J5</f>
        <v>369215.42774567875</v>
      </c>
      <c r="J5" s="37">
        <f>'KQKD- Bảng 4 '!K5</f>
        <v>378445.81343932083</v>
      </c>
      <c r="K5" s="37">
        <f>'KQKD- Bảng 4 '!L5</f>
        <v>387906.95877530379</v>
      </c>
      <c r="L5" s="37">
        <f>'KQKD- Bảng 4 '!M5</f>
        <v>397604.63274468633</v>
      </c>
      <c r="M5" s="37">
        <f>'KQKD- Bảng 4 '!N5</f>
        <v>407544.7485633035</v>
      </c>
      <c r="N5" s="37">
        <f>'KQKD- Bảng 4 '!O5</f>
        <v>417733.36727738613</v>
      </c>
      <c r="O5" s="37">
        <f>'KQKD- Bảng 4 '!P5</f>
        <v>428176.70145932073</v>
      </c>
      <c r="P5" s="37">
        <f>'KQKD- Bảng 4 '!Q5</f>
        <v>438881.11899580376</v>
      </c>
      <c r="Q5" s="37">
        <f>'KQKD- Bảng 4 '!R5</f>
        <v>449853.14697069867</v>
      </c>
      <c r="R5" s="37">
        <f>'KQKD- Bảng 4 '!S5</f>
        <v>461099.4756449663</v>
      </c>
    </row>
    <row r="6" spans="1:18" ht="24.95" customHeight="1">
      <c r="A6" s="122">
        <v>2</v>
      </c>
      <c r="B6" s="37" t="s">
        <v>34</v>
      </c>
      <c r="C6" s="37"/>
      <c r="D6" s="37">
        <f>'KQKD- Bảng 4 '!E36+'KQKD- Bảng 4 '!E37+'KQKD- Bảng 4 '!E38+'KQKD- Bảng 4 '!E43+'KQKD- Bảng 4 '!E44+'KQKD- Bảng 4 '!E45+'KQKD- Bảng 4 '!E46+'KQKD- Bảng 4 '!E47+'KQKD- Bảng 4 '!E48</f>
        <v>16427.45099816308</v>
      </c>
      <c r="E6" s="37">
        <f>'KQKD- Bảng 4 '!F36+'KQKD- Bảng 4 '!F37+'KQKD- Bảng 4 '!F38+'KQKD- Bảng 4 '!F43+'KQKD- Bảng 4 '!F44+'KQKD- Bảng 4 '!F45+'KQKD- Bảng 4 '!F46+'KQKD- Bảng 4 '!F47+'KQKD- Bảng 4 '!F48</f>
        <v>57340.478254081441</v>
      </c>
      <c r="F6" s="37">
        <f>'KQKD- Bảng 4 '!G36+'KQKD- Bảng 4 '!G37+'KQKD- Bảng 4 '!G38+'KQKD- Bảng 4 '!G43+'KQKD- Bảng 4 '!G44+'KQKD- Bảng 4 '!G45+'KQKD- Bảng 4 '!G46+'KQKD- Bảng 4 '!G47+'KQKD- Bảng 4 '!G48</f>
        <v>65338.856053240641</v>
      </c>
      <c r="G6" s="37">
        <f>'KQKD- Bảng 4 '!H36+'KQKD- Bảng 4 '!H37+'KQKD- Bảng 4 '!H38+'KQKD- Bảng 4 '!H43+'KQKD- Bảng 4 '!H44+'KQKD- Bảng 4 '!H45+'KQKD- Bảng 4 '!H46+'KQKD- Bảng 4 '!H47+'KQKD- Bảng 4 '!H48</f>
        <v>66972.552454571647</v>
      </c>
      <c r="H6" s="37">
        <f>'KQKD- Bảng 4 '!I36+'KQKD- Bảng 4 '!I37+'KQKD- Bảng 4 '!I38+'KQKD- Bảng 4 '!I43+'KQKD- Bảng 4 '!I44+'KQKD- Bảng 4 '!I45+'KQKD- Bảng 4 '!I46+'KQKD- Bảng 4 '!I47+'KQKD- Bảng 4 '!I48</f>
        <v>68703.52501846246</v>
      </c>
      <c r="I6" s="37">
        <f>'KQKD- Bảng 4 '!J36+'KQKD- Bảng 4 '!J37+'KQKD- Bảng 4 '!J38+'KQKD- Bảng 4 '!J43+'KQKD- Bảng 4 '!J44+'KQKD- Bảng 4 '!J45+'KQKD- Bảng 4 '!J46+'KQKD- Bảng 4 '!J47+'KQKD- Bảng 4 '!J48</f>
        <v>70654.714029282753</v>
      </c>
      <c r="J6" s="37">
        <f>'KQKD- Bảng 4 '!K36+'KQKD- Bảng 4 '!K37+'KQKD- Bảng 4 '!K38+'KQKD- Bảng 4 '!K43+'KQKD- Bảng 4 '!K44+'KQKD- Bảng 4 '!K45+'KQKD- Bảng 4 '!K46+'KQKD- Bảng 4 '!K47+'KQKD- Bảng 4 '!K48</f>
        <v>72420.856880014835</v>
      </c>
      <c r="K6" s="37">
        <f>'KQKD- Bảng 4 '!L36+'KQKD- Bảng 4 '!L37+'KQKD- Bảng 4 '!L38+'KQKD- Bảng 4 '!L43+'KQKD- Bảng 4 '!L44+'KQKD- Bảng 4 '!L45+'KQKD- Bảng 4 '!L46+'KQKD- Bảng 4 '!L47+'KQKD- Bảng 4 '!L48</f>
        <v>74231.653302015184</v>
      </c>
      <c r="L6" s="37">
        <f>'KQKD- Bảng 4 '!M36+'KQKD- Bảng 4 '!M37+'KQKD- Bảng 4 '!M38+'KQKD- Bảng 4 '!M43+'KQKD- Bảng 4 '!M44+'KQKD- Bảng 4 '!M45+'KQKD- Bảng 4 '!M46+'KQKD- Bảng 4 '!M47+'KQKD- Bảng 4 '!M48</f>
        <v>76087.19463456556</v>
      </c>
      <c r="M6" s="37">
        <f>'KQKD- Bảng 4 '!N36+'KQKD- Bảng 4 '!N37+'KQKD- Bảng 4 '!N38+'KQKD- Bảng 4 '!N43+'KQKD- Bảng 4 '!N44+'KQKD- Bảng 4 '!N45+'KQKD- Bảng 4 '!N46+'KQKD- Bảng 4 '!N47+'KQKD- Bảng 4 '!N48</f>
        <v>77989.5995004297</v>
      </c>
      <c r="N6" s="37">
        <f>'KQKD- Bảng 4 '!O36+'KQKD- Bảng 4 '!O37+'KQKD- Bảng 4 '!O38+'KQKD- Bảng 4 '!O43+'KQKD- Bảng 4 '!O44+'KQKD- Bảng 4 '!O45+'KQKD- Bảng 4 '!O46+'KQKD- Bảng 4 '!O47+'KQKD- Bảng 4 '!O48</f>
        <v>79939.014487940454</v>
      </c>
      <c r="O6" s="37">
        <f>'KQKD- Bảng 4 '!P36+'KQKD- Bảng 4 '!P37+'KQKD- Bảng 4 '!P38+'KQKD- Bảng 4 '!P43+'KQKD- Bảng 4 '!P44+'KQKD- Bảng 4 '!P45+'KQKD- Bảng 4 '!P46+'KQKD- Bảng 4 '!P47+'KQKD- Bảng 4 '!P48</f>
        <v>81937.614850138969</v>
      </c>
      <c r="P6" s="37">
        <f>'KQKD- Bảng 4 '!Q36+'KQKD- Bảng 4 '!Q37+'KQKD- Bảng 4 '!Q38+'KQKD- Bảng 4 '!Q43+'KQKD- Bảng 4 '!Q44+'KQKD- Bảng 4 '!Q45+'KQKD- Bảng 4 '!Q46+'KQKD- Bảng 4 '!Q47+'KQKD- Bảng 4 '!Q48</f>
        <v>83985.605221392427</v>
      </c>
      <c r="Q6" s="37">
        <f>'KQKD- Bảng 4 '!R36+'KQKD- Bảng 4 '!R37+'KQKD- Bảng 4 '!R38+'KQKD- Bảng 4 '!R43+'KQKD- Bảng 4 '!R44+'KQKD- Bảng 4 '!R45+'KQKD- Bảng 4 '!R46+'KQKD- Bảng 4 '!R47+'KQKD- Bảng 4 '!R48</f>
        <v>86085.22035192723</v>
      </c>
      <c r="R6" s="37">
        <f>'KQKD- Bảng 4 '!S36+'KQKD- Bảng 4 '!S37+'KQKD- Bảng 4 '!S38+'KQKD- Bảng 4 '!S43+'KQKD- Bảng 4 '!S44+'KQKD- Bảng 4 '!S45+'KQKD- Bảng 4 '!S46+'KQKD- Bảng 4 '!S47+'KQKD- Bảng 4 '!S48</f>
        <v>88237.725860725404</v>
      </c>
    </row>
    <row r="7" spans="1:18" ht="24.95" customHeight="1">
      <c r="A7" s="122">
        <v>3</v>
      </c>
      <c r="B7" s="37" t="s">
        <v>108</v>
      </c>
      <c r="C7" s="37"/>
      <c r="D7" s="37">
        <f>'KQKD- Bảng 4 '!E27+'KQKD- Bảng 4 '!E34+'KQKD- Bảng 4 '!E35+'KQKD- Bảng 4 '!E39+'KQKD- Bảng 4 '!E40</f>
        <v>62369.154940587869</v>
      </c>
      <c r="E7" s="37">
        <f>'KQKD- Bảng 4 '!F27+'KQKD- Bảng 4 '!F34+'KQKD- Bảng 4 '!F35+'KQKD- Bảng 4 '!F39+'KQKD- Bảng 4 '!F40</f>
        <v>208429.34149052369</v>
      </c>
      <c r="F7" s="37">
        <f>'KQKD- Bảng 4 '!G27+'KQKD- Bảng 4 '!G34+'KQKD- Bảng 4 '!G35+'KQKD- Bảng 4 '!G39+'KQKD- Bảng 4 '!G40</f>
        <v>234271.9241636114</v>
      </c>
      <c r="G7" s="37">
        <f>'KQKD- Bảng 4 '!H27+'KQKD- Bảng 4 '!H34+'KQKD- Bảng 4 '!H35+'KQKD- Bảng 4 '!H39+'KQKD- Bảng 4 '!H40</f>
        <v>240129.52226770169</v>
      </c>
      <c r="H7" s="37">
        <f>'KQKD- Bảng 4 '!I27+'KQKD- Bảng 4 '!I34+'KQKD- Bảng 4 '!I35+'KQKD- Bảng 4 '!I39+'KQKD- Bảng 4 '!I40</f>
        <v>245824.28532439415</v>
      </c>
      <c r="I7" s="37">
        <f>'KQKD- Bảng 4 '!J27+'KQKD- Bảng 4 '!J34+'KQKD- Bảng 4 '!J35+'KQKD- Bảng 4 '!J39+'KQKD- Bảng 4 '!J40</f>
        <v>252286.392457504</v>
      </c>
      <c r="J7" s="37">
        <f>'KQKD- Bảng 4 '!K27+'KQKD- Bảng 4 '!K34+'KQKD- Bảng 4 '!K35+'KQKD- Bảng 4 '!K39+'KQKD- Bảng 4 '!K40</f>
        <v>258593.10226894161</v>
      </c>
      <c r="K7" s="37">
        <f>'KQKD- Bảng 4 '!L27+'KQKD- Bảng 4 '!L34+'KQKD- Bảng 4 '!L35+'KQKD- Bảng 4 '!L39+'KQKD- Bảng 4 '!L40</f>
        <v>265056.75482566515</v>
      </c>
      <c r="L7" s="37">
        <f>'KQKD- Bảng 4 '!M27+'KQKD- Bảng 4 '!M34+'KQKD- Bảng 4 '!M35+'KQKD- Bảng 4 '!M39+'KQKD- Bảng 4 '!M40</f>
        <v>271684.77369630674</v>
      </c>
      <c r="M7" s="37">
        <f>'KQKD- Bảng 4 '!N27+'KQKD- Bảng 4 '!N34+'KQKD- Bảng 4 '!N35+'KQKD- Bảng 4 '!N39+'KQKD- Bảng 4 '!N40</f>
        <v>278476.66803871439</v>
      </c>
      <c r="N7" s="37">
        <f>'KQKD- Bảng 4 '!O27+'KQKD- Bảng 4 '!O34+'KQKD- Bảng 4 '!O35+'KQKD- Bảng 4 '!O39+'KQKD- Bảng 4 '!O40</f>
        <v>285438.03473968228</v>
      </c>
      <c r="O7" s="37">
        <f>'KQKD- Bảng 4 '!P27+'KQKD- Bảng 4 '!P34+'KQKD- Bảng 4 '!P35+'KQKD- Bảng 4 '!P39+'KQKD- Bảng 4 '!P40</f>
        <v>292573.56060817436</v>
      </c>
      <c r="P7" s="37">
        <f>'KQKD- Bảng 4 '!Q27+'KQKD- Bảng 4 '!Q34+'KQKD- Bảng 4 '!Q35+'KQKD- Bảng 4 '!Q39+'KQKD- Bảng 4 '!Q40</f>
        <v>299890.02462337865</v>
      </c>
      <c r="Q7" s="37">
        <f>'KQKD- Bảng 4 '!R27+'KQKD- Bảng 4 '!R34+'KQKD- Bảng 4 '!R35+'KQKD- Bảng 4 '!R39+'KQKD- Bảng 4 '!R40</f>
        <v>307385.3002389631</v>
      </c>
      <c r="R7" s="37">
        <f>'KQKD- Bảng 4 '!S27+'KQKD- Bảng 4 '!S34+'KQKD- Bảng 4 '!S35+'KQKD- Bảng 4 '!S39+'KQKD- Bảng 4 '!S40</f>
        <v>315070.35774493724</v>
      </c>
    </row>
    <row r="8" spans="1:18" ht="24.95" customHeight="1">
      <c r="A8" s="122">
        <v>4</v>
      </c>
      <c r="B8" s="37" t="s">
        <v>39</v>
      </c>
      <c r="C8" s="37"/>
      <c r="D8" s="37">
        <f>D5*'Thong so - Độ nhậy - Bảng 1'!$C$23</f>
        <v>715.14893119620638</v>
      </c>
      <c r="E8" s="37">
        <f>E5*'Thong so - Độ nhậy - Bảng 1'!$C$23</f>
        <v>3007.5118291520271</v>
      </c>
      <c r="F8" s="37">
        <f>F5*'Thong so - Độ nhậy - Bảng 1'!$C$23</f>
        <v>3428.5322870712048</v>
      </c>
      <c r="G8" s="37">
        <f>G5*'Thong so - Độ nhậy - Bảng 1'!$C$23</f>
        <v>3514.2455942479855</v>
      </c>
      <c r="H8" s="37">
        <f>H5*'Thong so - Độ nhậy - Bảng 1'!$C$23</f>
        <v>3602.1017341041843</v>
      </c>
      <c r="I8" s="37">
        <f>I5*'Thong so - Độ nhậy - Bảng 1'!$C$23</f>
        <v>3692.1542774567874</v>
      </c>
      <c r="J8" s="37">
        <f>J5*'Thong so - Độ nhậy - Bảng 1'!$C$23</f>
        <v>3784.4581343932082</v>
      </c>
      <c r="K8" s="37">
        <f>K5*'Thong so - Độ nhậy - Bảng 1'!$C$23</f>
        <v>3879.0695877530379</v>
      </c>
      <c r="L8" s="37">
        <f>L5*'Thong so - Độ nhậy - Bảng 1'!$C$23</f>
        <v>3976.0463274468634</v>
      </c>
      <c r="M8" s="37">
        <f>M5*'Thong so - Độ nhậy - Bảng 1'!$C$23</f>
        <v>4075.4474856330348</v>
      </c>
      <c r="N8" s="37">
        <f>N5*'Thong so - Độ nhậy - Bảng 1'!$C$23</f>
        <v>4177.3336727738615</v>
      </c>
      <c r="O8" s="37">
        <f>O5*'Thong so - Độ nhậy - Bảng 1'!$C$23</f>
        <v>4281.767014593207</v>
      </c>
      <c r="P8" s="37">
        <f>P5*'Thong so - Độ nhậy - Bảng 1'!$C$23</f>
        <v>4388.8111899580381</v>
      </c>
      <c r="Q8" s="37">
        <f>Q5*'Thong so - Độ nhậy - Bảng 1'!$C$23</f>
        <v>4498.5314697069871</v>
      </c>
      <c r="R8" s="37">
        <f>R5*'Thong so - Độ nhậy - Bảng 1'!$C$23</f>
        <v>4610.9947564496633</v>
      </c>
    </row>
    <row r="9" spans="1:18" ht="24.95" customHeight="1">
      <c r="A9" s="122">
        <v>5</v>
      </c>
      <c r="B9" s="50" t="s">
        <v>43</v>
      </c>
      <c r="C9" s="50"/>
      <c r="D9" s="43">
        <f>C8-D8</f>
        <v>-715.14893119620638</v>
      </c>
      <c r="E9" s="43">
        <f t="shared" ref="E9:R9" si="0">D8-E8</f>
        <v>-2292.3628979558207</v>
      </c>
      <c r="F9" s="43">
        <f t="shared" si="0"/>
        <v>-421.02045791917772</v>
      </c>
      <c r="G9" s="43">
        <f t="shared" si="0"/>
        <v>-85.713307176780745</v>
      </c>
      <c r="H9" s="43">
        <f t="shared" si="0"/>
        <v>-87.856139856198752</v>
      </c>
      <c r="I9" s="43">
        <f t="shared" si="0"/>
        <v>-90.052543352603152</v>
      </c>
      <c r="J9" s="43">
        <f t="shared" si="0"/>
        <v>-92.303856936420743</v>
      </c>
      <c r="K9" s="43">
        <f t="shared" si="0"/>
        <v>-94.611453359829738</v>
      </c>
      <c r="L9" s="43">
        <f t="shared" si="0"/>
        <v>-96.976739693825493</v>
      </c>
      <c r="M9" s="43">
        <f t="shared" si="0"/>
        <v>-99.401158186171415</v>
      </c>
      <c r="N9" s="43">
        <f t="shared" si="0"/>
        <v>-101.88618714082668</v>
      </c>
      <c r="O9" s="43">
        <f t="shared" si="0"/>
        <v>-104.43334181934551</v>
      </c>
      <c r="P9" s="43">
        <f t="shared" si="0"/>
        <v>-107.04417536483106</v>
      </c>
      <c r="Q9" s="43">
        <f t="shared" si="0"/>
        <v>-109.720279748949</v>
      </c>
      <c r="R9" s="43">
        <f t="shared" si="0"/>
        <v>-112.46328674267625</v>
      </c>
    </row>
    <row r="10" spans="1:18" ht="24.95" customHeight="1">
      <c r="A10" s="122">
        <v>6</v>
      </c>
      <c r="B10" s="37" t="s">
        <v>49</v>
      </c>
      <c r="C10" s="37"/>
      <c r="D10" s="37">
        <f>D6*'Thong so - Độ nhậy - Bảng 1'!$C$24</f>
        <v>164.27450998163081</v>
      </c>
      <c r="E10" s="37">
        <f>E6*'Thong so - Độ nhậy - Bảng 1'!$C$24</f>
        <v>573.40478254081438</v>
      </c>
      <c r="F10" s="37">
        <f>F6*'Thong so - Độ nhậy - Bảng 1'!$C$24</f>
        <v>653.38856053240647</v>
      </c>
      <c r="G10" s="37">
        <f>G6*'Thong so - Độ nhậy - Bảng 1'!$C$24</f>
        <v>669.72552454571644</v>
      </c>
      <c r="H10" s="37">
        <f>H6*'Thong so - Độ nhậy - Bảng 1'!$C$24</f>
        <v>687.0352501846246</v>
      </c>
      <c r="I10" s="37">
        <f>I6*'Thong so - Độ nhậy - Bảng 1'!$C$24</f>
        <v>706.54714029282752</v>
      </c>
      <c r="J10" s="37">
        <f>J6*'Thong so - Độ nhậy - Bảng 1'!$C$24</f>
        <v>724.20856880014833</v>
      </c>
      <c r="K10" s="37">
        <f>K6*'Thong so - Độ nhậy - Bảng 1'!$C$24</f>
        <v>742.31653302015184</v>
      </c>
      <c r="L10" s="37">
        <f>L6*'Thong so - Độ nhậy - Bảng 1'!$C$24</f>
        <v>760.8719463456556</v>
      </c>
      <c r="M10" s="37">
        <f>M6*'Thong so - Độ nhậy - Bảng 1'!$C$24</f>
        <v>779.89599500429699</v>
      </c>
      <c r="N10" s="37">
        <f>N6*'Thong so - Độ nhậy - Bảng 1'!$C$24</f>
        <v>799.3901448794046</v>
      </c>
      <c r="O10" s="37">
        <f>O6*'Thong so - Độ nhậy - Bảng 1'!$C$24</f>
        <v>819.37614850138971</v>
      </c>
      <c r="P10" s="37">
        <f>P6*'Thong so - Độ nhậy - Bảng 1'!$C$24</f>
        <v>839.85605221392427</v>
      </c>
      <c r="Q10" s="37">
        <f>Q6*'Thong so - Độ nhậy - Bảng 1'!$C$24</f>
        <v>860.85220351927228</v>
      </c>
      <c r="R10" s="37">
        <f>R6*'Thong so - Độ nhậy - Bảng 1'!$C$24</f>
        <v>882.37725860725402</v>
      </c>
    </row>
    <row r="11" spans="1:18" ht="24.95" customHeight="1">
      <c r="A11" s="122">
        <v>7</v>
      </c>
      <c r="B11" s="37" t="s">
        <v>52</v>
      </c>
      <c r="C11" s="37"/>
      <c r="D11" s="37">
        <f>C10-D10</f>
        <v>-164.27450998163081</v>
      </c>
      <c r="E11" s="37">
        <f>D10-E10</f>
        <v>-409.1302725591836</v>
      </c>
      <c r="F11" s="37">
        <f t="shared" ref="F11:R11" si="1">E10-F10</f>
        <v>-79.983777991592092</v>
      </c>
      <c r="G11" s="37">
        <f t="shared" si="1"/>
        <v>-16.336964013309967</v>
      </c>
      <c r="H11" s="37">
        <f t="shared" si="1"/>
        <v>-17.309725638908162</v>
      </c>
      <c r="I11" s="37">
        <f t="shared" si="1"/>
        <v>-19.51189010820292</v>
      </c>
      <c r="J11" s="37">
        <f t="shared" si="1"/>
        <v>-17.661428507320807</v>
      </c>
      <c r="K11" s="37">
        <f t="shared" si="1"/>
        <v>-18.10796422000351</v>
      </c>
      <c r="L11" s="37">
        <f t="shared" si="1"/>
        <v>-18.555413325503764</v>
      </c>
      <c r="M11" s="37">
        <f t="shared" si="1"/>
        <v>-19.024048658641391</v>
      </c>
      <c r="N11" s="37">
        <f t="shared" si="1"/>
        <v>-19.49414987510761</v>
      </c>
      <c r="O11" s="37">
        <f t="shared" si="1"/>
        <v>-19.986003621985105</v>
      </c>
      <c r="P11" s="37">
        <f t="shared" si="1"/>
        <v>-20.479903712534565</v>
      </c>
      <c r="Q11" s="37">
        <f t="shared" si="1"/>
        <v>-20.996151305348008</v>
      </c>
      <c r="R11" s="37">
        <f t="shared" si="1"/>
        <v>-21.525055087981741</v>
      </c>
    </row>
    <row r="12" spans="1:18" ht="24.95" customHeight="1">
      <c r="A12" s="122">
        <v>8</v>
      </c>
      <c r="B12" s="37" t="s">
        <v>56</v>
      </c>
      <c r="C12" s="37"/>
      <c r="D12" s="37">
        <f>D5*'Thong so - Độ nhậy - Bảng 1'!$C$25</f>
        <v>715.14893119620638</v>
      </c>
      <c r="E12" s="37">
        <f>E5*'Thong so - Độ nhậy - Bảng 1'!$C$25</f>
        <v>3007.5118291520271</v>
      </c>
      <c r="F12" s="37">
        <f>F5*'Thong so - Độ nhậy - Bảng 1'!$C$25</f>
        <v>3428.5322870712048</v>
      </c>
      <c r="G12" s="37">
        <f>G5*'Thong so - Độ nhậy - Bảng 1'!$C$25</f>
        <v>3514.2455942479855</v>
      </c>
      <c r="H12" s="37">
        <f>H5*'Thong so - Độ nhậy - Bảng 1'!$C$25</f>
        <v>3602.1017341041843</v>
      </c>
      <c r="I12" s="37">
        <f>I5*'Thong so - Độ nhậy - Bảng 1'!$C$25</f>
        <v>3692.1542774567874</v>
      </c>
      <c r="J12" s="37">
        <f>J5*'Thong so - Độ nhậy - Bảng 1'!$C$25</f>
        <v>3784.4581343932082</v>
      </c>
      <c r="K12" s="37">
        <f>K5*'Thong so - Độ nhậy - Bảng 1'!$C$25</f>
        <v>3879.0695877530379</v>
      </c>
      <c r="L12" s="37">
        <f>L5*'Thong so - Độ nhậy - Bảng 1'!$C$25</f>
        <v>3976.0463274468634</v>
      </c>
      <c r="M12" s="37">
        <f>M5*'Thong so - Độ nhậy - Bảng 1'!$C$25</f>
        <v>4075.4474856330348</v>
      </c>
      <c r="N12" s="37">
        <f>N5*'Thong so - Độ nhậy - Bảng 1'!$C$25</f>
        <v>4177.3336727738615</v>
      </c>
      <c r="O12" s="37">
        <f>O5*'Thong so - Độ nhậy - Bảng 1'!$C$25</f>
        <v>4281.767014593207</v>
      </c>
      <c r="P12" s="37">
        <f>P5*'Thong so - Độ nhậy - Bảng 1'!$C$25</f>
        <v>4388.8111899580381</v>
      </c>
      <c r="Q12" s="37">
        <f>Q5*'Thong so - Độ nhậy - Bảng 1'!$C$25</f>
        <v>4498.5314697069871</v>
      </c>
      <c r="R12" s="37">
        <f>R5*'Thong so - Độ nhậy - Bảng 1'!$C$25</f>
        <v>4610.9947564496633</v>
      </c>
    </row>
    <row r="13" spans="1:18" ht="24.95" customHeight="1">
      <c r="A13" s="122">
        <v>9</v>
      </c>
      <c r="B13" s="37" t="s">
        <v>61</v>
      </c>
      <c r="C13" s="37"/>
      <c r="D13" s="37">
        <f>-C12+D12</f>
        <v>715.14893119620638</v>
      </c>
      <c r="E13" s="37">
        <f t="shared" ref="E13:R13" si="2">-D12+E12</f>
        <v>2292.3628979558207</v>
      </c>
      <c r="F13" s="37">
        <f t="shared" si="2"/>
        <v>421.02045791917772</v>
      </c>
      <c r="G13" s="37">
        <f t="shared" si="2"/>
        <v>85.713307176780745</v>
      </c>
      <c r="H13" s="37">
        <f t="shared" si="2"/>
        <v>87.856139856198752</v>
      </c>
      <c r="I13" s="37">
        <f t="shared" si="2"/>
        <v>90.052543352603152</v>
      </c>
      <c r="J13" s="37">
        <f t="shared" si="2"/>
        <v>92.303856936420743</v>
      </c>
      <c r="K13" s="37">
        <f t="shared" si="2"/>
        <v>94.611453359829738</v>
      </c>
      <c r="L13" s="37">
        <f t="shared" si="2"/>
        <v>96.976739693825493</v>
      </c>
      <c r="M13" s="37">
        <f t="shared" si="2"/>
        <v>99.401158186171415</v>
      </c>
      <c r="N13" s="37">
        <f t="shared" si="2"/>
        <v>101.88618714082668</v>
      </c>
      <c r="O13" s="37">
        <f t="shared" si="2"/>
        <v>104.43334181934551</v>
      </c>
      <c r="P13" s="37">
        <f t="shared" si="2"/>
        <v>107.04417536483106</v>
      </c>
      <c r="Q13" s="37">
        <f t="shared" si="2"/>
        <v>109.720279748949</v>
      </c>
      <c r="R13" s="37">
        <f t="shared" si="2"/>
        <v>112.46328674267625</v>
      </c>
    </row>
    <row r="14" spans="1:18" ht="24.95" customHeight="1">
      <c r="A14" s="122">
        <v>10</v>
      </c>
      <c r="B14" s="37" t="s">
        <v>110</v>
      </c>
      <c r="C14" s="37"/>
      <c r="D14" s="37">
        <f>D7/'Thong so - Độ nhậy - Bảng 1'!$C$26</f>
        <v>15592.288735146967</v>
      </c>
      <c r="E14" s="37">
        <f>E7/'Thong so - Độ nhậy - Bảng 1'!$C$26</f>
        <v>52107.335372630921</v>
      </c>
      <c r="F14" s="37">
        <f>F7/'Thong so - Độ nhậy - Bảng 1'!$C$26</f>
        <v>58567.981040902851</v>
      </c>
      <c r="G14" s="37">
        <f>G7/'Thong so - Độ nhậy - Bảng 1'!$C$26</f>
        <v>60032.380566925422</v>
      </c>
      <c r="H14" s="37">
        <f>H7/'Thong so - Độ nhậy - Bảng 1'!$C$26</f>
        <v>61456.071331098537</v>
      </c>
      <c r="I14" s="37">
        <f>I7/'Thong so - Độ nhậy - Bảng 1'!$C$26</f>
        <v>63071.598114376</v>
      </c>
      <c r="J14" s="37">
        <f>J7/'Thong so - Độ nhậy - Bảng 1'!$C$26</f>
        <v>64648.275567235403</v>
      </c>
      <c r="K14" s="37">
        <f>K7/'Thong so - Độ nhậy - Bảng 1'!$C$26</f>
        <v>66264.188706416287</v>
      </c>
      <c r="L14" s="37">
        <f>L7/'Thong so - Độ nhậy - Bảng 1'!$C$26</f>
        <v>67921.193424076686</v>
      </c>
      <c r="M14" s="37">
        <f>M7/'Thong so - Độ nhậy - Bảng 1'!$C$26</f>
        <v>69619.167009678597</v>
      </c>
      <c r="N14" s="37">
        <f>N7/'Thong so - Độ nhậy - Bảng 1'!$C$26</f>
        <v>71359.508684920569</v>
      </c>
      <c r="O14" s="37">
        <f>O7/'Thong so - Độ nhậy - Bảng 1'!$C$26</f>
        <v>73143.39015204359</v>
      </c>
      <c r="P14" s="37">
        <f>P7/'Thong so - Độ nhậy - Bảng 1'!$C$26</f>
        <v>74972.506155844661</v>
      </c>
      <c r="Q14" s="37">
        <f>Q7/'Thong so - Độ nhậy - Bảng 1'!$C$26</f>
        <v>76846.325059740775</v>
      </c>
      <c r="R14" s="37">
        <f>R7/'Thong so - Độ nhậy - Bảng 1'!$C$26</f>
        <v>78767.58943623431</v>
      </c>
    </row>
    <row r="15" spans="1:18" ht="24.95" customHeight="1">
      <c r="A15" s="122">
        <v>11</v>
      </c>
      <c r="B15" s="37" t="s">
        <v>109</v>
      </c>
      <c r="C15" s="37"/>
      <c r="D15" s="37">
        <f>D8-D10+D12+D14</f>
        <v>16858.312087557748</v>
      </c>
      <c r="E15" s="37">
        <f t="shared" ref="E15:R15" si="3">E8-E10+E12+E14</f>
        <v>57548.954248394162</v>
      </c>
      <c r="F15" s="37">
        <f t="shared" si="3"/>
        <v>64771.657054512856</v>
      </c>
      <c r="G15" s="37">
        <f t="shared" si="3"/>
        <v>66391.146230875675</v>
      </c>
      <c r="H15" s="37">
        <f t="shared" si="3"/>
        <v>67973.239549122285</v>
      </c>
      <c r="I15" s="37">
        <f t="shared" si="3"/>
        <v>69749.359528996749</v>
      </c>
      <c r="J15" s="37">
        <f t="shared" si="3"/>
        <v>71492.983267221673</v>
      </c>
      <c r="K15" s="37">
        <f t="shared" si="3"/>
        <v>73280.011348902219</v>
      </c>
      <c r="L15" s="37">
        <f t="shared" si="3"/>
        <v>75112.414132624763</v>
      </c>
      <c r="M15" s="37">
        <f t="shared" si="3"/>
        <v>76990.165985940374</v>
      </c>
      <c r="N15" s="37">
        <f t="shared" si="3"/>
        <v>78914.785885588892</v>
      </c>
      <c r="O15" s="37">
        <f t="shared" si="3"/>
        <v>80887.54803272862</v>
      </c>
      <c r="P15" s="37">
        <f t="shared" si="3"/>
        <v>82910.272483546811</v>
      </c>
      <c r="Q15" s="37">
        <f t="shared" si="3"/>
        <v>84982.535795635471</v>
      </c>
      <c r="R15" s="37">
        <f t="shared" si="3"/>
        <v>87107.201690526388</v>
      </c>
    </row>
    <row r="16" spans="1:18" ht="24.95" customHeight="1">
      <c r="A16" s="122">
        <v>12</v>
      </c>
      <c r="B16" s="37" t="s">
        <v>114</v>
      </c>
      <c r="C16" s="37"/>
      <c r="D16" s="37">
        <f>'Thong so - Độ nhậy - Bảng 1'!$C$27*D15</f>
        <v>14329.565274424085</v>
      </c>
      <c r="E16" s="37">
        <f>'Thong so - Độ nhậy - Bảng 1'!$C$27*E15</f>
        <v>48916.61111113504</v>
      </c>
      <c r="F16" s="37">
        <f>'Thong so - Độ nhậy - Bảng 1'!$C$27*F15</f>
        <v>55055.908496335927</v>
      </c>
      <c r="G16" s="37">
        <f>'Thong so - Độ nhậy - Bảng 1'!$C$27*G15</f>
        <v>56432.47429624432</v>
      </c>
      <c r="H16" s="37">
        <f>'Thong so - Độ nhậy - Bảng 1'!$C$27*H15</f>
        <v>57777.253616753944</v>
      </c>
      <c r="I16" s="37">
        <f>'Thong so - Độ nhậy - Bảng 1'!$C$27*I15</f>
        <v>59286.955599647234</v>
      </c>
      <c r="J16" s="37">
        <f>'Thong so - Độ nhậy - Bảng 1'!$C$27*J15</f>
        <v>60769.035777138422</v>
      </c>
      <c r="K16" s="37">
        <f>'Thong so - Độ nhậy - Bảng 1'!$C$27*K15</f>
        <v>62288.009646566883</v>
      </c>
      <c r="L16" s="37">
        <f>'Thong so - Độ nhậy - Bảng 1'!$C$27*L15</f>
        <v>63845.552012731045</v>
      </c>
      <c r="M16" s="37">
        <f>'Thong so - Độ nhậy - Bảng 1'!$C$27*M15</f>
        <v>65441.641088049313</v>
      </c>
      <c r="N16" s="37">
        <f>'Thong so - Độ nhậy - Bảng 1'!$C$27*N15</f>
        <v>67077.568002750559</v>
      </c>
      <c r="O16" s="37">
        <f>'Thong so - Độ nhậy - Bảng 1'!$C$27*O15</f>
        <v>68754.415827819321</v>
      </c>
      <c r="P16" s="37">
        <f>'Thong so - Độ nhậy - Bảng 1'!$C$27*P15</f>
        <v>70473.73161101478</v>
      </c>
      <c r="Q16" s="37">
        <f>'Thong so - Độ nhậy - Bảng 1'!$C$27*Q15</f>
        <v>72235.155426290148</v>
      </c>
      <c r="R16" s="37">
        <f>'Thong so - Độ nhậy - Bảng 1'!$C$27*R15</f>
        <v>74041.121436947433</v>
      </c>
    </row>
    <row r="17" spans="1:18" ht="24.95" customHeight="1">
      <c r="A17" s="122">
        <v>12</v>
      </c>
      <c r="B17" s="37" t="s">
        <v>107</v>
      </c>
      <c r="C17" s="37"/>
      <c r="D17" s="37">
        <f>D16*'Thong so - Độ nhậy - Bảng 1'!$N$20</f>
        <v>1003.0695692096861</v>
      </c>
      <c r="E17" s="37">
        <f>E16*'Thong so - Độ nhậy - Bảng 1'!$N$20</f>
        <v>3424.1627777794533</v>
      </c>
      <c r="F17" s="37">
        <f>F16*'Thong so - Độ nhậy - Bảng 1'!$N$20</f>
        <v>3853.9135947435152</v>
      </c>
      <c r="G17" s="37">
        <f>G16*'Thong so - Độ nhậy - Bảng 1'!$N$20</f>
        <v>3950.2732007371028</v>
      </c>
      <c r="H17" s="37">
        <f>H16*'Thong so - Độ nhậy - Bảng 1'!$N$20</f>
        <v>4044.4077531727767</v>
      </c>
      <c r="I17" s="37">
        <f>I16*'Thong so - Độ nhậy - Bảng 1'!$N$20</f>
        <v>4150.0868919753066</v>
      </c>
      <c r="J17" s="37">
        <f>J16*'Thong so - Độ nhậy - Bảng 1'!$N$20</f>
        <v>4253.8325043996902</v>
      </c>
      <c r="K17" s="37">
        <f>K16*'Thong so - Độ nhậy - Bảng 1'!$N$20</f>
        <v>4360.1606752596826</v>
      </c>
      <c r="L17" s="37">
        <f>L16*'Thong so - Độ nhậy - Bảng 1'!$N$20</f>
        <v>4469.1886408911732</v>
      </c>
      <c r="M17" s="37">
        <f>M16*'Thong so - Độ nhậy - Bảng 1'!$N$20</f>
        <v>4580.9148761634524</v>
      </c>
      <c r="N17" s="37">
        <f>N16*'Thong so - Độ nhậy - Bảng 1'!$N$20</f>
        <v>4695.4297601925391</v>
      </c>
      <c r="O17" s="37">
        <f>O16*'Thong so - Độ nhậy - Bảng 1'!$N$20</f>
        <v>4812.8091079473534</v>
      </c>
      <c r="P17" s="37">
        <f>P16*'Thong so - Độ nhậy - Bảng 1'!$N$20</f>
        <v>4933.161212771035</v>
      </c>
      <c r="Q17" s="37">
        <f>Q16*'Thong so - Độ nhậy - Bảng 1'!$N$20</f>
        <v>5056.4608798403106</v>
      </c>
      <c r="R17" s="37">
        <f>R16*'Thong so - Độ nhậy - Bảng 1'!$N$20</f>
        <v>5182.878500586321</v>
      </c>
    </row>
    <row r="18" spans="1:18" ht="24.95" customHeight="1">
      <c r="A18" s="122"/>
      <c r="B18" s="50"/>
      <c r="C18" s="50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</row>
    <row r="19" spans="1:18">
      <c r="A19" s="2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8">
      <c r="A20" s="2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8">
      <c r="A21" s="2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8">
      <c r="A22" s="38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</row>
    <row r="23" spans="1:18">
      <c r="A23" s="38"/>
      <c r="B23" s="4"/>
      <c r="C23" s="4"/>
      <c r="D23" s="5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8">
      <c r="A24" s="38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8">
      <c r="N25" s="4"/>
    </row>
    <row r="48" spans="1:1">
      <c r="A48" s="123"/>
    </row>
  </sheetData>
  <mergeCells count="5">
    <mergeCell ref="A3:A4"/>
    <mergeCell ref="B3:B4"/>
    <mergeCell ref="C3:C4"/>
    <mergeCell ref="D3:R3"/>
    <mergeCell ref="A2:R2"/>
  </mergeCells>
  <printOptions horizontalCentered="1"/>
  <pageMargins left="0.196850393700787" right="0.196850393700787" top="0.35433070866141703" bottom="0.27559055118110198" header="0.196850393700787" footer="0.196850393700787"/>
  <pageSetup paperSize="9" orientation="landscape" r:id="rId1"/>
  <headerFooter alignWithMargins="0"/>
  <ignoredErrors>
    <ignoredError sqref="D10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R27"/>
  <sheetViews>
    <sheetView showGridLines="0" zoomScale="80" zoomScaleNormal="80" zoomScaleSheetLayoutView="100" workbookViewId="0">
      <selection activeCell="E13" sqref="E13"/>
    </sheetView>
  </sheetViews>
  <sheetFormatPr defaultColWidth="11.42578125" defaultRowHeight="12.75"/>
  <cols>
    <col min="1" max="1" width="5.7109375" style="121" customWidth="1"/>
    <col min="2" max="2" width="21.7109375" style="1" customWidth="1"/>
    <col min="3" max="3" width="9.5703125" style="1" bestFit="1" customWidth="1"/>
    <col min="4" max="4" width="9.28515625" style="1" bestFit="1" customWidth="1"/>
    <col min="5" max="18" width="10.28515625" style="1" bestFit="1" customWidth="1"/>
    <col min="19" max="16384" width="11.42578125" style="1"/>
  </cols>
  <sheetData>
    <row r="1" spans="1:18" ht="15.75" customHeight="1">
      <c r="A1" s="846" t="s">
        <v>326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</row>
    <row r="2" spans="1:18" ht="12.75" customHeight="1">
      <c r="A2" s="817"/>
      <c r="B2" s="817"/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  <c r="O2" s="817"/>
      <c r="P2" s="817"/>
      <c r="Q2" s="817"/>
    </row>
    <row r="3" spans="1:18" ht="24.95" customHeight="1">
      <c r="A3" s="844" t="s">
        <v>6</v>
      </c>
      <c r="B3" s="844" t="s">
        <v>7</v>
      </c>
      <c r="C3" s="6">
        <v>2017</v>
      </c>
      <c r="D3" s="6">
        <v>2018</v>
      </c>
      <c r="E3" s="6">
        <v>2019</v>
      </c>
      <c r="F3" s="6">
        <v>2020</v>
      </c>
      <c r="G3" s="6">
        <v>2021</v>
      </c>
      <c r="H3" s="6">
        <v>2022</v>
      </c>
      <c r="I3" s="6">
        <v>2023</v>
      </c>
      <c r="J3" s="6">
        <v>2024</v>
      </c>
      <c r="K3" s="6">
        <v>2025</v>
      </c>
      <c r="L3" s="6">
        <v>2026</v>
      </c>
      <c r="M3" s="6">
        <v>2027</v>
      </c>
      <c r="N3" s="6">
        <v>2028</v>
      </c>
      <c r="O3" s="6">
        <v>2029</v>
      </c>
      <c r="P3" s="6">
        <v>2030</v>
      </c>
      <c r="Q3" s="6">
        <v>2031</v>
      </c>
      <c r="R3" s="88">
        <v>2032</v>
      </c>
    </row>
    <row r="4" spans="1:18" ht="24.95" customHeight="1">
      <c r="A4" s="844"/>
      <c r="B4" s="84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1:18" ht="24.95" customHeight="1">
      <c r="A5" s="264">
        <v>1</v>
      </c>
      <c r="B5" s="25" t="s">
        <v>22</v>
      </c>
      <c r="C5" s="25"/>
      <c r="D5" s="25"/>
      <c r="E5" s="26"/>
      <c r="F5" s="26"/>
      <c r="G5" s="26"/>
      <c r="H5" s="26"/>
      <c r="I5" s="26"/>
      <c r="J5" s="26"/>
      <c r="K5" s="26"/>
      <c r="L5" s="26"/>
      <c r="M5" s="26"/>
      <c r="N5" s="26"/>
      <c r="O5" s="3"/>
      <c r="P5" s="3"/>
      <c r="Q5" s="3"/>
      <c r="R5" s="753"/>
    </row>
    <row r="6" spans="1:18" ht="24.95" customHeight="1">
      <c r="A6" s="119"/>
      <c r="B6" s="39" t="s">
        <v>29</v>
      </c>
      <c r="C6" s="39"/>
      <c r="D6" s="36">
        <f>'KQKD- Bảng 4 '!E5</f>
        <v>71514.893119620639</v>
      </c>
      <c r="E6" s="36">
        <f>'KQKD- Bảng 4 '!F5</f>
        <v>300751.18291520269</v>
      </c>
      <c r="F6" s="36">
        <f>'KQKD- Bảng 4 '!G5</f>
        <v>342853.22870712046</v>
      </c>
      <c r="G6" s="36">
        <f>'KQKD- Bảng 4 '!H5</f>
        <v>351424.55942479853</v>
      </c>
      <c r="H6" s="36">
        <f>'KQKD- Bảng 4 '!I5</f>
        <v>360210.17341041844</v>
      </c>
      <c r="I6" s="36">
        <f>'KQKD- Bảng 4 '!J5</f>
        <v>369215.42774567875</v>
      </c>
      <c r="J6" s="36">
        <f>'KQKD- Bảng 4 '!K5</f>
        <v>378445.81343932083</v>
      </c>
      <c r="K6" s="36">
        <f>'KQKD- Bảng 4 '!L5</f>
        <v>387906.95877530379</v>
      </c>
      <c r="L6" s="36">
        <f>'KQKD- Bảng 4 '!M5</f>
        <v>397604.63274468633</v>
      </c>
      <c r="M6" s="36">
        <f>'KQKD- Bảng 4 '!N5</f>
        <v>407544.7485633035</v>
      </c>
      <c r="N6" s="36">
        <f>'KQKD- Bảng 4 '!O5</f>
        <v>417733.36727738613</v>
      </c>
      <c r="O6" s="36">
        <f>'KQKD- Bảng 4 '!P5</f>
        <v>428176.70145932073</v>
      </c>
      <c r="P6" s="36">
        <f>'KQKD- Bảng 4 '!Q5</f>
        <v>438881.11899580376</v>
      </c>
      <c r="Q6" s="36">
        <f>'KQKD- Bảng 4 '!R5</f>
        <v>449853.14697069867</v>
      </c>
      <c r="R6" s="36">
        <f>'KQKD- Bảng 4 '!S5</f>
        <v>461099.4756449663</v>
      </c>
    </row>
    <row r="7" spans="1:18" ht="24.95" customHeight="1">
      <c r="A7" s="119"/>
      <c r="B7" s="39" t="s">
        <v>35</v>
      </c>
      <c r="C7" s="39"/>
      <c r="D7" s="36">
        <f>'VLD- Bảng 6'!D9</f>
        <v>-715.14893119620638</v>
      </c>
      <c r="E7" s="36">
        <f>'VLD- Bảng 6'!E9</f>
        <v>-2292.3628979558207</v>
      </c>
      <c r="F7" s="36">
        <f>'VLD- Bảng 6'!F9</f>
        <v>-421.02045791917772</v>
      </c>
      <c r="G7" s="36">
        <f>'VLD- Bảng 6'!G9</f>
        <v>-85.713307176780745</v>
      </c>
      <c r="H7" s="36">
        <f>'VLD- Bảng 6'!H9</f>
        <v>-87.856139856198752</v>
      </c>
      <c r="I7" s="36">
        <f>'VLD- Bảng 6'!I9</f>
        <v>-90.052543352603152</v>
      </c>
      <c r="J7" s="36">
        <f>'VLD- Bảng 6'!J9</f>
        <v>-92.303856936420743</v>
      </c>
      <c r="K7" s="36">
        <f>'VLD- Bảng 6'!K9</f>
        <v>-94.611453359829738</v>
      </c>
      <c r="L7" s="36">
        <f>'VLD- Bảng 6'!L9</f>
        <v>-96.976739693825493</v>
      </c>
      <c r="M7" s="36">
        <f>'VLD- Bảng 6'!M9</f>
        <v>-99.401158186171415</v>
      </c>
      <c r="N7" s="36">
        <f>'VLD- Bảng 6'!N9</f>
        <v>-101.88618714082668</v>
      </c>
      <c r="O7" s="36">
        <f>'VLD- Bảng 6'!O9</f>
        <v>-104.43334181934551</v>
      </c>
      <c r="P7" s="36">
        <f>'VLD- Bảng 6'!P9</f>
        <v>-107.04417536483106</v>
      </c>
      <c r="Q7" s="36">
        <f>'VLD- Bảng 6'!Q9</f>
        <v>-109.720279748949</v>
      </c>
      <c r="R7" s="36">
        <f>'VLD- Bảng 6'!R9</f>
        <v>-112.46328674267625</v>
      </c>
    </row>
    <row r="8" spans="1:18" ht="24.95" customHeight="1">
      <c r="A8" s="119"/>
      <c r="B8" s="39" t="s">
        <v>40</v>
      </c>
      <c r="C8" s="39"/>
      <c r="D8" s="39"/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f>'Khấu hao- Bảng 3'!T7</f>
        <v>39885.198387586126</v>
      </c>
    </row>
    <row r="9" spans="1:18" ht="24.95" customHeight="1">
      <c r="A9" s="119"/>
      <c r="B9" s="35" t="s">
        <v>44</v>
      </c>
      <c r="C9" s="35"/>
      <c r="D9" s="35"/>
      <c r="E9" s="36"/>
      <c r="F9" s="12"/>
      <c r="G9" s="12"/>
      <c r="H9" s="12"/>
      <c r="I9" s="12"/>
      <c r="J9" s="12"/>
      <c r="K9" s="12"/>
      <c r="L9" s="12"/>
      <c r="M9" s="35"/>
      <c r="N9" s="35"/>
      <c r="O9" s="35"/>
      <c r="P9" s="35"/>
      <c r="Q9" s="35"/>
      <c r="R9" s="35"/>
    </row>
    <row r="10" spans="1:18" ht="24.95" customHeight="1">
      <c r="A10" s="265"/>
      <c r="B10" s="53" t="s">
        <v>50</v>
      </c>
      <c r="C10" s="53">
        <v>0</v>
      </c>
      <c r="D10" s="54">
        <f t="shared" ref="D10:R10" si="0">SUM(D6:D9)</f>
        <v>70799.744188424433</v>
      </c>
      <c r="E10" s="54">
        <f t="shared" si="0"/>
        <v>298458.82001724688</v>
      </c>
      <c r="F10" s="54">
        <f t="shared" si="0"/>
        <v>342432.2082492013</v>
      </c>
      <c r="G10" s="54">
        <f t="shared" si="0"/>
        <v>351338.84611762175</v>
      </c>
      <c r="H10" s="54">
        <f t="shared" si="0"/>
        <v>360122.31727056223</v>
      </c>
      <c r="I10" s="54">
        <f t="shared" si="0"/>
        <v>369125.37520232616</v>
      </c>
      <c r="J10" s="54">
        <f t="shared" si="0"/>
        <v>378353.50958238443</v>
      </c>
      <c r="K10" s="54">
        <f t="shared" si="0"/>
        <v>387812.34732194396</v>
      </c>
      <c r="L10" s="54">
        <f t="shared" si="0"/>
        <v>397507.65600499249</v>
      </c>
      <c r="M10" s="54">
        <f t="shared" si="0"/>
        <v>407445.3474051173</v>
      </c>
      <c r="N10" s="54">
        <f t="shared" si="0"/>
        <v>417631.4810902453</v>
      </c>
      <c r="O10" s="54">
        <f t="shared" si="0"/>
        <v>428072.2681175014</v>
      </c>
      <c r="P10" s="54">
        <f t="shared" si="0"/>
        <v>438774.07482043892</v>
      </c>
      <c r="Q10" s="54">
        <f t="shared" si="0"/>
        <v>449743.42669094971</v>
      </c>
      <c r="R10" s="54">
        <f t="shared" si="0"/>
        <v>500872.21074580972</v>
      </c>
    </row>
    <row r="11" spans="1:18" ht="24.95" customHeight="1">
      <c r="A11" s="266">
        <v>2</v>
      </c>
      <c r="B11" s="21" t="s">
        <v>53</v>
      </c>
      <c r="C11" s="21"/>
      <c r="D11" s="21"/>
      <c r="E11" s="12"/>
      <c r="F11" s="12"/>
      <c r="G11" s="12"/>
      <c r="H11" s="12"/>
      <c r="I11" s="12"/>
      <c r="J11" s="12"/>
      <c r="K11" s="12"/>
      <c r="L11" s="12"/>
      <c r="M11" s="35"/>
      <c r="N11" s="21"/>
      <c r="O11" s="35"/>
      <c r="P11" s="35"/>
      <c r="Q11" s="35"/>
      <c r="R11" s="35"/>
    </row>
    <row r="12" spans="1:18" ht="24.95" customHeight="1">
      <c r="A12" s="119"/>
      <c r="B12" s="39" t="s">
        <v>57</v>
      </c>
      <c r="C12" s="36">
        <f>'Lãi vay thi công'!D11+'Lãi vay thi công'!E11</f>
        <v>153650</v>
      </c>
      <c r="D12" s="36">
        <v>17859</v>
      </c>
      <c r="E12" s="36"/>
      <c r="F12" s="260">
        <v>0</v>
      </c>
      <c r="G12" s="260">
        <v>0</v>
      </c>
      <c r="H12" s="260">
        <v>0</v>
      </c>
      <c r="I12" s="260">
        <v>0</v>
      </c>
      <c r="J12" s="260">
        <v>0</v>
      </c>
      <c r="K12" s="260">
        <v>0</v>
      </c>
      <c r="L12" s="288">
        <v>0</v>
      </c>
      <c r="M12" s="274">
        <v>0</v>
      </c>
      <c r="N12" s="274">
        <v>0</v>
      </c>
      <c r="O12" s="274">
        <v>0</v>
      </c>
      <c r="P12" s="274">
        <v>0</v>
      </c>
      <c r="Q12" s="274">
        <v>0</v>
      </c>
      <c r="R12" s="36">
        <v>0</v>
      </c>
    </row>
    <row r="13" spans="1:18" ht="24.95" customHeight="1">
      <c r="A13" s="119"/>
      <c r="B13" s="39" t="s">
        <v>609</v>
      </c>
      <c r="C13" s="36"/>
      <c r="D13" s="36"/>
      <c r="E13" s="36"/>
      <c r="F13" s="260"/>
      <c r="G13" s="260"/>
      <c r="H13" s="260"/>
      <c r="I13" s="260"/>
      <c r="J13" s="260"/>
      <c r="K13" s="260"/>
      <c r="L13" s="288"/>
      <c r="M13" s="274"/>
      <c r="N13" s="274">
        <f>'Khấu hao- Bảng 3'!C7</f>
        <v>79770.396775172252</v>
      </c>
      <c r="O13" s="274"/>
      <c r="P13" s="274"/>
      <c r="Q13" s="274"/>
      <c r="R13" s="36"/>
    </row>
    <row r="14" spans="1:18" ht="24.95" customHeight="1">
      <c r="A14" s="119"/>
      <c r="B14" s="39" t="s">
        <v>62</v>
      </c>
      <c r="C14" s="39"/>
      <c r="D14" s="36">
        <f>'KQKD- Bảng 4 '!E26-'KQKD- Bảng 4 '!E42</f>
        <v>78796.605938750945</v>
      </c>
      <c r="E14" s="36">
        <f>'KQKD- Bảng 4 '!F26-'KQKD- Bảng 4 '!F42</f>
        <v>269193.98252238455</v>
      </c>
      <c r="F14" s="36">
        <f>'KQKD- Bảng 4 '!G26-'KQKD- Bảng 4 '!G42</f>
        <v>303464.6938115955</v>
      </c>
      <c r="G14" s="36">
        <f>'KQKD- Bảng 4 '!H26-'KQKD- Bảng 4 '!H42</f>
        <v>311052.34792301041</v>
      </c>
      <c r="H14" s="36">
        <f>'KQKD- Bảng 4 '!I26-'KQKD- Bảng 4 '!I42</f>
        <v>318572.21809602942</v>
      </c>
      <c r="I14" s="36">
        <f>'KQKD- Bảng 4 '!J26-'KQKD- Bảng 4 '!J42</f>
        <v>327091.19337876211</v>
      </c>
      <c r="J14" s="36">
        <f>'KQKD- Bảng 4 '!K26-'KQKD- Bảng 4 '!K42</f>
        <v>335267.79165335611</v>
      </c>
      <c r="K14" s="36">
        <f>'KQKD- Bảng 4 '!L26-'KQKD- Bảng 4 '!L42</f>
        <v>343648.56880294002</v>
      </c>
      <c r="L14" s="36">
        <f>'KQKD- Bảng 4 '!M26-'KQKD- Bảng 4 '!M42</f>
        <v>352241.15697176347</v>
      </c>
      <c r="M14" s="36">
        <f>'KQKD- Bảng 4 '!N26-'KQKD- Bảng 4 '!N42</f>
        <v>361047.18241530756</v>
      </c>
      <c r="N14" s="36">
        <f>'KQKD- Bảng 4 '!O26-'KQKD- Bảng 4 '!O42</f>
        <v>370072.47898781521</v>
      </c>
      <c r="O14" s="36">
        <f>'KQKD- Bảng 4 '!P26-'KQKD- Bảng 4 '!P42</f>
        <v>379323.98456626059</v>
      </c>
      <c r="P14" s="36">
        <f>'KQKD- Bảng 4 '!Q26-'KQKD- Bảng 4 '!Q42</f>
        <v>388808.79105754214</v>
      </c>
      <c r="Q14" s="36">
        <f>'KQKD- Bảng 4 '!R26-'KQKD- Bảng 4 '!R42</f>
        <v>398526.98147073056</v>
      </c>
      <c r="R14" s="36">
        <f>'KQKD- Bảng 4 '!S26-'KQKD- Bảng 4 '!S42</f>
        <v>408490.96210624895</v>
      </c>
    </row>
    <row r="15" spans="1:18" ht="24.95" customHeight="1">
      <c r="A15" s="119"/>
      <c r="B15" s="39" t="s">
        <v>67</v>
      </c>
      <c r="C15" s="39"/>
      <c r="D15" s="36">
        <f>'VLD- Bảng 6'!D11</f>
        <v>-164.27450998163081</v>
      </c>
      <c r="E15" s="36">
        <f>'VLD- Bảng 6'!E11</f>
        <v>-409.1302725591836</v>
      </c>
      <c r="F15" s="36">
        <f>'VLD- Bảng 6'!F11</f>
        <v>-79.983777991592092</v>
      </c>
      <c r="G15" s="36">
        <f>'VLD- Bảng 6'!G11</f>
        <v>-16.336964013309967</v>
      </c>
      <c r="H15" s="36">
        <f>'VLD- Bảng 6'!H11</f>
        <v>-17.309725638908162</v>
      </c>
      <c r="I15" s="36">
        <f>'VLD- Bảng 6'!I11</f>
        <v>-19.51189010820292</v>
      </c>
      <c r="J15" s="36">
        <f>'VLD- Bảng 6'!J11</f>
        <v>-17.661428507320807</v>
      </c>
      <c r="K15" s="36">
        <f>'VLD- Bảng 6'!K11</f>
        <v>-18.10796422000351</v>
      </c>
      <c r="L15" s="36">
        <f>'VLD- Bảng 6'!L11</f>
        <v>-18.555413325503764</v>
      </c>
      <c r="M15" s="36">
        <f>'VLD- Bảng 6'!M11</f>
        <v>-19.024048658641391</v>
      </c>
      <c r="N15" s="36">
        <f>'VLD- Bảng 6'!N11</f>
        <v>-19.49414987510761</v>
      </c>
      <c r="O15" s="36">
        <f>'VLD- Bảng 6'!O11</f>
        <v>-19.986003621985105</v>
      </c>
      <c r="P15" s="36">
        <f>'VLD- Bảng 6'!P11</f>
        <v>-20.479903712534565</v>
      </c>
      <c r="Q15" s="36">
        <f>'VLD- Bảng 6'!Q11</f>
        <v>-20.996151305348008</v>
      </c>
      <c r="R15" s="36">
        <f>'VLD- Bảng 6'!R11</f>
        <v>-21.525055087981741</v>
      </c>
    </row>
    <row r="16" spans="1:18" ht="24.95" customHeight="1">
      <c r="A16" s="119"/>
      <c r="B16" s="39" t="s">
        <v>71</v>
      </c>
      <c r="C16" s="39"/>
      <c r="D16" s="36">
        <f>'VLD- Bảng 6'!D13</f>
        <v>715.14893119620638</v>
      </c>
      <c r="E16" s="36">
        <f>'VLD- Bảng 6'!E13</f>
        <v>2292.3628979558207</v>
      </c>
      <c r="F16" s="36">
        <f>'VLD- Bảng 6'!F13</f>
        <v>421.02045791917772</v>
      </c>
      <c r="G16" s="36">
        <f>'VLD- Bảng 6'!G13</f>
        <v>85.713307176780745</v>
      </c>
      <c r="H16" s="36">
        <f>'VLD- Bảng 6'!H13</f>
        <v>87.856139856198752</v>
      </c>
      <c r="I16" s="36">
        <f>'VLD- Bảng 6'!I13</f>
        <v>90.052543352603152</v>
      </c>
      <c r="J16" s="36">
        <f>'VLD- Bảng 6'!J13</f>
        <v>92.303856936420743</v>
      </c>
      <c r="K16" s="36">
        <f>'VLD- Bảng 6'!K13</f>
        <v>94.611453359829738</v>
      </c>
      <c r="L16" s="36">
        <f>'VLD- Bảng 6'!L13</f>
        <v>96.976739693825493</v>
      </c>
      <c r="M16" s="36">
        <f>'VLD- Bảng 6'!M13</f>
        <v>99.401158186171415</v>
      </c>
      <c r="N16" s="36">
        <f>'VLD- Bảng 6'!N13</f>
        <v>101.88618714082668</v>
      </c>
      <c r="O16" s="36">
        <f>'VLD- Bảng 6'!O13</f>
        <v>104.43334181934551</v>
      </c>
      <c r="P16" s="36">
        <f>'VLD- Bảng 6'!P13</f>
        <v>107.04417536483106</v>
      </c>
      <c r="Q16" s="36">
        <f>'VLD- Bảng 6'!Q13</f>
        <v>109.720279748949</v>
      </c>
      <c r="R16" s="36">
        <f>'VLD- Bảng 6'!R13</f>
        <v>112.46328674267625</v>
      </c>
    </row>
    <row r="17" spans="1:18" ht="24.95" customHeight="1">
      <c r="A17" s="119"/>
      <c r="B17" s="39" t="s">
        <v>73</v>
      </c>
      <c r="C17" s="39"/>
      <c r="D17" s="36">
        <f>'KQKD- Bảng 4 '!E53</f>
        <v>0</v>
      </c>
      <c r="E17" s="36">
        <f>'KQKD- Bảng 4 '!F53</f>
        <v>1092.8563665087802</v>
      </c>
      <c r="F17" s="36">
        <f>'KQKD- Bảng 4 '!G53</f>
        <v>2746.1155034019498</v>
      </c>
      <c r="G17" s="36">
        <f>'KQKD- Bảng 4 '!H53</f>
        <v>3293.9341526889243</v>
      </c>
      <c r="H17" s="36">
        <f>'KQKD- Bảng 4 '!I53</f>
        <v>3928.8440876035256</v>
      </c>
      <c r="I17" s="36">
        <f>'KQKD- Bảng 4 '!J53</f>
        <v>4443.4160268586829</v>
      </c>
      <c r="J17" s="36">
        <f>'KQKD- Bảng 4 '!K53</f>
        <v>5100.3056680162326</v>
      </c>
      <c r="K17" s="36">
        <f>'KQKD- Bảng 4 '!L53</f>
        <v>5799.297282548785</v>
      </c>
      <c r="L17" s="36">
        <f>'KQKD- Bảng 4 '!M53</f>
        <v>6082.6028625131939</v>
      </c>
      <c r="M17" s="36">
        <f>'KQKD- Bảng 4 '!N53</f>
        <v>6309.4209375278097</v>
      </c>
      <c r="N17" s="36">
        <f>'KQKD- Bảng 4 '!O53</f>
        <v>6542.0853658428068</v>
      </c>
      <c r="O17" s="36">
        <f>'KQKD- Bảng 4 '!P53</f>
        <v>6780.4510865406482</v>
      </c>
      <c r="P17" s="36">
        <f>'KQKD- Bảng 4 '!Q53</f>
        <v>7024.3732955809455</v>
      </c>
      <c r="Q17" s="36">
        <f>'KQKD- Bảng 4 '!R53</f>
        <v>7275.1408079222429</v>
      </c>
      <c r="R17" s="36">
        <f>'KQKD- Bảng 4 '!S53</f>
        <v>7531.6104156720921</v>
      </c>
    </row>
    <row r="18" spans="1:18" ht="24.95" customHeight="1">
      <c r="A18" s="265"/>
      <c r="B18" s="53" t="s">
        <v>76</v>
      </c>
      <c r="C18" s="71">
        <f t="shared" ref="C18:R18" si="1">SUM(C12:C17)</f>
        <v>153650</v>
      </c>
      <c r="D18" s="261">
        <f t="shared" si="1"/>
        <v>97206.480359965528</v>
      </c>
      <c r="E18" s="261">
        <f t="shared" si="1"/>
        <v>272170.07151428994</v>
      </c>
      <c r="F18" s="261">
        <f t="shared" si="1"/>
        <v>306551.84599492501</v>
      </c>
      <c r="G18" s="261">
        <f t="shared" si="1"/>
        <v>314415.65841886285</v>
      </c>
      <c r="H18" s="261">
        <f t="shared" si="1"/>
        <v>322571.60859785025</v>
      </c>
      <c r="I18" s="261">
        <f t="shared" si="1"/>
        <v>331605.15005886514</v>
      </c>
      <c r="J18" s="261">
        <f t="shared" si="1"/>
        <v>340442.73974980146</v>
      </c>
      <c r="K18" s="261">
        <f t="shared" si="1"/>
        <v>349524.36957462865</v>
      </c>
      <c r="L18" s="261">
        <f t="shared" si="1"/>
        <v>358402.18116064504</v>
      </c>
      <c r="M18" s="261">
        <f t="shared" si="1"/>
        <v>367436.98046236287</v>
      </c>
      <c r="N18" s="261">
        <f t="shared" si="1"/>
        <v>456467.35316609597</v>
      </c>
      <c r="O18" s="261">
        <f t="shared" si="1"/>
        <v>386188.88299099857</v>
      </c>
      <c r="P18" s="261">
        <f t="shared" si="1"/>
        <v>395919.72862477542</v>
      </c>
      <c r="Q18" s="261">
        <f t="shared" si="1"/>
        <v>405890.84640709643</v>
      </c>
      <c r="R18" s="261">
        <f t="shared" si="1"/>
        <v>416113.51075357571</v>
      </c>
    </row>
    <row r="19" spans="1:18" ht="24.95" customHeight="1">
      <c r="A19" s="266">
        <v>3</v>
      </c>
      <c r="B19" s="21" t="s">
        <v>79</v>
      </c>
      <c r="C19" s="77">
        <f t="shared" ref="C19:R19" si="2">C10-C18</f>
        <v>-153650</v>
      </c>
      <c r="D19" s="77">
        <f t="shared" si="2"/>
        <v>-26406.736171541095</v>
      </c>
      <c r="E19" s="77">
        <f t="shared" si="2"/>
        <v>26288.748502956936</v>
      </c>
      <c r="F19" s="77">
        <f t="shared" si="2"/>
        <v>35880.36225427629</v>
      </c>
      <c r="G19" s="77">
        <f t="shared" si="2"/>
        <v>36923.187698758906</v>
      </c>
      <c r="H19" s="77">
        <f t="shared" si="2"/>
        <v>37550.708672711975</v>
      </c>
      <c r="I19" s="77">
        <f t="shared" si="2"/>
        <v>37520.225143461023</v>
      </c>
      <c r="J19" s="77">
        <f t="shared" si="2"/>
        <v>37910.76983258297</v>
      </c>
      <c r="K19" s="77">
        <f t="shared" si="2"/>
        <v>38287.977747315308</v>
      </c>
      <c r="L19" s="77">
        <f t="shared" si="2"/>
        <v>39105.474844347453</v>
      </c>
      <c r="M19" s="77">
        <f t="shared" si="2"/>
        <v>40008.366942754423</v>
      </c>
      <c r="N19" s="77">
        <f t="shared" si="2"/>
        <v>-38835.872075850668</v>
      </c>
      <c r="O19" s="77">
        <f t="shared" si="2"/>
        <v>41883.385126502835</v>
      </c>
      <c r="P19" s="77">
        <f t="shared" si="2"/>
        <v>42854.3461956635</v>
      </c>
      <c r="Q19" s="77">
        <f t="shared" si="2"/>
        <v>43852.580283853284</v>
      </c>
      <c r="R19" s="77">
        <f t="shared" si="2"/>
        <v>84758.699992234004</v>
      </c>
    </row>
    <row r="20" spans="1:18" ht="24.95" customHeight="1">
      <c r="A20" s="119"/>
      <c r="B20" s="35" t="s">
        <v>299</v>
      </c>
      <c r="C20" s="77">
        <f>NPV('Thong so - Độ nhậy - Bảng 1'!N18,'NPV (Tong dau tu) -Bảng 7'!D19:R19) +C19</f>
        <v>68315.150706149783</v>
      </c>
      <c r="D20" s="260"/>
      <c r="E20" s="260"/>
      <c r="F20" s="260"/>
      <c r="G20" s="260"/>
      <c r="H20" s="260"/>
      <c r="I20" s="260"/>
      <c r="J20" s="260"/>
      <c r="K20" s="260"/>
      <c r="L20" s="260"/>
      <c r="M20" s="36"/>
      <c r="N20" s="36"/>
      <c r="O20" s="35"/>
      <c r="P20" s="35"/>
      <c r="Q20" s="35"/>
      <c r="R20" s="35"/>
    </row>
    <row r="21" spans="1:18" ht="24.95" customHeight="1">
      <c r="A21" s="120"/>
      <c r="B21" s="49" t="s">
        <v>300</v>
      </c>
      <c r="C21" s="83">
        <f>IRR(C19:R19)</f>
        <v>0.14357365231169023</v>
      </c>
      <c r="D21" s="263"/>
      <c r="E21" s="262"/>
      <c r="F21" s="262"/>
      <c r="G21" s="262"/>
      <c r="H21" s="262"/>
      <c r="I21" s="262"/>
      <c r="J21" s="262"/>
      <c r="K21" s="262"/>
      <c r="L21" s="262"/>
      <c r="M21" s="46"/>
      <c r="N21" s="46"/>
      <c r="O21" s="49"/>
      <c r="P21" s="49"/>
      <c r="Q21" s="35"/>
      <c r="R21" s="49"/>
    </row>
    <row r="22" spans="1:18" ht="24.95" customHeight="1">
      <c r="A22" s="267"/>
      <c r="B22" s="3" t="s">
        <v>86</v>
      </c>
      <c r="C22" s="103">
        <f>C19/(1+'Thong so - Độ nhậy - Bảng 1'!$N$18)^C25</f>
        <v>-153650</v>
      </c>
      <c r="D22" s="103">
        <f>D19/(1+'Thong so - Độ nhậy - Bảng 1'!$N$18)^D25</f>
        <v>-22185.696400484154</v>
      </c>
      <c r="E22" s="103">
        <f>E19/(1+'Thong so - Độ nhậy - Bảng 1'!$N$18)^E25</f>
        <v>20244.517032284137</v>
      </c>
      <c r="F22" s="103">
        <f>F19/(1+'Thong so - Độ nhậy - Bảng 1'!$N$18)^F25</f>
        <v>25326.402079448515</v>
      </c>
      <c r="G22" s="103">
        <f>G19/(1+'Thong so - Độ nhậy - Bảng 1'!$N$18)^G25</f>
        <v>23888.838581867712</v>
      </c>
      <c r="H22" s="103">
        <f>H19/(1+'Thong so - Độ nhậy - Bảng 1'!$N$18)^H25</f>
        <v>22268.61234390473</v>
      </c>
      <c r="I22" s="103">
        <f>I19/(1+'Thong so - Độ nhậy - Bảng 1'!$N$18)^I25</f>
        <v>20394.808075803488</v>
      </c>
      <c r="J22" s="103">
        <f>J19/(1+'Thong so - Độ nhậy - Bảng 1'!$N$18)^J25</f>
        <v>18888.434309460095</v>
      </c>
      <c r="K22" s="103">
        <f>K19/(1+'Thong so - Độ nhậy - Bảng 1'!$N$18)^K25</f>
        <v>17485.375169254254</v>
      </c>
      <c r="L22" s="103">
        <f>L19/(1+'Thong so - Độ nhậy - Bảng 1'!$N$18)^L25</f>
        <v>16369.268015565896</v>
      </c>
      <c r="M22" s="103">
        <f>M19/(1+'Thong so - Độ nhậy - Bảng 1'!$N$18)^M25</f>
        <v>15350.470454671005</v>
      </c>
      <c r="N22" s="103">
        <f>N19/(1+'Thong so - Độ nhậy - Bảng 1'!$N$18)^N25</f>
        <v>-13657.873840729651</v>
      </c>
      <c r="O22" s="103">
        <f>O19/(1+'Thong so - Độ nhậy - Bảng 1'!$N$18)^O25</f>
        <v>13501.156757509689</v>
      </c>
      <c r="P22" s="103">
        <f>P19/(1+'Thong so - Độ nhậy - Bảng 1'!$N$18)^P25</f>
        <v>12662.027364693833</v>
      </c>
      <c r="Q22" s="103">
        <f>Q19/(1+'Thong so - Độ nhậy - Bảng 1'!$N$18)^Q25</f>
        <v>11876.34201606257</v>
      </c>
      <c r="R22" s="754">
        <f>R19/(1+'Thong so - Độ nhậy - Bảng 1'!$N$18)^R25</f>
        <v>21040.255058285231</v>
      </c>
    </row>
    <row r="23" spans="1:18" ht="24.95" customHeight="1">
      <c r="A23" s="119"/>
      <c r="B23" s="35" t="s">
        <v>87</v>
      </c>
      <c r="C23" s="77">
        <f>C22</f>
        <v>-153650</v>
      </c>
      <c r="D23" s="36">
        <f>D22+C23</f>
        <v>-175835.69640048416</v>
      </c>
      <c r="E23" s="36">
        <f>E22+D23</f>
        <v>-155591.17936820001</v>
      </c>
      <c r="F23" s="36">
        <f t="shared" ref="F23:O23" si="3">F22+E23</f>
        <v>-130264.7772887515</v>
      </c>
      <c r="G23" s="36">
        <f t="shared" si="3"/>
        <v>-106375.93870688378</v>
      </c>
      <c r="H23" s="36">
        <f t="shared" si="3"/>
        <v>-84107.326362979045</v>
      </c>
      <c r="I23" s="36">
        <f t="shared" si="3"/>
        <v>-63712.518287175553</v>
      </c>
      <c r="J23" s="36">
        <f t="shared" si="3"/>
        <v>-44824.083977715462</v>
      </c>
      <c r="K23" s="36">
        <f t="shared" si="3"/>
        <v>-27338.708808461208</v>
      </c>
      <c r="L23" s="36">
        <f t="shared" si="3"/>
        <v>-10969.440792895311</v>
      </c>
      <c r="M23" s="36">
        <f t="shared" si="3"/>
        <v>4381.029661775694</v>
      </c>
      <c r="N23" s="36">
        <f t="shared" si="3"/>
        <v>-9276.8441789539575</v>
      </c>
      <c r="O23" s="36">
        <f t="shared" si="3"/>
        <v>4224.3125785557313</v>
      </c>
      <c r="P23" s="36">
        <f>P22+O23</f>
        <v>16886.339943249564</v>
      </c>
      <c r="Q23" s="36">
        <f>Q22+P23</f>
        <v>28762.681959312133</v>
      </c>
      <c r="R23" s="36">
        <f>R22+Q23</f>
        <v>49802.93701759736</v>
      </c>
    </row>
    <row r="24" spans="1:18" ht="24.95" customHeight="1">
      <c r="A24" s="120"/>
      <c r="B24" s="49" t="s">
        <v>89</v>
      </c>
      <c r="C24" s="49"/>
      <c r="D24" s="49"/>
      <c r="E24" s="49"/>
      <c r="F24" s="49"/>
      <c r="G24" s="49"/>
      <c r="H24" s="49"/>
      <c r="I24" s="49"/>
      <c r="J24" s="49"/>
      <c r="K24" s="297"/>
      <c r="L24" s="297"/>
      <c r="M24" s="49"/>
      <c r="N24" s="49"/>
      <c r="O24" s="46"/>
      <c r="P24" s="46"/>
      <c r="Q24" s="49"/>
      <c r="R24" s="49"/>
    </row>
    <row r="25" spans="1:18">
      <c r="A25" s="38"/>
      <c r="B25" s="4"/>
      <c r="C25" s="4">
        <v>0</v>
      </c>
      <c r="D25" s="4">
        <v>2</v>
      </c>
      <c r="E25" s="4">
        <v>3</v>
      </c>
      <c r="F25" s="4">
        <v>4</v>
      </c>
      <c r="G25" s="4">
        <v>5</v>
      </c>
      <c r="H25" s="4">
        <v>6</v>
      </c>
      <c r="I25" s="4">
        <v>7</v>
      </c>
      <c r="J25" s="4">
        <v>8</v>
      </c>
      <c r="K25" s="4">
        <v>9</v>
      </c>
      <c r="L25" s="4">
        <v>10</v>
      </c>
      <c r="M25" s="4">
        <v>11</v>
      </c>
      <c r="N25" s="4">
        <v>12</v>
      </c>
      <c r="O25" s="4">
        <v>13</v>
      </c>
      <c r="P25" s="4">
        <v>14</v>
      </c>
      <c r="Q25" s="4">
        <v>15</v>
      </c>
      <c r="R25" s="4">
        <v>16</v>
      </c>
    </row>
    <row r="26" spans="1:18">
      <c r="A26" s="38"/>
      <c r="B26" s="4"/>
      <c r="C26" s="4"/>
      <c r="D26" s="4"/>
      <c r="E26" s="86" t="e">
        <f>#REF!</f>
        <v>#REF!</v>
      </c>
      <c r="F26" s="86" t="e">
        <f>#REF!</f>
        <v>#REF!</v>
      </c>
      <c r="G26" s="86" t="e">
        <f>#REF!</f>
        <v>#REF!</v>
      </c>
      <c r="H26" s="86" t="e">
        <f>#REF!</f>
        <v>#REF!</v>
      </c>
      <c r="I26" s="86" t="e">
        <f>#REF!</f>
        <v>#REF!</v>
      </c>
      <c r="J26" s="86" t="e">
        <f>#REF!</f>
        <v>#REF!</v>
      </c>
      <c r="K26" s="86" t="e">
        <f>#REF!</f>
        <v>#REF!</v>
      </c>
      <c r="L26" s="86" t="e">
        <f>#REF!</f>
        <v>#REF!</v>
      </c>
      <c r="M26" s="86" t="e">
        <f>#REF!</f>
        <v>#REF!</v>
      </c>
      <c r="N26" s="4"/>
    </row>
    <row r="27" spans="1:18">
      <c r="D27" s="102"/>
      <c r="E27" s="102" t="e">
        <f>D19+E19-E26</f>
        <v>#REF!</v>
      </c>
      <c r="F27" s="102" t="e">
        <f t="shared" ref="F27:K27" si="4">E27+F19-F26</f>
        <v>#REF!</v>
      </c>
      <c r="G27" s="102" t="e">
        <f t="shared" si="4"/>
        <v>#REF!</v>
      </c>
      <c r="H27" s="102" t="e">
        <f t="shared" si="4"/>
        <v>#REF!</v>
      </c>
      <c r="I27" s="102" t="e">
        <f t="shared" si="4"/>
        <v>#REF!</v>
      </c>
      <c r="J27" s="102" t="e">
        <f t="shared" si="4"/>
        <v>#REF!</v>
      </c>
      <c r="K27" s="102" t="e">
        <f t="shared" si="4"/>
        <v>#REF!</v>
      </c>
      <c r="L27" s="102">
        <f>0.345*12</f>
        <v>4.1399999999999997</v>
      </c>
      <c r="M27" s="102">
        <f>L27+M19</f>
        <v>40012.506942754422</v>
      </c>
      <c r="N27" s="102">
        <f>M27+N19</f>
        <v>1176.6348669037543</v>
      </c>
    </row>
  </sheetData>
  <mergeCells count="3">
    <mergeCell ref="A3:A4"/>
    <mergeCell ref="B3:B4"/>
    <mergeCell ref="A1:Q2"/>
  </mergeCells>
  <printOptions horizontalCentered="1"/>
  <pageMargins left="0.196850393700787" right="0.196850393700787" top="0.35433070866141703" bottom="0.27559055118110198" header="0.196850393700787" footer="0.196850393700787"/>
  <pageSetup paperSize="9" scale="75" fitToWidth="3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B1:O22"/>
  <sheetViews>
    <sheetView showGridLines="0" zoomScaleSheetLayoutView="100" workbookViewId="0">
      <selection activeCell="B1" sqref="B1:O1"/>
    </sheetView>
  </sheetViews>
  <sheetFormatPr defaultColWidth="11.42578125" defaultRowHeight="12.75"/>
  <cols>
    <col min="1" max="1" width="11.42578125" style="1" customWidth="1"/>
    <col min="2" max="2" width="5.7109375" style="1" customWidth="1"/>
    <col min="3" max="3" width="21.7109375" style="1" customWidth="1"/>
    <col min="4" max="4" width="13.140625" style="1" customWidth="1"/>
    <col min="5" max="5" width="9" style="1" customWidth="1"/>
    <col min="6" max="6" width="11.140625" style="1" customWidth="1"/>
    <col min="7" max="7" width="10.85546875" style="1" customWidth="1"/>
    <col min="8" max="9" width="10.7109375" style="1" customWidth="1"/>
    <col min="10" max="10" width="10.85546875" style="1" customWidth="1"/>
    <col min="11" max="12" width="10.28515625" style="1" customWidth="1"/>
    <col min="13" max="13" width="11.140625" style="1" customWidth="1"/>
    <col min="14" max="14" width="10" style="1" customWidth="1"/>
    <col min="15" max="15" width="9.85546875" style="1" customWidth="1"/>
    <col min="16" max="16384" width="11.42578125" style="1"/>
  </cols>
  <sheetData>
    <row r="1" spans="2:15" ht="15.75">
      <c r="B1" s="846" t="s">
        <v>122</v>
      </c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</row>
    <row r="2" spans="2:15">
      <c r="F2" s="2"/>
      <c r="G2" s="2"/>
      <c r="H2" s="2"/>
      <c r="I2" s="2"/>
      <c r="J2" s="2"/>
      <c r="K2" s="2"/>
      <c r="L2" s="2"/>
      <c r="M2" s="2"/>
    </row>
    <row r="3" spans="2:15" ht="15.75" customHeight="1">
      <c r="B3" s="6" t="s">
        <v>6</v>
      </c>
      <c r="C3" s="88" t="s">
        <v>7</v>
      </c>
      <c r="D3" s="816" t="s">
        <v>8</v>
      </c>
      <c r="E3" s="816"/>
      <c r="F3" s="816" t="s">
        <v>9</v>
      </c>
      <c r="G3" s="816"/>
      <c r="H3" s="816"/>
      <c r="I3" s="816"/>
      <c r="J3" s="816"/>
      <c r="K3" s="816"/>
      <c r="L3" s="816"/>
      <c r="M3" s="816"/>
      <c r="N3" s="816"/>
      <c r="O3" s="816"/>
    </row>
    <row r="4" spans="2:15" ht="18.75" customHeight="1">
      <c r="B4" s="6"/>
      <c r="C4" s="91"/>
      <c r="D4" s="269">
        <v>0</v>
      </c>
      <c r="E4" s="269">
        <v>1</v>
      </c>
      <c r="F4" s="270">
        <v>1</v>
      </c>
      <c r="G4" s="270">
        <v>2</v>
      </c>
      <c r="H4" s="270">
        <v>3</v>
      </c>
      <c r="I4" s="270">
        <v>4</v>
      </c>
      <c r="J4" s="270">
        <v>5</v>
      </c>
      <c r="K4" s="270">
        <v>6</v>
      </c>
      <c r="L4" s="270">
        <v>7</v>
      </c>
      <c r="M4" s="270">
        <v>8</v>
      </c>
      <c r="N4" s="271">
        <v>9</v>
      </c>
      <c r="O4" s="271">
        <v>10</v>
      </c>
    </row>
    <row r="5" spans="2:15" ht="15" customHeight="1">
      <c r="B5" s="25">
        <v>1</v>
      </c>
      <c r="C5" s="25" t="s">
        <v>22</v>
      </c>
      <c r="D5" s="25"/>
      <c r="E5" s="25"/>
      <c r="F5" s="92"/>
      <c r="G5" s="92"/>
      <c r="H5" s="92"/>
      <c r="I5" s="92"/>
      <c r="J5" s="92"/>
      <c r="K5" s="92"/>
      <c r="L5" s="92"/>
      <c r="M5" s="92"/>
      <c r="N5" s="3"/>
      <c r="O5" s="25"/>
    </row>
    <row r="6" spans="2:15" ht="15.75" customHeight="1">
      <c r="B6" s="35"/>
      <c r="C6" s="39" t="s">
        <v>29</v>
      </c>
      <c r="D6" s="39"/>
      <c r="E6" s="39"/>
      <c r="F6" s="12">
        <f>'NPV (Tong dau tu) -Bảng 7'!E6</f>
        <v>300751.18291520269</v>
      </c>
      <c r="G6" s="12">
        <f>'NPV (Tong dau tu) -Bảng 7'!F6</f>
        <v>342853.22870712046</v>
      </c>
      <c r="H6" s="12">
        <f>'NPV (Tong dau tu) -Bảng 7'!G6</f>
        <v>351424.55942479853</v>
      </c>
      <c r="I6" s="12">
        <f>'NPV (Tong dau tu) -Bảng 7'!H6</f>
        <v>360210.17341041844</v>
      </c>
      <c r="J6" s="12">
        <f>'NPV (Tong dau tu) -Bảng 7'!I6</f>
        <v>369215.42774567875</v>
      </c>
      <c r="K6" s="12">
        <f>'NPV (Tong dau tu) -Bảng 7'!J6</f>
        <v>378445.81343932083</v>
      </c>
      <c r="L6" s="12">
        <f>'NPV (Tong dau tu) -Bảng 7'!K6</f>
        <v>387906.95877530379</v>
      </c>
      <c r="M6" s="12">
        <f>'NPV (Tong dau tu) -Bảng 7'!L6</f>
        <v>397604.63274468633</v>
      </c>
      <c r="N6" s="12">
        <f>'NPV (Tong dau tu) -Bảng 7'!M6</f>
        <v>407544.7485633035</v>
      </c>
      <c r="O6" s="12">
        <f>'NPV (Tong dau tu) -Bảng 7'!N6</f>
        <v>417733.36727738613</v>
      </c>
    </row>
    <row r="7" spans="2:15" ht="15.75" customHeight="1">
      <c r="B7" s="35"/>
      <c r="C7" s="39" t="s">
        <v>35</v>
      </c>
      <c r="D7" s="39"/>
      <c r="E7" s="39"/>
      <c r="F7" s="12">
        <f>'NPV (Tong dau tu) -Bảng 7'!E7</f>
        <v>-2292.3628979558207</v>
      </c>
      <c r="G7" s="12">
        <f>'NPV (Tong dau tu) -Bảng 7'!F7</f>
        <v>-421.02045791917772</v>
      </c>
      <c r="H7" s="12">
        <f>'NPV (Tong dau tu) -Bảng 7'!G7</f>
        <v>-85.713307176780745</v>
      </c>
      <c r="I7" s="12">
        <f>'NPV (Tong dau tu) -Bảng 7'!H7</f>
        <v>-87.856139856198752</v>
      </c>
      <c r="J7" s="12">
        <f>'NPV (Tong dau tu) -Bảng 7'!I7</f>
        <v>-90.052543352603152</v>
      </c>
      <c r="K7" s="12">
        <f>'NPV (Tong dau tu) -Bảng 7'!J7</f>
        <v>-92.303856936420743</v>
      </c>
      <c r="L7" s="12">
        <f>'NPV (Tong dau tu) -Bảng 7'!K7</f>
        <v>-94.611453359829738</v>
      </c>
      <c r="M7" s="12">
        <f>'NPV (Tong dau tu) -Bảng 7'!L7</f>
        <v>-96.976739693825493</v>
      </c>
      <c r="N7" s="12">
        <f>'NPV (Tong dau tu) -Bảng 7'!M7</f>
        <v>-99.401158186171415</v>
      </c>
      <c r="O7" s="12">
        <f>'NPV (Tong dau tu) -Bảng 7'!N7</f>
        <v>-101.88618714082668</v>
      </c>
    </row>
    <row r="8" spans="2:15">
      <c r="B8" s="35"/>
      <c r="C8" s="39" t="s">
        <v>40</v>
      </c>
      <c r="D8" s="39"/>
      <c r="E8" s="39"/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</row>
    <row r="9" spans="2:15">
      <c r="B9" s="35"/>
      <c r="C9" s="39" t="s">
        <v>102</v>
      </c>
      <c r="D9" s="36"/>
      <c r="E9" s="36">
        <v>114000</v>
      </c>
      <c r="F9" s="12"/>
      <c r="G9" s="12"/>
      <c r="H9" s="12"/>
      <c r="I9" s="12"/>
      <c r="J9" s="12"/>
      <c r="K9" s="12"/>
      <c r="L9" s="12"/>
      <c r="M9" s="12"/>
      <c r="N9" s="35"/>
      <c r="O9" s="35"/>
    </row>
    <row r="10" spans="2:15">
      <c r="B10" s="35"/>
      <c r="C10" s="35" t="s">
        <v>44</v>
      </c>
      <c r="D10" s="35"/>
      <c r="E10" s="35"/>
      <c r="F10" s="12">
        <f>'NPV (Tong dau tu) -Bảng 7'!E9</f>
        <v>0</v>
      </c>
      <c r="G10" s="12">
        <f>'NPV (Tong dau tu) -Bảng 7'!F9</f>
        <v>0</v>
      </c>
      <c r="H10" s="12">
        <f>'NPV (Tong dau tu) -Bảng 7'!G9</f>
        <v>0</v>
      </c>
      <c r="I10" s="12">
        <f>'NPV (Tong dau tu) -Bảng 7'!H9</f>
        <v>0</v>
      </c>
      <c r="J10" s="12">
        <f>'NPV (Tong dau tu) -Bảng 7'!I9</f>
        <v>0</v>
      </c>
      <c r="K10" s="12">
        <f>'NPV (Tong dau tu) -Bảng 7'!J9</f>
        <v>0</v>
      </c>
      <c r="L10" s="12">
        <f>'NPV (Tong dau tu) -Bảng 7'!K9</f>
        <v>0</v>
      </c>
      <c r="M10" s="12"/>
      <c r="N10" s="35"/>
      <c r="O10" s="35"/>
    </row>
    <row r="11" spans="2:15" ht="13.5">
      <c r="B11" s="53"/>
      <c r="C11" s="53" t="s">
        <v>50</v>
      </c>
      <c r="D11" s="105">
        <f t="shared" ref="D11:O11" si="0">SUM(D6:D10)</f>
        <v>0</v>
      </c>
      <c r="E11" s="105">
        <f t="shared" si="0"/>
        <v>114000</v>
      </c>
      <c r="F11" s="105">
        <f t="shared" si="0"/>
        <v>298458.82001724688</v>
      </c>
      <c r="G11" s="105">
        <f t="shared" si="0"/>
        <v>342432.2082492013</v>
      </c>
      <c r="H11" s="105">
        <f t="shared" si="0"/>
        <v>351338.84611762175</v>
      </c>
      <c r="I11" s="105">
        <f t="shared" si="0"/>
        <v>360122.31727056223</v>
      </c>
      <c r="J11" s="105">
        <f t="shared" si="0"/>
        <v>369125.37520232616</v>
      </c>
      <c r="K11" s="105">
        <f t="shared" si="0"/>
        <v>378353.50958238443</v>
      </c>
      <c r="L11" s="105">
        <f t="shared" si="0"/>
        <v>387812.34732194396</v>
      </c>
      <c r="M11" s="105">
        <f t="shared" si="0"/>
        <v>397507.65600499249</v>
      </c>
      <c r="N11" s="105">
        <f t="shared" si="0"/>
        <v>407445.3474051173</v>
      </c>
      <c r="O11" s="105">
        <f t="shared" si="0"/>
        <v>417631.4810902453</v>
      </c>
    </row>
    <row r="12" spans="2:15">
      <c r="B12" s="21">
        <v>2</v>
      </c>
      <c r="C12" s="21" t="s">
        <v>53</v>
      </c>
      <c r="D12" s="21"/>
      <c r="E12" s="21"/>
      <c r="F12" s="12"/>
      <c r="G12" s="12"/>
      <c r="H12" s="12"/>
      <c r="I12" s="12"/>
      <c r="J12" s="12"/>
      <c r="K12" s="12"/>
      <c r="L12" s="12"/>
      <c r="M12" s="12"/>
      <c r="N12" s="35"/>
      <c r="O12" s="21"/>
    </row>
    <row r="13" spans="2:15">
      <c r="B13" s="35"/>
      <c r="C13" s="39" t="s">
        <v>57</v>
      </c>
      <c r="D13" s="97" t="e">
        <f>'NPV (Tong dau tu) -Bảng 7'!#REF!</f>
        <v>#REF!</v>
      </c>
      <c r="E13" s="97">
        <f>'NPV (Tong dau tu) -Bảng 7'!D12</f>
        <v>17859</v>
      </c>
      <c r="F13" s="12"/>
      <c r="G13" s="12"/>
      <c r="H13" s="12"/>
      <c r="I13" s="12"/>
      <c r="J13" s="12"/>
      <c r="K13" s="12"/>
      <c r="L13" s="12"/>
      <c r="M13" s="12"/>
      <c r="N13" s="35"/>
      <c r="O13" s="35"/>
    </row>
    <row r="14" spans="2:15" ht="25.5" customHeight="1">
      <c r="B14" s="35"/>
      <c r="C14" s="39" t="s">
        <v>62</v>
      </c>
      <c r="D14" s="39"/>
      <c r="E14" s="39"/>
      <c r="F14" s="12">
        <f>'NPV (Tong dau tu) -Bảng 7'!E14</f>
        <v>269193.98252238455</v>
      </c>
      <c r="G14" s="12">
        <f>'NPV (Tong dau tu) -Bảng 7'!F14</f>
        <v>303464.6938115955</v>
      </c>
      <c r="H14" s="12">
        <f>'NPV (Tong dau tu) -Bảng 7'!G14</f>
        <v>311052.34792301041</v>
      </c>
      <c r="I14" s="12">
        <f>'NPV (Tong dau tu) -Bảng 7'!H14</f>
        <v>318572.21809602942</v>
      </c>
      <c r="J14" s="12">
        <f>'NPV (Tong dau tu) -Bảng 7'!I14</f>
        <v>327091.19337876211</v>
      </c>
      <c r="K14" s="12">
        <f>'NPV (Tong dau tu) -Bảng 7'!J14</f>
        <v>335267.79165335611</v>
      </c>
      <c r="L14" s="12">
        <f>'NPV (Tong dau tu) -Bảng 7'!K14</f>
        <v>343648.56880294002</v>
      </c>
      <c r="M14" s="12">
        <f>'NPV (Tong dau tu) -Bảng 7'!L14</f>
        <v>352241.15697176347</v>
      </c>
      <c r="N14" s="12">
        <f>'NPV (Tong dau tu) -Bảng 7'!M14</f>
        <v>361047.18241530756</v>
      </c>
      <c r="O14" s="12">
        <f>'NPV (Tong dau tu) -Bảng 7'!N14</f>
        <v>370072.47898781521</v>
      </c>
    </row>
    <row r="15" spans="2:15">
      <c r="B15" s="35"/>
      <c r="C15" s="39" t="s">
        <v>67</v>
      </c>
      <c r="D15" s="39"/>
      <c r="E15" s="39"/>
      <c r="F15" s="12">
        <f>'NPV (Tong dau tu) -Bảng 7'!E15</f>
        <v>-409.1302725591836</v>
      </c>
      <c r="G15" s="12">
        <f>'NPV (Tong dau tu) -Bảng 7'!F15</f>
        <v>-79.983777991592092</v>
      </c>
      <c r="H15" s="12">
        <f>'NPV (Tong dau tu) -Bảng 7'!G15</f>
        <v>-16.336964013309967</v>
      </c>
      <c r="I15" s="12">
        <f>'NPV (Tong dau tu) -Bảng 7'!H15</f>
        <v>-17.309725638908162</v>
      </c>
      <c r="J15" s="12">
        <f>'NPV (Tong dau tu) -Bảng 7'!I15</f>
        <v>-19.51189010820292</v>
      </c>
      <c r="K15" s="12">
        <f>'NPV (Tong dau tu) -Bảng 7'!J15</f>
        <v>-17.661428507320807</v>
      </c>
      <c r="L15" s="12">
        <f>'NPV (Tong dau tu) -Bảng 7'!K15</f>
        <v>-18.10796422000351</v>
      </c>
      <c r="M15" s="12">
        <f>'NPV (Tong dau tu) -Bảng 7'!L15</f>
        <v>-18.555413325503764</v>
      </c>
      <c r="N15" s="12">
        <f>'NPV (Tong dau tu) -Bảng 7'!M15</f>
        <v>-19.024048658641391</v>
      </c>
      <c r="O15" s="12">
        <f>'NPV (Tong dau tu) -Bảng 7'!N15</f>
        <v>-19.49414987510761</v>
      </c>
    </row>
    <row r="16" spans="2:15" ht="12.75" customHeight="1">
      <c r="B16" s="35"/>
      <c r="C16" s="39" t="s">
        <v>71</v>
      </c>
      <c r="D16" s="39"/>
      <c r="E16" s="39"/>
      <c r="F16" s="12">
        <f>'NPV (Tong dau tu) -Bảng 7'!E16</f>
        <v>2292.3628979558207</v>
      </c>
      <c r="G16" s="12">
        <f>'NPV (Tong dau tu) -Bảng 7'!F16</f>
        <v>421.02045791917772</v>
      </c>
      <c r="H16" s="12">
        <f>'NPV (Tong dau tu) -Bảng 7'!G16</f>
        <v>85.713307176780745</v>
      </c>
      <c r="I16" s="12">
        <f>'NPV (Tong dau tu) -Bảng 7'!H16</f>
        <v>87.856139856198752</v>
      </c>
      <c r="J16" s="12">
        <f>'NPV (Tong dau tu) -Bảng 7'!I16</f>
        <v>90.052543352603152</v>
      </c>
      <c r="K16" s="12">
        <f>'NPV (Tong dau tu) -Bảng 7'!J16</f>
        <v>92.303856936420743</v>
      </c>
      <c r="L16" s="12">
        <f>'NPV (Tong dau tu) -Bảng 7'!K16</f>
        <v>94.611453359829738</v>
      </c>
      <c r="M16" s="12">
        <f>'NPV (Tong dau tu) -Bảng 7'!L16</f>
        <v>96.976739693825493</v>
      </c>
      <c r="N16" s="12">
        <f>'NPV (Tong dau tu) -Bảng 7'!M16</f>
        <v>99.401158186171415</v>
      </c>
      <c r="O16" s="12">
        <f>'NPV (Tong dau tu) -Bảng 7'!N16</f>
        <v>101.88618714082668</v>
      </c>
    </row>
    <row r="17" spans="2:15">
      <c r="B17" s="35"/>
      <c r="C17" s="39" t="s">
        <v>73</v>
      </c>
      <c r="D17" s="39"/>
      <c r="E17" s="39"/>
      <c r="F17" s="12">
        <f>'NPV (Tong dau tu) -Bảng 7'!E17</f>
        <v>1092.8563665087802</v>
      </c>
      <c r="G17" s="12">
        <f>'NPV (Tong dau tu) -Bảng 7'!F17</f>
        <v>2746.1155034019498</v>
      </c>
      <c r="H17" s="12">
        <f>'NPV (Tong dau tu) -Bảng 7'!G17</f>
        <v>3293.9341526889243</v>
      </c>
      <c r="I17" s="12">
        <f>'NPV (Tong dau tu) -Bảng 7'!H17</f>
        <v>3928.8440876035256</v>
      </c>
      <c r="J17" s="12">
        <f>'NPV (Tong dau tu) -Bảng 7'!I17</f>
        <v>4443.4160268586829</v>
      </c>
      <c r="K17" s="12">
        <f>'NPV (Tong dau tu) -Bảng 7'!J17</f>
        <v>5100.3056680162326</v>
      </c>
      <c r="L17" s="12">
        <f>'NPV (Tong dau tu) -Bảng 7'!K17</f>
        <v>5799.297282548785</v>
      </c>
      <c r="M17" s="12">
        <f>'NPV (Tong dau tu) -Bảng 7'!L17</f>
        <v>6082.6028625131939</v>
      </c>
      <c r="N17" s="12">
        <f>'NPV (Tong dau tu) -Bảng 7'!M17</f>
        <v>6309.4209375278097</v>
      </c>
      <c r="O17" s="12">
        <f>'NPV (Tong dau tu) -Bảng 7'!N17</f>
        <v>6542.0853658428068</v>
      </c>
    </row>
    <row r="18" spans="2:15">
      <c r="B18" s="35"/>
      <c r="C18" s="39" t="s">
        <v>103</v>
      </c>
      <c r="D18" s="39"/>
      <c r="E18" s="39"/>
      <c r="F18" s="12">
        <f>'KH trả nợ-Bảng 5'!C15</f>
        <v>0</v>
      </c>
      <c r="G18" s="12">
        <f>'KH trả nợ-Bảng 5'!D15</f>
        <v>12925.040818416554</v>
      </c>
      <c r="H18" s="12">
        <f>'KH trả nợ-Bảng 5'!E15</f>
        <v>17554.166401717426</v>
      </c>
      <c r="I18" s="12">
        <f>'KH trả nợ-Bảng 5'!F15</f>
        <v>19088.058619720956</v>
      </c>
      <c r="J18" s="12">
        <f>'KH trả nợ-Bảng 5'!G15</f>
        <v>20865.806437481839</v>
      </c>
      <c r="K18" s="12">
        <f>'KH trả nợ-Bảng 5'!H15</f>
        <v>22306.60786739628</v>
      </c>
      <c r="L18" s="12">
        <f>'KH trả nợ-Bảng 5'!I15</f>
        <v>24145.898862637419</v>
      </c>
      <c r="M18" s="12">
        <f>'KH trả nợ-Bảng 5'!J15</f>
        <v>3114</v>
      </c>
      <c r="N18" s="12">
        <f>'KH trả nợ-Bảng 5'!K15</f>
        <v>0</v>
      </c>
      <c r="O18" s="12">
        <f>'KH trả nợ-Bảng 5'!L14</f>
        <v>0</v>
      </c>
    </row>
    <row r="19" spans="2:15" ht="13.5">
      <c r="B19" s="53"/>
      <c r="C19" s="53" t="s">
        <v>76</v>
      </c>
      <c r="D19" s="106" t="e">
        <f t="shared" ref="D19:O19" si="1">SUM(D13:D18)</f>
        <v>#REF!</v>
      </c>
      <c r="E19" s="106">
        <f t="shared" si="1"/>
        <v>17859</v>
      </c>
      <c r="F19" s="106">
        <f t="shared" si="1"/>
        <v>272170.07151428994</v>
      </c>
      <c r="G19" s="106">
        <f t="shared" si="1"/>
        <v>319476.88681334158</v>
      </c>
      <c r="H19" s="106">
        <f t="shared" si="1"/>
        <v>331969.82482058025</v>
      </c>
      <c r="I19" s="106">
        <f t="shared" si="1"/>
        <v>341659.66721757123</v>
      </c>
      <c r="J19" s="106">
        <f t="shared" si="1"/>
        <v>352470.95649634697</v>
      </c>
      <c r="K19" s="106">
        <f t="shared" si="1"/>
        <v>362749.34761719772</v>
      </c>
      <c r="L19" s="106">
        <f t="shared" si="1"/>
        <v>373670.26843726606</v>
      </c>
      <c r="M19" s="106">
        <f t="shared" si="1"/>
        <v>361516.18116064504</v>
      </c>
      <c r="N19" s="106">
        <f t="shared" si="1"/>
        <v>367436.98046236287</v>
      </c>
      <c r="O19" s="106">
        <f t="shared" si="1"/>
        <v>376696.9563909237</v>
      </c>
    </row>
    <row r="20" spans="2:15">
      <c r="B20" s="21">
        <v>3</v>
      </c>
      <c r="C20" s="21" t="s">
        <v>79</v>
      </c>
      <c r="D20" s="77" t="e">
        <f t="shared" ref="D20:O20" si="2">D11-D19</f>
        <v>#REF!</v>
      </c>
      <c r="E20" s="77">
        <f t="shared" si="2"/>
        <v>96141</v>
      </c>
      <c r="F20" s="77">
        <f t="shared" si="2"/>
        <v>26288.748502956936</v>
      </c>
      <c r="G20" s="77">
        <f t="shared" si="2"/>
        <v>22955.321435859718</v>
      </c>
      <c r="H20" s="77">
        <f t="shared" si="2"/>
        <v>19369.021297041501</v>
      </c>
      <c r="I20" s="77">
        <f t="shared" si="2"/>
        <v>18462.650052990997</v>
      </c>
      <c r="J20" s="77">
        <f t="shared" si="2"/>
        <v>16654.418705979188</v>
      </c>
      <c r="K20" s="77">
        <f t="shared" si="2"/>
        <v>15604.161965186708</v>
      </c>
      <c r="L20" s="77">
        <f t="shared" si="2"/>
        <v>14142.078884677903</v>
      </c>
      <c r="M20" s="77">
        <f t="shared" si="2"/>
        <v>35991.474844347453</v>
      </c>
      <c r="N20" s="77">
        <f t="shared" si="2"/>
        <v>40008.366942754423</v>
      </c>
      <c r="O20" s="77">
        <f t="shared" si="2"/>
        <v>40934.524699321599</v>
      </c>
    </row>
    <row r="21" spans="2:15" ht="15.75" customHeight="1">
      <c r="B21" s="35"/>
      <c r="C21" s="35" t="s">
        <v>104</v>
      </c>
      <c r="D21" s="35"/>
      <c r="E21" s="12" t="e">
        <f>NPV('Thong so - Độ nhậy - Bảng 1'!N14,E20:O20)+D20</f>
        <v>#REF!</v>
      </c>
      <c r="F21" s="12"/>
      <c r="G21" s="12"/>
      <c r="H21" s="12"/>
      <c r="I21" s="12"/>
      <c r="J21" s="12"/>
      <c r="K21" s="12"/>
      <c r="L21" s="12"/>
      <c r="M21" s="12"/>
      <c r="N21" s="35"/>
      <c r="O21" s="35"/>
    </row>
    <row r="22" spans="2:15" ht="15.75" customHeight="1">
      <c r="B22" s="49"/>
      <c r="C22" s="49" t="s">
        <v>105</v>
      </c>
      <c r="D22" s="49"/>
      <c r="E22" s="83" t="e">
        <f>IRR(D20:O20)</f>
        <v>#VALUE!</v>
      </c>
      <c r="F22" s="84"/>
      <c r="G22" s="84"/>
      <c r="H22" s="84"/>
      <c r="I22" s="84"/>
      <c r="J22" s="84"/>
      <c r="K22" s="84"/>
      <c r="L22" s="84"/>
      <c r="M22" s="84"/>
      <c r="N22" s="49"/>
      <c r="O22" s="49"/>
    </row>
  </sheetData>
  <mergeCells count="3">
    <mergeCell ref="D3:E3"/>
    <mergeCell ref="F3:O3"/>
    <mergeCell ref="B1:O1"/>
  </mergeCells>
  <printOptions horizontalCentered="1"/>
  <pageMargins left="0.196850393700787" right="0.196850393700787" top="0.35433070866141703" bottom="0.27559055118110198" header="0.196850393700787" footer="0.196850393700787"/>
  <pageSetup paperSize="9" scale="9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6"/>
  <sheetViews>
    <sheetView topLeftCell="A7" workbookViewId="0">
      <selection activeCell="I4" sqref="I4"/>
    </sheetView>
  </sheetViews>
  <sheetFormatPr defaultRowHeight="12.75"/>
  <cols>
    <col min="1" max="1" width="6.5703125" customWidth="1"/>
    <col min="2" max="2" width="49.28515625" customWidth="1"/>
    <col min="3" max="3" width="17.42578125" customWidth="1"/>
    <col min="4" max="4" width="10.85546875" customWidth="1"/>
    <col min="5" max="5" width="14.28515625" customWidth="1"/>
    <col min="6" max="6" width="14.140625" customWidth="1"/>
    <col min="7" max="7" width="15.5703125" customWidth="1"/>
    <col min="12" max="12" width="17.5703125" customWidth="1"/>
  </cols>
  <sheetData>
    <row r="1" spans="1:12" ht="18.75">
      <c r="A1" s="847" t="s">
        <v>328</v>
      </c>
      <c r="B1" s="847"/>
      <c r="C1" s="847"/>
      <c r="D1" s="847"/>
      <c r="E1" s="847"/>
      <c r="F1" s="847"/>
      <c r="G1" s="847"/>
    </row>
    <row r="2" spans="1:12" ht="18.75">
      <c r="A2" s="847" t="s">
        <v>130</v>
      </c>
      <c r="B2" s="847"/>
      <c r="C2" s="847"/>
      <c r="D2" s="847"/>
      <c r="E2" s="847"/>
      <c r="F2" s="847"/>
      <c r="G2" s="847"/>
    </row>
    <row r="3" spans="1:12" ht="18.75">
      <c r="A3" s="217"/>
      <c r="B3" s="218"/>
      <c r="C3" s="217"/>
      <c r="D3" s="217"/>
      <c r="E3" s="218"/>
      <c r="F3" s="219"/>
      <c r="G3" s="220"/>
    </row>
    <row r="4" spans="1:12" ht="33">
      <c r="A4" s="301" t="s">
        <v>3</v>
      </c>
      <c r="B4" s="301" t="s">
        <v>132</v>
      </c>
      <c r="C4" s="301" t="s">
        <v>177</v>
      </c>
      <c r="D4" s="301" t="s">
        <v>238</v>
      </c>
      <c r="E4" s="301" t="s">
        <v>178</v>
      </c>
      <c r="F4" s="301" t="s">
        <v>239</v>
      </c>
      <c r="G4" s="302" t="s">
        <v>240</v>
      </c>
      <c r="J4">
        <v>384</v>
      </c>
      <c r="K4">
        <f>J4*30%</f>
        <v>115.19999999999999</v>
      </c>
    </row>
    <row r="5" spans="1:12" ht="16.5">
      <c r="A5" s="303">
        <v>1</v>
      </c>
      <c r="B5" s="304" t="s">
        <v>241</v>
      </c>
      <c r="C5" s="303"/>
      <c r="D5" s="303"/>
      <c r="E5" s="305"/>
      <c r="F5" s="306"/>
      <c r="G5" s="306">
        <f>'[1]Quy luong'!H18</f>
        <v>5768378.1818181816</v>
      </c>
      <c r="K5">
        <f>K4*360</f>
        <v>41471.999999999993</v>
      </c>
    </row>
    <row r="6" spans="1:12" ht="16.5">
      <c r="A6" s="303">
        <v>2</v>
      </c>
      <c r="B6" s="304" t="s">
        <v>242</v>
      </c>
      <c r="C6" s="303" t="s">
        <v>243</v>
      </c>
      <c r="D6" s="303">
        <v>2</v>
      </c>
      <c r="E6" s="305">
        <v>550</v>
      </c>
      <c r="F6" s="306">
        <v>500</v>
      </c>
      <c r="G6" s="306">
        <f t="shared" ref="G6:G13" si="0">D6*E6*F6</f>
        <v>550000</v>
      </c>
      <c r="K6">
        <f>K5/6400</f>
        <v>6.4799999999999986</v>
      </c>
    </row>
    <row r="7" spans="1:12" ht="16.5">
      <c r="A7" s="303">
        <v>3</v>
      </c>
      <c r="B7" s="304" t="s">
        <v>244</v>
      </c>
      <c r="C7" s="303" t="s">
        <v>243</v>
      </c>
      <c r="D7" s="303">
        <v>4</v>
      </c>
      <c r="E7" s="305">
        <f>E6</f>
        <v>550</v>
      </c>
      <c r="F7" s="306">
        <v>22</v>
      </c>
      <c r="G7" s="306">
        <f t="shared" si="0"/>
        <v>48400</v>
      </c>
    </row>
    <row r="8" spans="1:12" ht="24" customHeight="1">
      <c r="A8" s="303">
        <v>4</v>
      </c>
      <c r="B8" s="304" t="s">
        <v>245</v>
      </c>
      <c r="C8" s="303" t="s">
        <v>246</v>
      </c>
      <c r="D8" s="307">
        <v>1</v>
      </c>
      <c r="E8" s="305">
        <v>12</v>
      </c>
      <c r="F8" s="306">
        <v>50000</v>
      </c>
      <c r="G8" s="306">
        <f t="shared" si="0"/>
        <v>600000</v>
      </c>
    </row>
    <row r="9" spans="1:12" ht="66" customHeight="1">
      <c r="A9" s="303">
        <v>5</v>
      </c>
      <c r="B9" s="304" t="s">
        <v>247</v>
      </c>
      <c r="C9" s="303" t="s">
        <v>246</v>
      </c>
      <c r="D9" s="307">
        <v>1</v>
      </c>
      <c r="E9" s="305">
        <v>12</v>
      </c>
      <c r="F9" s="306">
        <v>1200000</v>
      </c>
      <c r="G9" s="306">
        <f t="shared" si="0"/>
        <v>14400000</v>
      </c>
    </row>
    <row r="10" spans="1:12" ht="16.5">
      <c r="A10" s="303">
        <v>6</v>
      </c>
      <c r="B10" s="304" t="s">
        <v>248</v>
      </c>
      <c r="C10" s="303" t="s">
        <v>249</v>
      </c>
      <c r="D10" s="307">
        <v>600</v>
      </c>
      <c r="E10" s="305">
        <v>12</v>
      </c>
      <c r="F10" s="306">
        <v>10</v>
      </c>
      <c r="G10" s="306">
        <f t="shared" si="0"/>
        <v>72000</v>
      </c>
    </row>
    <row r="11" spans="1:12" ht="33">
      <c r="A11" s="303">
        <v>7</v>
      </c>
      <c r="B11" s="304" t="s">
        <v>250</v>
      </c>
      <c r="C11" s="303" t="s">
        <v>246</v>
      </c>
      <c r="D11" s="308">
        <v>1</v>
      </c>
      <c r="E11" s="309">
        <v>12</v>
      </c>
      <c r="F11" s="310">
        <v>3000000</v>
      </c>
      <c r="G11" s="306">
        <f t="shared" si="0"/>
        <v>36000000</v>
      </c>
    </row>
    <row r="12" spans="1:12" ht="16.5">
      <c r="A12" s="303">
        <v>8</v>
      </c>
      <c r="B12" s="304" t="s">
        <v>251</v>
      </c>
      <c r="C12" s="303" t="s">
        <v>252</v>
      </c>
      <c r="D12" s="308">
        <v>1</v>
      </c>
      <c r="E12" s="306">
        <v>160000</v>
      </c>
      <c r="F12" s="311">
        <v>0.5</v>
      </c>
      <c r="G12" s="306">
        <f t="shared" si="0"/>
        <v>80000</v>
      </c>
      <c r="I12">
        <f>J12*65%</f>
        <v>41756</v>
      </c>
      <c r="J12">
        <v>64240</v>
      </c>
      <c r="K12">
        <v>10000000</v>
      </c>
      <c r="L12" s="228">
        <f>I12*K12</f>
        <v>417560000000</v>
      </c>
    </row>
    <row r="13" spans="1:12" ht="16.5">
      <c r="A13" s="303">
        <v>9</v>
      </c>
      <c r="B13" s="304" t="s">
        <v>253</v>
      </c>
      <c r="C13" s="303" t="s">
        <v>252</v>
      </c>
      <c r="D13" s="308">
        <v>10000</v>
      </c>
      <c r="E13" s="309">
        <v>12</v>
      </c>
      <c r="F13" s="312">
        <v>0.32</v>
      </c>
      <c r="G13" s="306">
        <f t="shared" si="0"/>
        <v>38400</v>
      </c>
      <c r="K13">
        <v>6000000</v>
      </c>
      <c r="L13" s="228">
        <f>I12*K13</f>
        <v>250536000000</v>
      </c>
    </row>
    <row r="14" spans="1:12" ht="19.5" customHeight="1">
      <c r="A14" s="303">
        <v>10</v>
      </c>
      <c r="B14" s="304" t="s">
        <v>254</v>
      </c>
      <c r="C14" s="303" t="s">
        <v>255</v>
      </c>
      <c r="D14" s="307"/>
      <c r="E14" s="305">
        <v>12</v>
      </c>
      <c r="F14" s="306"/>
      <c r="G14" s="306">
        <f>('[1]khau hao'!E13+'[1]khau hao'!E18+'[1]khau hao'!G18+'[1]khau hao'!E25)*1%</f>
        <v>28615445.787450001</v>
      </c>
      <c r="L14" s="300">
        <f>L12-L13</f>
        <v>167024000000</v>
      </c>
    </row>
    <row r="15" spans="1:12" ht="16.5">
      <c r="A15" s="303">
        <v>11</v>
      </c>
      <c r="B15" s="304" t="s">
        <v>256</v>
      </c>
      <c r="C15" s="303"/>
      <c r="D15" s="307"/>
      <c r="E15" s="305"/>
      <c r="F15" s="306"/>
      <c r="G15" s="306"/>
    </row>
    <row r="16" spans="1:12" ht="16.5">
      <c r="A16" s="303"/>
      <c r="B16" s="301" t="s">
        <v>152</v>
      </c>
      <c r="C16" s="303"/>
      <c r="D16" s="303"/>
      <c r="E16" s="303"/>
      <c r="F16" s="303"/>
      <c r="G16" s="313">
        <f>SUM(G5:G15)</f>
        <v>86172623.969268173</v>
      </c>
    </row>
  </sheetData>
  <mergeCells count="2">
    <mergeCell ref="A1:G1"/>
    <mergeCell ref="A2:G2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selection sqref="A1:D17"/>
    </sheetView>
  </sheetViews>
  <sheetFormatPr defaultRowHeight="12.75"/>
  <cols>
    <col min="1" max="1" width="7.7109375" customWidth="1"/>
    <col min="2" max="2" width="44" customWidth="1"/>
    <col min="3" max="3" width="37" customWidth="1"/>
    <col min="4" max="4" width="28.5703125" customWidth="1"/>
  </cols>
  <sheetData>
    <row r="1" spans="1:4" ht="18.75">
      <c r="A1" s="140" t="s">
        <v>329</v>
      </c>
      <c r="B1" s="141"/>
      <c r="C1" s="141"/>
      <c r="D1" s="142"/>
    </row>
    <row r="2" spans="1:4" ht="18.75">
      <c r="A2" s="143" t="s">
        <v>130</v>
      </c>
      <c r="B2" s="141"/>
      <c r="C2" s="141"/>
      <c r="D2" s="142"/>
    </row>
    <row r="3" spans="1:4" ht="18.75">
      <c r="A3" s="144"/>
      <c r="B3" s="145"/>
      <c r="C3" s="146" t="s">
        <v>131</v>
      </c>
      <c r="D3" s="146"/>
    </row>
    <row r="4" spans="1:4" ht="18.75">
      <c r="A4" s="147" t="s">
        <v>3</v>
      </c>
      <c r="B4" s="147" t="s">
        <v>132</v>
      </c>
      <c r="C4" s="147" t="s">
        <v>133</v>
      </c>
      <c r="D4" s="148" t="s">
        <v>134</v>
      </c>
    </row>
    <row r="5" spans="1:4" ht="18.75">
      <c r="A5" s="151">
        <v>1</v>
      </c>
      <c r="B5" s="152" t="s">
        <v>135</v>
      </c>
      <c r="C5" s="151"/>
      <c r="D5" s="153">
        <f>'[1]Quy luong'!H17+'[1]Quy luong'!H18+'[1]Quy luong'!H19</f>
        <v>28841890.909090906</v>
      </c>
    </row>
    <row r="6" spans="1:4" ht="18.75">
      <c r="A6" s="151">
        <v>2</v>
      </c>
      <c r="B6" s="152" t="s">
        <v>136</v>
      </c>
      <c r="C6" s="151" t="s">
        <v>137</v>
      </c>
      <c r="D6" s="153">
        <f>50000000*12/1000</f>
        <v>600000</v>
      </c>
    </row>
    <row r="7" spans="1:4" ht="18.75">
      <c r="A7" s="151">
        <v>3</v>
      </c>
      <c r="B7" s="152" t="s">
        <v>138</v>
      </c>
      <c r="C7" s="151" t="s">
        <v>139</v>
      </c>
      <c r="D7" s="153">
        <f>10000000*12/1000</f>
        <v>120000</v>
      </c>
    </row>
    <row r="8" spans="1:4" ht="18.75">
      <c r="A8" s="151">
        <v>4</v>
      </c>
      <c r="B8" s="152" t="s">
        <v>140</v>
      </c>
      <c r="C8" s="151" t="s">
        <v>137</v>
      </c>
      <c r="D8" s="153">
        <f>50000000*12/1000</f>
        <v>600000</v>
      </c>
    </row>
    <row r="9" spans="1:4" ht="18.75">
      <c r="A9" s="151">
        <v>5</v>
      </c>
      <c r="B9" s="152" t="s">
        <v>141</v>
      </c>
      <c r="C9" s="151" t="s">
        <v>142</v>
      </c>
      <c r="D9" s="153">
        <f>7000000*12/1000</f>
        <v>84000</v>
      </c>
    </row>
    <row r="10" spans="1:4" ht="18.75">
      <c r="A10" s="151">
        <v>6</v>
      </c>
      <c r="B10" s="152" t="s">
        <v>143</v>
      </c>
      <c r="C10" s="151"/>
      <c r="D10" s="153">
        <v>2000000</v>
      </c>
    </row>
    <row r="11" spans="1:4" ht="18.75">
      <c r="A11" s="151">
        <v>9</v>
      </c>
      <c r="B11" s="152" t="s">
        <v>144</v>
      </c>
      <c r="C11" s="151" t="s">
        <v>145</v>
      </c>
      <c r="D11" s="153">
        <f>20000000*12/1000</f>
        <v>240000</v>
      </c>
    </row>
    <row r="12" spans="1:4" ht="18.75">
      <c r="A12" s="151">
        <v>10</v>
      </c>
      <c r="B12" s="152" t="s">
        <v>146</v>
      </c>
      <c r="C12" s="151" t="s">
        <v>147</v>
      </c>
      <c r="D12" s="153">
        <f>('[1]khau hao'!E18+'[1]khau hao'!G18)*0.25%</f>
        <v>4244223.28</v>
      </c>
    </row>
    <row r="13" spans="1:4" ht="37.5">
      <c r="A13" s="151">
        <v>11</v>
      </c>
      <c r="B13" s="152" t="s">
        <v>148</v>
      </c>
      <c r="C13" s="151"/>
      <c r="D13" s="153">
        <v>2000000</v>
      </c>
    </row>
    <row r="14" spans="1:4" ht="18.75">
      <c r="A14" s="151">
        <v>12</v>
      </c>
      <c r="B14" s="152" t="s">
        <v>149</v>
      </c>
      <c r="C14" s="151"/>
      <c r="D14" s="153">
        <v>1500000</v>
      </c>
    </row>
    <row r="15" spans="1:4" ht="18.75">
      <c r="A15" s="151">
        <v>13</v>
      </c>
      <c r="B15" s="152" t="s">
        <v>150</v>
      </c>
      <c r="C15" s="151"/>
      <c r="D15" s="153">
        <v>500000</v>
      </c>
    </row>
    <row r="16" spans="1:4" ht="18.75">
      <c r="A16" s="151">
        <v>14</v>
      </c>
      <c r="B16" s="152" t="s">
        <v>151</v>
      </c>
      <c r="C16" s="151"/>
      <c r="D16" s="153">
        <v>2000000</v>
      </c>
    </row>
    <row r="17" spans="1:4" ht="18.75">
      <c r="A17" s="149"/>
      <c r="B17" s="147" t="s">
        <v>152</v>
      </c>
      <c r="C17" s="149"/>
      <c r="D17" s="150">
        <f>SUM(D5:D16)</f>
        <v>42730114.189090908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3"/>
  <sheetViews>
    <sheetView workbookViewId="0">
      <selection activeCell="A19" sqref="A19:D23"/>
    </sheetView>
  </sheetViews>
  <sheetFormatPr defaultRowHeight="12.75"/>
  <cols>
    <col min="2" max="2" width="30.42578125" customWidth="1"/>
    <col min="3" max="3" width="20.7109375" customWidth="1"/>
    <col min="4" max="4" width="31" customWidth="1"/>
    <col min="5" max="5" width="20.7109375" customWidth="1"/>
    <col min="6" max="6" width="15.140625" customWidth="1"/>
  </cols>
  <sheetData>
    <row r="1" spans="1:6" ht="18.75">
      <c r="A1" s="848" t="s">
        <v>330</v>
      </c>
      <c r="B1" s="848"/>
      <c r="C1" s="848"/>
      <c r="D1" s="848"/>
      <c r="E1" s="848"/>
      <c r="F1" s="848"/>
    </row>
    <row r="2" spans="1:6" ht="19.5">
      <c r="A2" s="154"/>
      <c r="B2" s="154"/>
      <c r="C2" s="154"/>
      <c r="D2" s="155"/>
      <c r="E2" s="849" t="s">
        <v>153</v>
      </c>
      <c r="F2" s="849"/>
    </row>
    <row r="3" spans="1:6" ht="18.75">
      <c r="A3" s="156" t="s">
        <v>154</v>
      </c>
      <c r="B3" s="156" t="s">
        <v>155</v>
      </c>
      <c r="C3" s="156"/>
      <c r="D3" s="156" t="s">
        <v>133</v>
      </c>
      <c r="E3" s="156" t="s">
        <v>156</v>
      </c>
      <c r="F3" s="156" t="s">
        <v>157</v>
      </c>
    </row>
    <row r="4" spans="1:6" ht="37.5">
      <c r="A4" s="161">
        <v>1</v>
      </c>
      <c r="B4" s="162" t="s">
        <v>158</v>
      </c>
      <c r="C4" s="162"/>
      <c r="D4" s="157"/>
      <c r="E4" s="160">
        <f>SUM(E5:E7)</f>
        <v>91800000</v>
      </c>
      <c r="F4" s="160"/>
    </row>
    <row r="5" spans="1:6" ht="37.5">
      <c r="A5" s="161" t="s">
        <v>159</v>
      </c>
      <c r="B5" s="162" t="s">
        <v>160</v>
      </c>
      <c r="C5" s="162"/>
      <c r="D5" s="163" t="s">
        <v>161</v>
      </c>
      <c r="E5" s="160">
        <f>1000*'[1]gia ban'!G25*0.1</f>
        <v>36720000</v>
      </c>
      <c r="F5" s="160"/>
    </row>
    <row r="6" spans="1:6" ht="37.5">
      <c r="A6" s="161" t="s">
        <v>162</v>
      </c>
      <c r="B6" s="162" t="s">
        <v>335</v>
      </c>
      <c r="C6" s="162"/>
      <c r="D6" s="163" t="s">
        <v>163</v>
      </c>
      <c r="E6" s="160">
        <f>600*'[1]gia ban'!G25*0.1</f>
        <v>22032000</v>
      </c>
      <c r="F6" s="160"/>
    </row>
    <row r="7" spans="1:6" ht="37.5">
      <c r="A7" s="161" t="s">
        <v>164</v>
      </c>
      <c r="B7" s="162" t="s">
        <v>336</v>
      </c>
      <c r="C7" s="162"/>
      <c r="D7" s="163" t="s">
        <v>165</v>
      </c>
      <c r="E7" s="160">
        <f>150*'[1]gia ban'!G25*0.6</f>
        <v>33048000</v>
      </c>
      <c r="F7" s="160"/>
    </row>
    <row r="8" spans="1:6" ht="22.5" customHeight="1">
      <c r="A8" s="161">
        <v>2</v>
      </c>
      <c r="B8" s="162" t="s">
        <v>166</v>
      </c>
      <c r="C8" s="162"/>
      <c r="D8" s="163" t="s">
        <v>163</v>
      </c>
      <c r="E8" s="160">
        <f>600*'[1]gia ban'!G25*0.2</f>
        <v>44064000</v>
      </c>
      <c r="F8" s="160"/>
    </row>
    <row r="9" spans="1:6" ht="18.75">
      <c r="A9" s="161">
        <v>3</v>
      </c>
      <c r="B9" s="162" t="s">
        <v>167</v>
      </c>
      <c r="C9" s="162"/>
      <c r="D9" s="157" t="s">
        <v>168</v>
      </c>
      <c r="E9" s="160">
        <f>0.5/100*'[1]Quy luong'!$F$5</f>
        <v>14938637.152926316</v>
      </c>
      <c r="F9" s="160"/>
    </row>
    <row r="10" spans="1:6" ht="18.75">
      <c r="A10" s="161">
        <v>4</v>
      </c>
      <c r="B10" s="162" t="s">
        <v>169</v>
      </c>
      <c r="C10" s="162"/>
      <c r="D10" s="157" t="s">
        <v>170</v>
      </c>
      <c r="E10" s="160">
        <f>1/100*'[1]Quy luong'!$F$5</f>
        <v>29877274.305852633</v>
      </c>
      <c r="F10" s="160"/>
    </row>
    <row r="11" spans="1:6" ht="18.75">
      <c r="A11" s="161">
        <v>5</v>
      </c>
      <c r="B11" s="162" t="s">
        <v>171</v>
      </c>
      <c r="C11" s="162"/>
      <c r="D11" s="157" t="s">
        <v>172</v>
      </c>
      <c r="E11" s="160">
        <f>2/100*'[1]Quy luong'!$F$5</f>
        <v>59754548.611705266</v>
      </c>
      <c r="F11" s="160"/>
    </row>
    <row r="12" spans="1:6" ht="18.75">
      <c r="A12" s="161">
        <v>6</v>
      </c>
      <c r="B12" s="164" t="s">
        <v>173</v>
      </c>
      <c r="C12" s="164"/>
      <c r="D12" s="157"/>
      <c r="E12" s="160">
        <v>500000</v>
      </c>
      <c r="F12" s="160"/>
    </row>
    <row r="13" spans="1:6" ht="18.75">
      <c r="A13" s="161">
        <v>7</v>
      </c>
      <c r="B13" s="164" t="s">
        <v>174</v>
      </c>
      <c r="C13" s="164"/>
      <c r="D13" s="157"/>
      <c r="E13" s="160">
        <v>300000</v>
      </c>
      <c r="F13" s="160"/>
    </row>
    <row r="14" spans="1:6" ht="18.75">
      <c r="A14" s="161">
        <v>8</v>
      </c>
      <c r="B14" s="164" t="s">
        <v>175</v>
      </c>
      <c r="C14" s="164"/>
      <c r="D14" s="157"/>
      <c r="E14" s="160">
        <v>2000000</v>
      </c>
      <c r="F14" s="160"/>
    </row>
    <row r="15" spans="1:6" ht="18.75">
      <c r="A15" s="157"/>
      <c r="B15" s="158" t="s">
        <v>176</v>
      </c>
      <c r="C15" s="158"/>
      <c r="D15" s="157"/>
      <c r="E15" s="159">
        <f>SUM(E5:E14)</f>
        <v>243234460.07048422</v>
      </c>
      <c r="F15" s="160"/>
    </row>
    <row r="18" spans="1:4">
      <c r="A18" s="332"/>
      <c r="B18" s="332"/>
      <c r="C18" s="332"/>
      <c r="D18" s="332"/>
    </row>
    <row r="19" spans="1:4" ht="20.100000000000001" customHeight="1">
      <c r="A19" s="277" t="s">
        <v>6</v>
      </c>
      <c r="B19" s="283" t="s">
        <v>337</v>
      </c>
      <c r="C19" s="283" t="s">
        <v>344</v>
      </c>
      <c r="D19" s="283" t="s">
        <v>343</v>
      </c>
    </row>
    <row r="20" spans="1:4" ht="20.100000000000001" customHeight="1">
      <c r="A20" s="278">
        <v>1</v>
      </c>
      <c r="B20" s="279" t="s">
        <v>338</v>
      </c>
      <c r="C20" s="333">
        <v>0.1</v>
      </c>
      <c r="D20" s="334" t="s">
        <v>341</v>
      </c>
    </row>
    <row r="21" spans="1:4" ht="20.100000000000001" customHeight="1">
      <c r="A21" s="278">
        <v>2</v>
      </c>
      <c r="B21" s="279" t="s">
        <v>339</v>
      </c>
      <c r="C21" s="333">
        <v>0.1</v>
      </c>
      <c r="D21" s="334" t="s">
        <v>163</v>
      </c>
    </row>
    <row r="22" spans="1:4" ht="20.100000000000001" customHeight="1">
      <c r="A22" s="278">
        <v>3</v>
      </c>
      <c r="B22" s="279" t="s">
        <v>340</v>
      </c>
      <c r="C22" s="333">
        <v>0.6</v>
      </c>
      <c r="D22" s="334" t="s">
        <v>342</v>
      </c>
    </row>
    <row r="23" spans="1:4" ht="15.75">
      <c r="A23" s="335">
        <v>4</v>
      </c>
      <c r="B23" s="336" t="s">
        <v>345</v>
      </c>
      <c r="C23" s="253">
        <v>0.2</v>
      </c>
      <c r="D23" s="226"/>
    </row>
  </sheetData>
  <mergeCells count="2">
    <mergeCell ref="A1:F1"/>
    <mergeCell ref="E2:F2"/>
  </mergeCells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sqref="A1:H18"/>
    </sheetView>
  </sheetViews>
  <sheetFormatPr defaultRowHeight="12.75"/>
  <cols>
    <col min="2" max="2" width="49.85546875" customWidth="1"/>
    <col min="3" max="3" width="8.28515625" customWidth="1"/>
    <col min="4" max="4" width="13.140625" customWidth="1"/>
    <col min="5" max="5" width="10.7109375" customWidth="1"/>
    <col min="6" max="6" width="16.7109375" customWidth="1"/>
    <col min="7" max="7" width="13.42578125" customWidth="1"/>
    <col min="8" max="8" width="14.85546875" customWidth="1"/>
    <col min="9" max="9" width="11.140625" bestFit="1" customWidth="1"/>
  </cols>
  <sheetData>
    <row r="1" spans="1:9" ht="18.75">
      <c r="A1" s="850" t="s">
        <v>331</v>
      </c>
      <c r="B1" s="850"/>
      <c r="C1" s="850"/>
      <c r="D1" s="850"/>
      <c r="E1" s="850"/>
      <c r="F1" s="850"/>
      <c r="G1" s="850"/>
      <c r="H1" s="850"/>
    </row>
    <row r="2" spans="1:9" ht="44.25" customHeight="1">
      <c r="A2" s="165" t="s">
        <v>3</v>
      </c>
      <c r="B2" s="165" t="s">
        <v>123</v>
      </c>
      <c r="C2" s="165" t="s">
        <v>177</v>
      </c>
      <c r="D2" s="166" t="s">
        <v>178</v>
      </c>
      <c r="E2" s="167" t="s">
        <v>179</v>
      </c>
      <c r="F2" s="167" t="s">
        <v>180</v>
      </c>
      <c r="G2" s="167" t="s">
        <v>181</v>
      </c>
      <c r="H2" s="167" t="s">
        <v>182</v>
      </c>
    </row>
    <row r="3" spans="1:9" ht="16.5">
      <c r="A3" s="168" t="s">
        <v>15</v>
      </c>
      <c r="B3" s="169" t="s">
        <v>183</v>
      </c>
      <c r="C3" s="170"/>
      <c r="D3" s="171"/>
      <c r="E3" s="171"/>
      <c r="F3" s="171"/>
      <c r="G3" s="171"/>
      <c r="H3" s="171"/>
    </row>
    <row r="4" spans="1:9" ht="16.5">
      <c r="A4" s="172"/>
      <c r="B4" s="173" t="s">
        <v>184</v>
      </c>
      <c r="C4" s="172" t="s">
        <v>185</v>
      </c>
      <c r="D4" s="174">
        <f>'[1]gia ban'!G25</f>
        <v>367200</v>
      </c>
      <c r="E4" s="174">
        <f>'[1]Doanh thu'!$B$10</f>
        <v>8136.5126105263162</v>
      </c>
      <c r="F4" s="174">
        <f>E4*D4</f>
        <v>2987727430.5852633</v>
      </c>
      <c r="G4" s="174">
        <v>400</v>
      </c>
      <c r="H4" s="175">
        <f>D4*G4</f>
        <v>146880000</v>
      </c>
      <c r="I4" s="250">
        <f>H4+'Bảng 10 -CP Quản lý'!D17</f>
        <v>189610114.18909091</v>
      </c>
    </row>
    <row r="5" spans="1:9" ht="16.5">
      <c r="A5" s="177" t="s">
        <v>74</v>
      </c>
      <c r="B5" s="176" t="s">
        <v>186</v>
      </c>
      <c r="C5" s="173"/>
      <c r="D5" s="174"/>
      <c r="E5" s="174"/>
      <c r="F5" s="174"/>
      <c r="G5" s="174"/>
      <c r="H5" s="174"/>
    </row>
    <row r="6" spans="1:9" ht="16.5">
      <c r="A6" s="172"/>
      <c r="B6" s="173" t="s">
        <v>168</v>
      </c>
      <c r="C6" s="173"/>
      <c r="D6" s="174"/>
      <c r="E6" s="174"/>
      <c r="F6" s="174"/>
      <c r="G6" s="174"/>
      <c r="H6" s="174">
        <f>F4*0.5%</f>
        <v>14938637.152926316</v>
      </c>
    </row>
    <row r="7" spans="1:9" ht="16.5">
      <c r="A7" s="177" t="s">
        <v>42</v>
      </c>
      <c r="B7" s="176" t="s">
        <v>187</v>
      </c>
      <c r="C7" s="173"/>
      <c r="D7" s="174"/>
      <c r="E7" s="174"/>
      <c r="F7" s="174"/>
      <c r="G7" s="174"/>
      <c r="H7" s="178">
        <f>H4*0.08</f>
        <v>11750400</v>
      </c>
    </row>
    <row r="8" spans="1:9" ht="16.5">
      <c r="A8" s="172"/>
      <c r="B8" s="173" t="s">
        <v>188</v>
      </c>
      <c r="C8" s="173"/>
      <c r="D8" s="174"/>
      <c r="E8" s="174"/>
      <c r="F8" s="174"/>
      <c r="G8" s="174"/>
      <c r="H8" s="174"/>
    </row>
    <row r="9" spans="1:9" ht="16.5">
      <c r="A9" s="172"/>
      <c r="B9" s="179" t="s">
        <v>189</v>
      </c>
      <c r="C9" s="179"/>
      <c r="D9" s="180"/>
      <c r="E9" s="180"/>
      <c r="F9" s="180"/>
      <c r="G9" s="180"/>
      <c r="H9" s="181">
        <f>696*1.8*22*850/24</f>
        <v>976140</v>
      </c>
    </row>
    <row r="10" spans="1:9" ht="16.5">
      <c r="A10" s="172"/>
      <c r="B10" s="182" t="s">
        <v>190</v>
      </c>
      <c r="C10" s="174"/>
      <c r="D10" s="174"/>
      <c r="E10" s="174"/>
      <c r="F10" s="174"/>
      <c r="G10" s="174"/>
      <c r="H10" s="174"/>
    </row>
    <row r="11" spans="1:9" ht="16.5">
      <c r="A11" s="172"/>
      <c r="B11" s="173" t="s">
        <v>191</v>
      </c>
      <c r="C11" s="173"/>
      <c r="D11" s="174"/>
      <c r="E11" s="174"/>
      <c r="F11" s="174"/>
      <c r="G11" s="174"/>
      <c r="H11" s="181">
        <f>H7+H6+H4</f>
        <v>173569037.15292633</v>
      </c>
    </row>
    <row r="12" spans="1:9" ht="16.5">
      <c r="A12" s="173"/>
      <c r="B12" s="182" t="s">
        <v>192</v>
      </c>
      <c r="C12" s="173"/>
      <c r="D12" s="174"/>
      <c r="E12" s="174"/>
      <c r="F12" s="174"/>
      <c r="G12" s="174"/>
      <c r="H12" s="174"/>
    </row>
    <row r="13" spans="1:9" ht="16.5">
      <c r="A13" s="172">
        <v>1</v>
      </c>
      <c r="B13" s="173" t="s">
        <v>193</v>
      </c>
      <c r="C13" s="173"/>
      <c r="D13" s="174"/>
      <c r="E13" s="174"/>
      <c r="F13" s="174"/>
      <c r="G13" s="174"/>
      <c r="H13" s="174">
        <f>(H$11-H$6)*I13/550</f>
        <v>0</v>
      </c>
    </row>
    <row r="14" spans="1:9" ht="16.5">
      <c r="A14" s="172">
        <v>2</v>
      </c>
      <c r="B14" s="173" t="s">
        <v>194</v>
      </c>
      <c r="C14" s="173"/>
      <c r="D14" s="174"/>
      <c r="E14" s="174"/>
      <c r="F14" s="174"/>
      <c r="G14" s="174"/>
      <c r="H14" s="174">
        <f>(H$11-H$6)*I14/550</f>
        <v>0</v>
      </c>
    </row>
    <row r="15" spans="1:9" ht="16.5">
      <c r="A15" s="172">
        <v>3</v>
      </c>
      <c r="B15" s="173" t="s">
        <v>195</v>
      </c>
      <c r="C15" s="173"/>
      <c r="D15" s="174"/>
      <c r="E15" s="174"/>
      <c r="F15" s="174"/>
      <c r="G15" s="174"/>
      <c r="H15" s="174">
        <f>(H$11-H$6)*I15/550</f>
        <v>0</v>
      </c>
    </row>
    <row r="16" spans="1:9" ht="16.5">
      <c r="A16" s="172">
        <v>4</v>
      </c>
      <c r="B16" s="173" t="s">
        <v>196</v>
      </c>
      <c r="C16" s="173"/>
      <c r="D16" s="174"/>
      <c r="E16" s="174"/>
      <c r="F16" s="174"/>
      <c r="G16" s="174"/>
      <c r="H16" s="174">
        <f>H6</f>
        <v>14938637.152926316</v>
      </c>
    </row>
    <row r="17" spans="1:8" ht="16.5">
      <c r="A17" s="172">
        <v>5</v>
      </c>
      <c r="B17" s="173" t="s">
        <v>197</v>
      </c>
      <c r="C17" s="173"/>
      <c r="D17" s="174"/>
      <c r="E17" s="174"/>
      <c r="F17" s="174"/>
      <c r="G17" s="174"/>
      <c r="H17" s="174">
        <f>(H$11-H$6)*I17/550</f>
        <v>0</v>
      </c>
    </row>
    <row r="18" spans="1:8" ht="17.25">
      <c r="A18" s="183"/>
      <c r="B18" s="184" t="s">
        <v>198</v>
      </c>
      <c r="C18" s="185"/>
      <c r="D18" s="186"/>
      <c r="E18" s="186"/>
      <c r="F18" s="186"/>
      <c r="G18" s="187"/>
      <c r="H18" s="188">
        <f>SUM(H13:H17)</f>
        <v>14938637.152926316</v>
      </c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29"/>
  <sheetViews>
    <sheetView workbookViewId="0">
      <selection activeCell="H34" sqref="H34"/>
    </sheetView>
  </sheetViews>
  <sheetFormatPr defaultRowHeight="12.75"/>
  <cols>
    <col min="2" max="2" width="36.42578125" customWidth="1"/>
    <col min="3" max="3" width="12" customWidth="1"/>
    <col min="4" max="4" width="12.42578125" customWidth="1"/>
    <col min="5" max="5" width="15.140625" customWidth="1"/>
    <col min="6" max="6" width="15.7109375" customWidth="1"/>
    <col min="7" max="7" width="20.5703125" customWidth="1"/>
  </cols>
  <sheetData>
    <row r="1" spans="1:7" ht="16.5">
      <c r="A1" s="851" t="s">
        <v>332</v>
      </c>
      <c r="B1" s="851"/>
      <c r="C1" s="851"/>
      <c r="D1" s="851"/>
      <c r="E1" s="851"/>
      <c r="F1" s="851"/>
      <c r="G1" s="851"/>
    </row>
    <row r="2" spans="1:7" ht="16.5">
      <c r="A2" s="851" t="s">
        <v>199</v>
      </c>
      <c r="B2" s="851"/>
      <c r="C2" s="851"/>
      <c r="D2" s="851"/>
      <c r="E2" s="851"/>
      <c r="F2" s="851"/>
      <c r="G2" s="851"/>
    </row>
    <row r="3" spans="1:7" ht="33">
      <c r="A3" s="314" t="s">
        <v>6</v>
      </c>
      <c r="B3" s="314" t="s">
        <v>132</v>
      </c>
      <c r="C3" s="314" t="s">
        <v>117</v>
      </c>
      <c r="D3" s="315" t="s">
        <v>200</v>
      </c>
      <c r="E3" s="315" t="s">
        <v>201</v>
      </c>
      <c r="F3" s="315" t="s">
        <v>202</v>
      </c>
      <c r="G3" s="315" t="s">
        <v>203</v>
      </c>
    </row>
    <row r="4" spans="1:7" ht="16.5">
      <c r="A4" s="189" t="s">
        <v>18</v>
      </c>
      <c r="B4" s="190" t="s">
        <v>204</v>
      </c>
      <c r="C4" s="189"/>
      <c r="D4" s="191"/>
      <c r="E4" s="192"/>
      <c r="F4" s="191">
        <f>F5+F12+F16+F19+F20+F21+F22</f>
        <v>3536.021845238095</v>
      </c>
      <c r="G4" s="191">
        <f>F4*'[1]gia ban'!$G$25*0.7/85*100</f>
        <v>1069293005.9999999</v>
      </c>
    </row>
    <row r="5" spans="1:7" ht="17.25">
      <c r="A5" s="193">
        <v>1</v>
      </c>
      <c r="B5" s="194" t="s">
        <v>205</v>
      </c>
      <c r="C5" s="193"/>
      <c r="D5" s="195"/>
      <c r="E5" s="196"/>
      <c r="F5" s="197">
        <f>SUM(F6:F11)</f>
        <v>538.2446666666666</v>
      </c>
      <c r="G5" s="191">
        <f>F5*'[1]gia ban'!$G$25*0.7/85*100</f>
        <v>162765187.19999999</v>
      </c>
    </row>
    <row r="6" spans="1:7" ht="16.5">
      <c r="A6" s="198" t="s">
        <v>159</v>
      </c>
      <c r="B6" s="199" t="s">
        <v>206</v>
      </c>
      <c r="C6" s="198" t="s">
        <v>185</v>
      </c>
      <c r="D6" s="200">
        <v>420</v>
      </c>
      <c r="E6" s="316">
        <v>0.57299999999999995</v>
      </c>
      <c r="F6" s="202">
        <f t="shared" ref="F6:F11" si="0">E6*D6</f>
        <v>240.65999999999997</v>
      </c>
      <c r="G6" s="317">
        <f>F6*'[1]gia ban'!$G$25*0.7/85*100</f>
        <v>72775583.999999985</v>
      </c>
    </row>
    <row r="7" spans="1:7" ht="16.5">
      <c r="A7" s="198" t="s">
        <v>162</v>
      </c>
      <c r="B7" s="199" t="s">
        <v>207</v>
      </c>
      <c r="C7" s="198" t="s">
        <v>185</v>
      </c>
      <c r="D7" s="200">
        <v>608</v>
      </c>
      <c r="E7" s="316">
        <v>3.5999999999999997E-2</v>
      </c>
      <c r="F7" s="202">
        <f t="shared" si="0"/>
        <v>21.887999999999998</v>
      </c>
      <c r="G7" s="317">
        <f>F7*'[1]gia ban'!$G$25*0.7/85*100</f>
        <v>6618931.1999999993</v>
      </c>
    </row>
    <row r="8" spans="1:7" ht="16.5">
      <c r="A8" s="198" t="s">
        <v>164</v>
      </c>
      <c r="B8" s="199" t="s">
        <v>208</v>
      </c>
      <c r="C8" s="198" t="s">
        <v>185</v>
      </c>
      <c r="D8" s="200">
        <v>360</v>
      </c>
      <c r="E8" s="316">
        <v>0.14499999999999999</v>
      </c>
      <c r="F8" s="202">
        <f t="shared" si="0"/>
        <v>52.199999999999996</v>
      </c>
      <c r="G8" s="317">
        <f>F8*'[1]gia ban'!$G$25*0.7/85*100</f>
        <v>15785279.999999998</v>
      </c>
    </row>
    <row r="9" spans="1:7" ht="16.5">
      <c r="A9" s="198" t="s">
        <v>209</v>
      </c>
      <c r="B9" s="199" t="s">
        <v>210</v>
      </c>
      <c r="C9" s="198" t="s">
        <v>185</v>
      </c>
      <c r="D9" s="200">
        <v>340</v>
      </c>
      <c r="E9" s="316">
        <v>4.2000000000000003E-2</v>
      </c>
      <c r="F9" s="202">
        <f t="shared" si="0"/>
        <v>14.280000000000001</v>
      </c>
      <c r="G9" s="317">
        <f>F9*'[1]gia ban'!$G$25*0.7/85*100</f>
        <v>4318271.9999999991</v>
      </c>
    </row>
    <row r="10" spans="1:7" ht="16.5">
      <c r="A10" s="198" t="s">
        <v>211</v>
      </c>
      <c r="B10" s="199" t="s">
        <v>212</v>
      </c>
      <c r="C10" s="198" t="s">
        <v>185</v>
      </c>
      <c r="D10" s="200">
        <v>4000</v>
      </c>
      <c r="E10" s="316">
        <v>6.9999999999999999E-4</v>
      </c>
      <c r="F10" s="202">
        <f t="shared" si="0"/>
        <v>2.8</v>
      </c>
      <c r="G10" s="317">
        <f>F10*'[1]gia ban'!$G$25*0.7/85*100</f>
        <v>846719.99999999988</v>
      </c>
    </row>
    <row r="11" spans="1:7" ht="16.5">
      <c r="A11" s="198" t="s">
        <v>213</v>
      </c>
      <c r="B11" s="199" t="s">
        <v>214</v>
      </c>
      <c r="C11" s="198" t="s">
        <v>185</v>
      </c>
      <c r="D11" s="200">
        <v>2500</v>
      </c>
      <c r="E11" s="316">
        <f>0.2477/3</f>
        <v>8.2566666666666663E-2</v>
      </c>
      <c r="F11" s="202">
        <f t="shared" si="0"/>
        <v>206.41666666666666</v>
      </c>
      <c r="G11" s="317">
        <f>F11*'[1]gia ban'!$G$25*0.7/85*100</f>
        <v>62420400</v>
      </c>
    </row>
    <row r="12" spans="1:7" ht="17.25">
      <c r="A12" s="193">
        <v>2</v>
      </c>
      <c r="B12" s="194" t="s">
        <v>215</v>
      </c>
      <c r="C12" s="193"/>
      <c r="D12" s="195"/>
      <c r="E12" s="318"/>
      <c r="F12" s="197">
        <f>F13+F14</f>
        <v>1031.2</v>
      </c>
      <c r="G12" s="317">
        <f>F12*'[1]gia ban'!$G$25*0.7/85*100</f>
        <v>311834880</v>
      </c>
    </row>
    <row r="13" spans="1:7" ht="16.5">
      <c r="A13" s="198" t="s">
        <v>77</v>
      </c>
      <c r="B13" s="199" t="s">
        <v>216</v>
      </c>
      <c r="C13" s="198" t="s">
        <v>185</v>
      </c>
      <c r="D13" s="200">
        <v>5200</v>
      </c>
      <c r="E13" s="316">
        <v>0.19400000000000001</v>
      </c>
      <c r="F13" s="202">
        <f>E13*D13</f>
        <v>1008.8000000000001</v>
      </c>
      <c r="G13" s="317">
        <f>F13*'[1]gia ban'!$G$25*0.7/85*100</f>
        <v>305061120</v>
      </c>
    </row>
    <row r="14" spans="1:7" ht="16.5">
      <c r="A14" s="198" t="s">
        <v>85</v>
      </c>
      <c r="B14" s="199" t="s">
        <v>217</v>
      </c>
      <c r="C14" s="198" t="s">
        <v>185</v>
      </c>
      <c r="D14" s="200">
        <v>2800</v>
      </c>
      <c r="E14" s="316">
        <v>8.0000000000000002E-3</v>
      </c>
      <c r="F14" s="202">
        <f>E14*D14</f>
        <v>22.400000000000002</v>
      </c>
      <c r="G14" s="317">
        <f>F14*'[1]gia ban'!$G$25*0.7/85*100</f>
        <v>6773760.0000000009</v>
      </c>
    </row>
    <row r="15" spans="1:7" ht="16.5">
      <c r="A15" s="198" t="s">
        <v>218</v>
      </c>
      <c r="B15" s="199" t="s">
        <v>219</v>
      </c>
      <c r="C15" s="198"/>
      <c r="D15" s="202"/>
      <c r="E15" s="319"/>
      <c r="F15" s="320"/>
      <c r="G15" s="317">
        <f>F15*'[1]gia ban'!$G$25*0.7/85*100</f>
        <v>0</v>
      </c>
    </row>
    <row r="16" spans="1:7" ht="17.25">
      <c r="A16" s="193">
        <v>3</v>
      </c>
      <c r="B16" s="194" t="s">
        <v>220</v>
      </c>
      <c r="C16" s="193"/>
      <c r="D16" s="195"/>
      <c r="E16" s="321"/>
      <c r="F16" s="322">
        <f>F17+F18</f>
        <v>1650</v>
      </c>
      <c r="G16" s="317">
        <f>F16*'[1]gia ban'!$G$25*0.7/85*100</f>
        <v>498960000</v>
      </c>
    </row>
    <row r="17" spans="1:7" ht="16.5">
      <c r="A17" s="198" t="s">
        <v>221</v>
      </c>
      <c r="B17" s="199" t="s">
        <v>222</v>
      </c>
      <c r="C17" s="198" t="s">
        <v>223</v>
      </c>
      <c r="D17" s="323">
        <v>7310</v>
      </c>
      <c r="E17" s="324">
        <v>0</v>
      </c>
      <c r="F17" s="325">
        <f>E17*D17</f>
        <v>0</v>
      </c>
      <c r="G17" s="317">
        <f>F17*'[1]gia ban'!$G$25*0.7/85*100</f>
        <v>0</v>
      </c>
    </row>
    <row r="18" spans="1:7" ht="16.5">
      <c r="A18" s="198" t="s">
        <v>224</v>
      </c>
      <c r="B18" s="199" t="s">
        <v>225</v>
      </c>
      <c r="C18" s="198" t="s">
        <v>185</v>
      </c>
      <c r="D18" s="200">
        <v>11000</v>
      </c>
      <c r="E18" s="326">
        <v>0.15</v>
      </c>
      <c r="F18" s="325">
        <f>E18*D18</f>
        <v>1650</v>
      </c>
      <c r="G18" s="317">
        <f>F18*'[1]gia ban'!$G$25*0.7/85*100</f>
        <v>498960000</v>
      </c>
    </row>
    <row r="19" spans="1:7" ht="17.25">
      <c r="A19" s="193">
        <v>4</v>
      </c>
      <c r="B19" s="194" t="s">
        <v>226</v>
      </c>
      <c r="C19" s="193" t="s">
        <v>227</v>
      </c>
      <c r="D19" s="197">
        <v>1.65</v>
      </c>
      <c r="E19" s="327">
        <v>130</v>
      </c>
      <c r="F19" s="197">
        <f>E19*D19</f>
        <v>214.5</v>
      </c>
      <c r="G19" s="197">
        <f>F19*'[1]gia ban'!$G$25*0.7/85*100</f>
        <v>64864800</v>
      </c>
    </row>
    <row r="20" spans="1:7" ht="17.25">
      <c r="A20" s="193">
        <v>5</v>
      </c>
      <c r="B20" s="194" t="s">
        <v>228</v>
      </c>
      <c r="C20" s="193"/>
      <c r="D20" s="195"/>
      <c r="E20" s="327"/>
      <c r="F20" s="197">
        <f>7500/140</f>
        <v>53.571428571428569</v>
      </c>
      <c r="G20" s="197">
        <f>F20*'[1]gia ban'!$G$25*0.7/85*100</f>
        <v>16199999.999999996</v>
      </c>
    </row>
    <row r="21" spans="1:7" ht="17.25">
      <c r="A21" s="193">
        <v>6</v>
      </c>
      <c r="B21" s="194" t="s">
        <v>229</v>
      </c>
      <c r="C21" s="193" t="s">
        <v>230</v>
      </c>
      <c r="D21" s="195">
        <f>1.8*223.5</f>
        <v>402.3</v>
      </c>
      <c r="E21" s="327">
        <v>2.5000000000000001E-3</v>
      </c>
      <c r="F21" s="197">
        <f>E21*D21</f>
        <v>1.0057500000000001</v>
      </c>
      <c r="G21" s="197">
        <f>F21*'[1]gia ban'!$G$25*0.7/85*100</f>
        <v>304138.80000000005</v>
      </c>
    </row>
    <row r="22" spans="1:7" ht="17.25">
      <c r="A22" s="193">
        <v>7</v>
      </c>
      <c r="B22" s="194" t="s">
        <v>231</v>
      </c>
      <c r="C22" s="193" t="s">
        <v>232</v>
      </c>
      <c r="D22" s="195">
        <v>95</v>
      </c>
      <c r="E22" s="327">
        <v>0.5</v>
      </c>
      <c r="F22" s="197">
        <f>D22*E22</f>
        <v>47.5</v>
      </c>
      <c r="G22" s="197">
        <f>F22*'[1]gia ban'!$G$25*0.7</f>
        <v>12209400</v>
      </c>
    </row>
    <row r="23" spans="1:7" ht="16.5">
      <c r="A23" s="189" t="s">
        <v>68</v>
      </c>
      <c r="B23" s="190" t="s">
        <v>233</v>
      </c>
      <c r="C23" s="189"/>
      <c r="D23" s="210"/>
      <c r="E23" s="192"/>
      <c r="F23" s="191">
        <f>'[1]Quy luong'!H21/'[1]gia ban'!G25</f>
        <v>329.89090909090908</v>
      </c>
      <c r="G23" s="191">
        <f>F23*'[1]gia ban'!$G$25*0.7/85*100</f>
        <v>99759010.909090906</v>
      </c>
    </row>
    <row r="24" spans="1:7" ht="16.5">
      <c r="A24" s="189" t="s">
        <v>234</v>
      </c>
      <c r="B24" s="190" t="s">
        <v>128</v>
      </c>
      <c r="C24" s="189"/>
      <c r="D24" s="210"/>
      <c r="E24" s="192"/>
      <c r="F24" s="191">
        <f>'[1]CP SXC'!G16/'[1]gia ban'!G25</f>
        <v>234.67490187709197</v>
      </c>
      <c r="G24" s="191">
        <f>F24*'[1]gia ban'!$G$25*0.7/85*100</f>
        <v>70965690.327632606</v>
      </c>
    </row>
    <row r="25" spans="1:7" ht="16.5">
      <c r="A25" s="189"/>
      <c r="B25" s="190" t="s">
        <v>235</v>
      </c>
      <c r="C25" s="189"/>
      <c r="D25" s="210"/>
      <c r="E25" s="192"/>
      <c r="F25" s="191">
        <f>F24+F23+F4</f>
        <v>4100.5876562060957</v>
      </c>
      <c r="G25" s="191">
        <f>F25*'[1]gia ban'!$G$25*0.7/85*100</f>
        <v>1240017707.2367234</v>
      </c>
    </row>
    <row r="26" spans="1:7" ht="16.5">
      <c r="A26" s="189" t="s">
        <v>236</v>
      </c>
      <c r="B26" s="190" t="s">
        <v>118</v>
      </c>
      <c r="C26" s="189"/>
      <c r="D26" s="210"/>
      <c r="E26" s="192"/>
      <c r="F26" s="191">
        <f>'[1]CP QL'!D17/'[1]gia ban'!G25</f>
        <v>116.36741336898395</v>
      </c>
      <c r="G26" s="191">
        <f>F26*'[1]gia ban'!$G$25*0.7/85*100</f>
        <v>35189505.802780747</v>
      </c>
    </row>
    <row r="27" spans="1:7" ht="16.5">
      <c r="A27" s="189" t="s">
        <v>237</v>
      </c>
      <c r="B27" s="190" t="s">
        <v>129</v>
      </c>
      <c r="C27" s="189"/>
      <c r="D27" s="210"/>
      <c r="E27" s="192"/>
      <c r="F27" s="191">
        <f>'[1]CP ban hang'!D15/'[1]gia ban'!G25</f>
        <v>662.40321369957576</v>
      </c>
      <c r="G27" s="191">
        <f>F27*'[1]gia ban'!$G$25*0.7</f>
        <v>170264122.04933894</v>
      </c>
    </row>
    <row r="28" spans="1:7" ht="16.5">
      <c r="A28" s="198"/>
      <c r="B28" s="199"/>
      <c r="C28" s="198"/>
      <c r="D28" s="200"/>
      <c r="E28" s="320"/>
      <c r="F28" s="202"/>
      <c r="G28" s="317">
        <f>F28*'[1]gia ban'!$G$25*0.7/85*100</f>
        <v>0</v>
      </c>
    </row>
    <row r="29" spans="1:7" ht="16.5">
      <c r="A29" s="211"/>
      <c r="B29" s="328" t="s">
        <v>5</v>
      </c>
      <c r="C29" s="211"/>
      <c r="D29" s="329"/>
      <c r="E29" s="214"/>
      <c r="F29" s="215">
        <f>SUM(F25:F27)</f>
        <v>4879.3582832746552</v>
      </c>
      <c r="G29" s="216">
        <f>SUM(G25:G27)</f>
        <v>1445471335.0888429</v>
      </c>
    </row>
  </sheetData>
  <mergeCells count="2">
    <mergeCell ref="A1:G1"/>
    <mergeCell ref="A2:G2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30"/>
  <sheetViews>
    <sheetView workbookViewId="0">
      <selection activeCell="F29" sqref="F29"/>
    </sheetView>
  </sheetViews>
  <sheetFormatPr defaultRowHeight="12.75"/>
  <cols>
    <col min="1" max="1" width="8" customWidth="1"/>
    <col min="2" max="2" width="36.140625" customWidth="1"/>
    <col min="3" max="3" width="12.28515625" customWidth="1"/>
    <col min="4" max="4" width="13" customWidth="1"/>
    <col min="5" max="5" width="18.7109375" customWidth="1"/>
    <col min="6" max="6" width="18.5703125" customWidth="1"/>
    <col min="7" max="7" width="23" customWidth="1"/>
  </cols>
  <sheetData>
    <row r="1" spans="1:7" ht="16.5">
      <c r="A1" s="851" t="s">
        <v>333</v>
      </c>
      <c r="B1" s="851"/>
      <c r="C1" s="851"/>
      <c r="D1" s="851"/>
      <c r="E1" s="851"/>
      <c r="F1" s="851"/>
      <c r="G1" s="851"/>
    </row>
    <row r="2" spans="1:7" ht="16.5">
      <c r="A2" s="851" t="s">
        <v>199</v>
      </c>
      <c r="B2" s="851"/>
      <c r="C2" s="851"/>
      <c r="D2" s="851"/>
      <c r="E2" s="851"/>
      <c r="F2" s="851"/>
      <c r="G2" s="851"/>
    </row>
    <row r="3" spans="1:7" ht="16.5">
      <c r="A3" s="330"/>
      <c r="B3" s="331"/>
      <c r="C3" s="330"/>
      <c r="D3" s="331"/>
      <c r="E3" s="331"/>
      <c r="F3" s="331"/>
      <c r="G3" s="331"/>
    </row>
    <row r="4" spans="1:7" ht="48.75" customHeight="1">
      <c r="A4" s="314" t="s">
        <v>6</v>
      </c>
      <c r="B4" s="314" t="s">
        <v>132</v>
      </c>
      <c r="C4" s="314" t="s">
        <v>117</v>
      </c>
      <c r="D4" s="315" t="s">
        <v>200</v>
      </c>
      <c r="E4" s="315" t="s">
        <v>201</v>
      </c>
      <c r="F4" s="315" t="s">
        <v>202</v>
      </c>
      <c r="G4" s="315" t="s">
        <v>203</v>
      </c>
    </row>
    <row r="5" spans="1:7" ht="16.5">
      <c r="A5" s="189" t="s">
        <v>18</v>
      </c>
      <c r="B5" s="190" t="s">
        <v>204</v>
      </c>
      <c r="C5" s="189"/>
      <c r="D5" s="191"/>
      <c r="E5" s="192"/>
      <c r="F5" s="191">
        <f>F6+F13+F17+F20+F21+F22+F23</f>
        <v>3729.3618452380947</v>
      </c>
      <c r="G5" s="191">
        <f>F5*'[1]gia ban'!$G$25*0.3/85*100</f>
        <v>483325295.14285707</v>
      </c>
    </row>
    <row r="6" spans="1:7" ht="17.25">
      <c r="A6" s="193">
        <v>1</v>
      </c>
      <c r="B6" s="194" t="s">
        <v>205</v>
      </c>
      <c r="C6" s="193"/>
      <c r="D6" s="195"/>
      <c r="E6" s="196"/>
      <c r="F6" s="197">
        <f>SUM(F7:F12)</f>
        <v>538.2446666666666</v>
      </c>
      <c r="G6" s="191">
        <f>F6*'[1]gia ban'!$G$25*0.3/85*100</f>
        <v>69756508.799999982</v>
      </c>
    </row>
    <row r="7" spans="1:7" ht="16.5">
      <c r="A7" s="198" t="s">
        <v>159</v>
      </c>
      <c r="B7" s="199" t="s">
        <v>206</v>
      </c>
      <c r="C7" s="198" t="s">
        <v>185</v>
      </c>
      <c r="D7" s="200">
        <f>'[2]Z kinh trang'!D7</f>
        <v>420</v>
      </c>
      <c r="E7" s="201">
        <f>'[2]Z kinh trang'!E7</f>
        <v>0.57299999999999995</v>
      </c>
      <c r="F7" s="202">
        <f t="shared" ref="F7:F12" si="0">E7*D7</f>
        <v>240.65999999999997</v>
      </c>
      <c r="G7" s="202">
        <f>F7*'[1]gia ban'!$G$25*0.3/85*100</f>
        <v>31189535.999999993</v>
      </c>
    </row>
    <row r="8" spans="1:7" ht="16.5">
      <c r="A8" s="198" t="s">
        <v>162</v>
      </c>
      <c r="B8" s="199" t="s">
        <v>207</v>
      </c>
      <c r="C8" s="198" t="s">
        <v>185</v>
      </c>
      <c r="D8" s="200">
        <f>'[2]Z kinh trang'!D8</f>
        <v>608</v>
      </c>
      <c r="E8" s="201">
        <f>'[2]Z kinh trang'!E8</f>
        <v>3.5999999999999997E-2</v>
      </c>
      <c r="F8" s="202">
        <f t="shared" si="0"/>
        <v>21.887999999999998</v>
      </c>
      <c r="G8" s="202">
        <f>F8*'[1]gia ban'!$G$25*0.3/85*100</f>
        <v>2836684.7999999993</v>
      </c>
    </row>
    <row r="9" spans="1:7" ht="16.5">
      <c r="A9" s="198" t="s">
        <v>164</v>
      </c>
      <c r="B9" s="199" t="s">
        <v>208</v>
      </c>
      <c r="C9" s="198" t="s">
        <v>185</v>
      </c>
      <c r="D9" s="200">
        <f>'[2]Z kinh trang'!D9</f>
        <v>360</v>
      </c>
      <c r="E9" s="201">
        <f>'[2]Z kinh trang'!E9</f>
        <v>0.14499999999999999</v>
      </c>
      <c r="F9" s="202">
        <f t="shared" si="0"/>
        <v>52.199999999999996</v>
      </c>
      <c r="G9" s="202">
        <f>F9*'[1]gia ban'!$G$25*0.3/85*100</f>
        <v>6765120</v>
      </c>
    </row>
    <row r="10" spans="1:7" ht="16.5">
      <c r="A10" s="198" t="s">
        <v>209</v>
      </c>
      <c r="B10" s="199" t="s">
        <v>210</v>
      </c>
      <c r="C10" s="198" t="s">
        <v>185</v>
      </c>
      <c r="D10" s="200">
        <f>'[2]Z kinh trang'!D10</f>
        <v>340</v>
      </c>
      <c r="E10" s="201">
        <f>'[2]Z kinh trang'!E10</f>
        <v>4.2000000000000003E-2</v>
      </c>
      <c r="F10" s="202">
        <f t="shared" si="0"/>
        <v>14.280000000000001</v>
      </c>
      <c r="G10" s="202">
        <f>F10*'[1]gia ban'!$G$25*0.3/85*100</f>
        <v>1850688</v>
      </c>
    </row>
    <row r="11" spans="1:7" ht="16.5">
      <c r="A11" s="198" t="s">
        <v>211</v>
      </c>
      <c r="B11" s="199" t="s">
        <v>212</v>
      </c>
      <c r="C11" s="198" t="s">
        <v>185</v>
      </c>
      <c r="D11" s="200">
        <f>'[2]Z kinh trang'!D11</f>
        <v>4000</v>
      </c>
      <c r="E11" s="201">
        <f>'[2]Z kinh trang'!E11</f>
        <v>6.9999999999999999E-4</v>
      </c>
      <c r="F11" s="202">
        <f t="shared" si="0"/>
        <v>2.8</v>
      </c>
      <c r="G11" s="202">
        <f>F11*'[1]gia ban'!$G$25*0.3/85*100</f>
        <v>362879.99999999994</v>
      </c>
    </row>
    <row r="12" spans="1:7" ht="16.5">
      <c r="A12" s="198" t="s">
        <v>213</v>
      </c>
      <c r="B12" s="199" t="s">
        <v>214</v>
      </c>
      <c r="C12" s="198" t="s">
        <v>185</v>
      </c>
      <c r="D12" s="200">
        <f>'[2]Z kinh trang'!D12</f>
        <v>2500</v>
      </c>
      <c r="E12" s="201">
        <f>'[2]Z kinh trang'!E12</f>
        <v>8.2566666666666663E-2</v>
      </c>
      <c r="F12" s="202">
        <f t="shared" si="0"/>
        <v>206.41666666666666</v>
      </c>
      <c r="G12" s="202">
        <f>F12*'[1]gia ban'!$G$25*0.3/85*100</f>
        <v>26751600</v>
      </c>
    </row>
    <row r="13" spans="1:7" ht="17.25">
      <c r="A13" s="193">
        <v>2</v>
      </c>
      <c r="B13" s="194" t="s">
        <v>215</v>
      </c>
      <c r="C13" s="193"/>
      <c r="D13" s="195"/>
      <c r="E13" s="203"/>
      <c r="F13" s="197">
        <f>F14+F15+F16</f>
        <v>1114.54</v>
      </c>
      <c r="G13" s="197">
        <f>F13*'[1]gia ban'!$G$25*0.3/85*100</f>
        <v>144444384</v>
      </c>
    </row>
    <row r="14" spans="1:7" ht="16.5">
      <c r="A14" s="198" t="s">
        <v>77</v>
      </c>
      <c r="B14" s="199" t="s">
        <v>216</v>
      </c>
      <c r="C14" s="198" t="s">
        <v>185</v>
      </c>
      <c r="D14" s="200">
        <f>'[2]Z kinh trang'!D14</f>
        <v>5200</v>
      </c>
      <c r="E14" s="201">
        <f>'[2]Z kinh trang'!E14</f>
        <v>0.19400000000000001</v>
      </c>
      <c r="F14" s="202">
        <f>E14*D14</f>
        <v>1008.8000000000001</v>
      </c>
      <c r="G14" s="202">
        <f>F14*'[1]gia ban'!$G$25*0.3/85*100</f>
        <v>130740480</v>
      </c>
    </row>
    <row r="15" spans="1:7" ht="16.5">
      <c r="A15" s="198" t="s">
        <v>85</v>
      </c>
      <c r="B15" s="199" t="s">
        <v>217</v>
      </c>
      <c r="C15" s="198" t="s">
        <v>185</v>
      </c>
      <c r="D15" s="200">
        <f>'[2]Z kinh trang'!D15</f>
        <v>2800</v>
      </c>
      <c r="E15" s="201">
        <f>'[2]Z kinh trang'!E15</f>
        <v>8.0000000000000002E-3</v>
      </c>
      <c r="F15" s="202">
        <f>E15*D15</f>
        <v>22.400000000000002</v>
      </c>
      <c r="G15" s="202">
        <f>F15*'[1]gia ban'!$G$25*0.3/85*100</f>
        <v>2903040</v>
      </c>
    </row>
    <row r="16" spans="1:7" ht="16.5">
      <c r="A16" s="198" t="s">
        <v>218</v>
      </c>
      <c r="B16" s="199" t="s">
        <v>219</v>
      </c>
      <c r="C16" s="198" t="s">
        <v>230</v>
      </c>
      <c r="D16" s="204">
        <v>3000</v>
      </c>
      <c r="E16" s="205">
        <v>2.7779999999999999E-2</v>
      </c>
      <c r="F16" s="202">
        <f>E16*D16</f>
        <v>83.34</v>
      </c>
      <c r="G16" s="202">
        <f>F16*'[1]gia ban'!$G$25*0.3/85*100</f>
        <v>10800864</v>
      </c>
    </row>
    <row r="17" spans="1:7" ht="17.25">
      <c r="A17" s="193">
        <v>3</v>
      </c>
      <c r="B17" s="194" t="s">
        <v>220</v>
      </c>
      <c r="C17" s="193"/>
      <c r="D17" s="195"/>
      <c r="E17" s="203"/>
      <c r="F17" s="197">
        <f>F18+F19</f>
        <v>1760</v>
      </c>
      <c r="G17" s="197">
        <f>F17*'[1]gia ban'!$G$25*0.3/85*100</f>
        <v>228096000</v>
      </c>
    </row>
    <row r="18" spans="1:7" ht="16.5">
      <c r="A18" s="198" t="s">
        <v>221</v>
      </c>
      <c r="B18" s="199" t="s">
        <v>222</v>
      </c>
      <c r="C18" s="198" t="s">
        <v>185</v>
      </c>
      <c r="D18" s="206">
        <v>7310</v>
      </c>
      <c r="E18" s="207">
        <f>'[2]Z kinh trang'!E18</f>
        <v>0</v>
      </c>
      <c r="F18" s="202">
        <f>E18*D18</f>
        <v>0</v>
      </c>
      <c r="G18" s="202">
        <f>F18*'[1]gia ban'!$G$25*0.3/85*100</f>
        <v>0</v>
      </c>
    </row>
    <row r="19" spans="1:7" ht="16.5">
      <c r="A19" s="198" t="s">
        <v>224</v>
      </c>
      <c r="B19" s="199" t="s">
        <v>225</v>
      </c>
      <c r="C19" s="198" t="s">
        <v>185</v>
      </c>
      <c r="D19" s="200">
        <v>11000</v>
      </c>
      <c r="E19" s="207">
        <f>0.16</f>
        <v>0.16</v>
      </c>
      <c r="F19" s="202">
        <f>E19*D19</f>
        <v>1760</v>
      </c>
      <c r="G19" s="202">
        <f>F19*'[1]gia ban'!$G$25*0.3/85*100</f>
        <v>228096000</v>
      </c>
    </row>
    <row r="20" spans="1:7" ht="17.25">
      <c r="A20" s="193">
        <v>4</v>
      </c>
      <c r="B20" s="194" t="s">
        <v>226</v>
      </c>
      <c r="C20" s="193" t="s">
        <v>227</v>
      </c>
      <c r="D20" s="197">
        <v>1.65</v>
      </c>
      <c r="E20" s="207">
        <f>'[2]Z kinh trang'!E20</f>
        <v>130</v>
      </c>
      <c r="F20" s="197">
        <f>E20*D20</f>
        <v>214.5</v>
      </c>
      <c r="G20" s="202">
        <f>F20*'[1]gia ban'!$G$25*0.3/85*100</f>
        <v>27799200</v>
      </c>
    </row>
    <row r="21" spans="1:7" ht="17.25">
      <c r="A21" s="193">
        <v>5</v>
      </c>
      <c r="B21" s="194" t="s">
        <v>228</v>
      </c>
      <c r="C21" s="193"/>
      <c r="D21" s="195"/>
      <c r="E21" s="207"/>
      <c r="F21" s="197">
        <f>7500/140</f>
        <v>53.571428571428569</v>
      </c>
      <c r="G21" s="202">
        <f>F21*'[1]gia ban'!$G$25*0.3/85*100</f>
        <v>6942857.1428571418</v>
      </c>
    </row>
    <row r="22" spans="1:7" ht="17.25">
      <c r="A22" s="193">
        <v>6</v>
      </c>
      <c r="B22" s="194" t="s">
        <v>229</v>
      </c>
      <c r="C22" s="193" t="s">
        <v>230</v>
      </c>
      <c r="D22" s="208">
        <f>'[2]Z kinh trang'!D22</f>
        <v>402.3</v>
      </c>
      <c r="E22" s="209">
        <f>'[2]Z kinh trang'!E22</f>
        <v>2.5000000000000001E-3</v>
      </c>
      <c r="F22" s="197">
        <f>E22*D22</f>
        <v>1.0057500000000001</v>
      </c>
      <c r="G22" s="202">
        <f>F22*'[1]gia ban'!$G$25*0.3/85*100</f>
        <v>130345.20000000003</v>
      </c>
    </row>
    <row r="23" spans="1:7" ht="17.25">
      <c r="A23" s="193">
        <v>7</v>
      </c>
      <c r="B23" s="194" t="s">
        <v>231</v>
      </c>
      <c r="C23" s="193" t="s">
        <v>232</v>
      </c>
      <c r="D23" s="195">
        <v>95</v>
      </c>
      <c r="E23" s="207">
        <f>'[2]Z kinh trang'!E23</f>
        <v>0.5</v>
      </c>
      <c r="F23" s="197">
        <f>E23*D23</f>
        <v>47.5</v>
      </c>
      <c r="G23" s="202">
        <f>F23*'[1]gia ban'!$G$25*0.3</f>
        <v>5232600</v>
      </c>
    </row>
    <row r="24" spans="1:7" ht="16.5">
      <c r="A24" s="189" t="s">
        <v>68</v>
      </c>
      <c r="B24" s="190" t="s">
        <v>233</v>
      </c>
      <c r="C24" s="189"/>
      <c r="D24" s="210"/>
      <c r="E24" s="192"/>
      <c r="F24" s="191">
        <f>'[1]Quy luong'!H21/'[1]gia ban'!G25</f>
        <v>329.89090909090908</v>
      </c>
      <c r="G24" s="191">
        <f>F24*'[1]gia ban'!$G$25*0.3/85*100</f>
        <v>42753861.818181813</v>
      </c>
    </row>
    <row r="25" spans="1:7" ht="16.5">
      <c r="A25" s="189" t="s">
        <v>234</v>
      </c>
      <c r="B25" s="190" t="s">
        <v>128</v>
      </c>
      <c r="C25" s="189"/>
      <c r="D25" s="210"/>
      <c r="E25" s="192"/>
      <c r="F25" s="191">
        <f>'[1]CP SXC'!G16/'[1]gia ban'!G25</f>
        <v>234.67490187709197</v>
      </c>
      <c r="G25" s="191">
        <f>F25*'[1]gia ban'!$G$25*0.3/85*100</f>
        <v>30413867.283271119</v>
      </c>
    </row>
    <row r="26" spans="1:7" ht="16.5">
      <c r="A26" s="189"/>
      <c r="B26" s="190" t="s">
        <v>235</v>
      </c>
      <c r="C26" s="189"/>
      <c r="D26" s="210"/>
      <c r="E26" s="192"/>
      <c r="F26" s="191">
        <f>F25+F24+F5</f>
        <v>4293.9276562060959</v>
      </c>
      <c r="G26" s="191">
        <f>F26*'[1]gia ban'!$G$25*0.3/85*100</f>
        <v>556493024.24431002</v>
      </c>
    </row>
    <row r="27" spans="1:7" ht="16.5">
      <c r="A27" s="189" t="s">
        <v>236</v>
      </c>
      <c r="B27" s="190" t="s">
        <v>118</v>
      </c>
      <c r="C27" s="189"/>
      <c r="D27" s="210"/>
      <c r="E27" s="192"/>
      <c r="F27" s="191">
        <f>'[1]CP QL'!D17/'[1]gia ban'!G25</f>
        <v>116.36741336898395</v>
      </c>
      <c r="G27" s="191">
        <f>F27*'[1]gia ban'!$G$25*0.3/85*100</f>
        <v>15081216.772620322</v>
      </c>
    </row>
    <row r="28" spans="1:7" ht="16.5">
      <c r="A28" s="189" t="s">
        <v>237</v>
      </c>
      <c r="B28" s="190" t="s">
        <v>129</v>
      </c>
      <c r="C28" s="189"/>
      <c r="D28" s="210"/>
      <c r="E28" s="192"/>
      <c r="F28" s="191">
        <f>'[1]CP ban hang'!D15/'[1]gia ban'!G25</f>
        <v>662.40321369957576</v>
      </c>
      <c r="G28" s="191">
        <f>F28*'[1]gia ban'!$G$25*0.3</f>
        <v>72970338.021145269</v>
      </c>
    </row>
    <row r="29" spans="1:7" ht="16.5">
      <c r="A29" s="340"/>
      <c r="B29" s="341" t="s">
        <v>354</v>
      </c>
      <c r="C29" s="340"/>
      <c r="D29" s="342"/>
      <c r="E29" s="343"/>
      <c r="F29" s="344"/>
      <c r="G29" s="344"/>
    </row>
    <row r="30" spans="1:7" ht="16.5">
      <c r="A30" s="211"/>
      <c r="B30" s="212" t="s">
        <v>5</v>
      </c>
      <c r="C30" s="211"/>
      <c r="D30" s="213"/>
      <c r="E30" s="214"/>
      <c r="F30" s="215">
        <f>SUM(F26:F28)</f>
        <v>5072.6982832746553</v>
      </c>
      <c r="G30" s="216">
        <f>SUM(G26:G28)</f>
        <v>644544579.03807557</v>
      </c>
    </row>
  </sheetData>
  <mergeCells count="2">
    <mergeCell ref="A1:G1"/>
    <mergeCell ref="A2:G2"/>
  </mergeCells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38"/>
  <sheetViews>
    <sheetView topLeftCell="A25" workbookViewId="0">
      <selection activeCell="E37" sqref="E37"/>
    </sheetView>
  </sheetViews>
  <sheetFormatPr defaultRowHeight="12.75"/>
  <cols>
    <col min="1" max="1" width="9.140625" style="124"/>
    <col min="2" max="2" width="29.140625" style="124" customWidth="1"/>
    <col min="3" max="3" width="13.28515625" style="124" customWidth="1"/>
    <col min="4" max="4" width="12" style="124" customWidth="1"/>
    <col min="5" max="6" width="9.140625" style="124"/>
    <col min="7" max="7" width="20.7109375" style="124" customWidth="1"/>
    <col min="8" max="8" width="9.140625" style="124"/>
    <col min="9" max="9" width="11.7109375" style="124" customWidth="1"/>
    <col min="10" max="10" width="13.140625" style="124" customWidth="1"/>
    <col min="11" max="16384" width="9.140625" style="124"/>
  </cols>
  <sheetData>
    <row r="1" spans="1:13" ht="18.75">
      <c r="A1" s="853" t="s">
        <v>334</v>
      </c>
      <c r="B1" s="853"/>
      <c r="C1" s="853"/>
      <c r="D1" s="853"/>
      <c r="E1" s="853"/>
      <c r="F1" s="853"/>
      <c r="G1" s="853"/>
      <c r="H1" s="853"/>
      <c r="I1" s="853"/>
      <c r="J1" s="853"/>
    </row>
    <row r="2" spans="1:13" ht="15.75">
      <c r="A2" s="230"/>
      <c r="B2" s="231"/>
      <c r="C2" s="231"/>
      <c r="D2" s="231"/>
      <c r="E2" s="252"/>
      <c r="F2" s="252"/>
      <c r="G2" s="252"/>
      <c r="H2" s="231"/>
    </row>
    <row r="3" spans="1:13" s="226" customFormat="1" ht="63">
      <c r="A3" s="232" t="s">
        <v>154</v>
      </c>
      <c r="B3" s="233" t="s">
        <v>263</v>
      </c>
      <c r="C3" s="233" t="s">
        <v>264</v>
      </c>
      <c r="D3" s="233" t="s">
        <v>265</v>
      </c>
      <c r="E3" s="233" t="s">
        <v>266</v>
      </c>
      <c r="F3" s="233" t="s">
        <v>267</v>
      </c>
      <c r="G3" s="233" t="s">
        <v>268</v>
      </c>
      <c r="H3" s="292" t="s">
        <v>322</v>
      </c>
      <c r="I3" s="232" t="s">
        <v>323</v>
      </c>
      <c r="J3" s="232" t="s">
        <v>324</v>
      </c>
    </row>
    <row r="4" spans="1:13" s="226" customFormat="1" ht="15.75">
      <c r="A4" s="234">
        <v>1</v>
      </c>
      <c r="B4" s="247" t="s">
        <v>269</v>
      </c>
      <c r="C4" s="235">
        <v>5</v>
      </c>
      <c r="D4" s="248">
        <v>0.02</v>
      </c>
      <c r="E4" s="249">
        <v>45000</v>
      </c>
      <c r="F4" s="235"/>
      <c r="G4" s="249">
        <v>45000</v>
      </c>
      <c r="H4" s="243">
        <f>(D4*G4+D5*G5+D6*G6+D7*G7+D8*G8+D9*G9+D10*G10+D11*G11+D12*G12+D13*G13+D14*G14+D15*G15+D16*G16+D17*G17+D18*G18+D19*G19+D20*G20+D21*G21+D22*G22)/100*100</f>
        <v>47637.661654135343</v>
      </c>
      <c r="I4" s="293">
        <f>D4*G4+G5*D5+G7*D7+G9*D9+G10*D10+G12*D12+G14*D14+G15*D15+G17*D17+G18*D18+G20*D20+G21*D21+G22*D22</f>
        <v>32383.566416040099</v>
      </c>
      <c r="J4" s="293">
        <f>G6*D6+G8*D8+G11*D11+G13*D13+G16*D16+G19*D19</f>
        <v>15254.095238095237</v>
      </c>
    </row>
    <row r="5" spans="1:13" s="226" customFormat="1" ht="15.75">
      <c r="A5" s="234">
        <v>2</v>
      </c>
      <c r="B5" s="247" t="s">
        <v>270</v>
      </c>
      <c r="C5" s="235">
        <v>10</v>
      </c>
      <c r="D5" s="248">
        <v>0.12</v>
      </c>
      <c r="E5" s="249">
        <v>85000</v>
      </c>
      <c r="F5" s="236"/>
      <c r="G5" s="249">
        <f>E5/2</f>
        <v>42500</v>
      </c>
      <c r="H5" s="236"/>
      <c r="I5" s="253">
        <f>D4+D5+D7+D9+D10+D12+D14+D15+D17+D18+D20+D21+D22</f>
        <v>0.70000000000000029</v>
      </c>
      <c r="J5" s="253">
        <v>0.3</v>
      </c>
      <c r="K5" s="226">
        <v>60700</v>
      </c>
      <c r="L5" s="256">
        <f>E5-K5</f>
        <v>24300</v>
      </c>
      <c r="M5" s="226">
        <f>L5/K5</f>
        <v>0.40032948929159801</v>
      </c>
    </row>
    <row r="6" spans="1:13" s="226" customFormat="1" ht="15.75">
      <c r="A6" s="234">
        <v>3</v>
      </c>
      <c r="B6" s="247" t="s">
        <v>271</v>
      </c>
      <c r="C6" s="235">
        <v>10</v>
      </c>
      <c r="D6" s="248">
        <v>0.1</v>
      </c>
      <c r="E6" s="249">
        <v>98000</v>
      </c>
      <c r="F6" s="237">
        <f>E6*D6/2.5</f>
        <v>3920</v>
      </c>
      <c r="G6" s="249">
        <f>E6/2</f>
        <v>49000</v>
      </c>
      <c r="H6" s="235"/>
      <c r="I6" s="254">
        <f>I4/I5</f>
        <v>46262.237737200121</v>
      </c>
      <c r="J6" s="254">
        <f>J4/J5</f>
        <v>50846.984126984127</v>
      </c>
      <c r="L6" s="256">
        <f t="shared" ref="L6:L14" si="0">E6-K6</f>
        <v>98000</v>
      </c>
      <c r="M6" s="226" t="e">
        <f t="shared" ref="M6:M14" si="1">L6/K6</f>
        <v>#DIV/0!</v>
      </c>
    </row>
    <row r="7" spans="1:13" s="226" customFormat="1" ht="15.75">
      <c r="A7" s="234">
        <v>4</v>
      </c>
      <c r="B7" s="247" t="s">
        <v>272</v>
      </c>
      <c r="C7" s="236">
        <v>12.5</v>
      </c>
      <c r="D7" s="248">
        <v>0.13</v>
      </c>
      <c r="E7" s="249">
        <v>106000</v>
      </c>
      <c r="F7" s="238">
        <f>E7*D7/2.5</f>
        <v>5512</v>
      </c>
      <c r="G7" s="249">
        <f>E7/2.5</f>
        <v>42400</v>
      </c>
      <c r="H7" s="236"/>
      <c r="I7" s="255">
        <f>I6*200</f>
        <v>9252447.5474400241</v>
      </c>
      <c r="J7" s="255">
        <f>J6*200</f>
        <v>10169396.825396825</v>
      </c>
      <c r="K7" s="226">
        <v>76000</v>
      </c>
      <c r="L7" s="256">
        <f t="shared" si="0"/>
        <v>30000</v>
      </c>
      <c r="M7" s="226">
        <f t="shared" si="1"/>
        <v>0.39473684210526316</v>
      </c>
    </row>
    <row r="8" spans="1:13" s="226" customFormat="1" ht="15.75">
      <c r="A8" s="234">
        <v>5</v>
      </c>
      <c r="B8" s="247" t="s">
        <v>273</v>
      </c>
      <c r="C8" s="235">
        <v>12.5</v>
      </c>
      <c r="D8" s="248">
        <v>0.1</v>
      </c>
      <c r="E8" s="249">
        <v>128700</v>
      </c>
      <c r="F8" s="237">
        <f>E8*D8/4</f>
        <v>3217.5</v>
      </c>
      <c r="G8" s="249">
        <f>E8/2.5</f>
        <v>51480</v>
      </c>
      <c r="H8" s="268">
        <v>0.8</v>
      </c>
      <c r="I8" s="294">
        <f>I7*H8</f>
        <v>7401958.0379520198</v>
      </c>
      <c r="J8" s="294">
        <f>J7*H8</f>
        <v>8135517.4603174599</v>
      </c>
      <c r="L8" s="256">
        <f t="shared" si="0"/>
        <v>128700</v>
      </c>
      <c r="M8" s="226" t="e">
        <f t="shared" si="1"/>
        <v>#DIV/0!</v>
      </c>
    </row>
    <row r="9" spans="1:13" s="226" customFormat="1" ht="15.75">
      <c r="A9" s="234">
        <v>6</v>
      </c>
      <c r="B9" s="247" t="s">
        <v>274</v>
      </c>
      <c r="C9" s="236">
        <v>15</v>
      </c>
      <c r="D9" s="248">
        <v>0.02</v>
      </c>
      <c r="E9" s="249">
        <v>136000</v>
      </c>
      <c r="F9" s="237"/>
      <c r="G9" s="249">
        <f>E9/3</f>
        <v>45333.333333333336</v>
      </c>
      <c r="H9" s="235"/>
      <c r="I9" s="255"/>
      <c r="K9" s="226">
        <v>77200</v>
      </c>
      <c r="L9" s="256">
        <f t="shared" si="0"/>
        <v>58800</v>
      </c>
      <c r="M9" s="226">
        <f t="shared" si="1"/>
        <v>0.76165803108808294</v>
      </c>
    </row>
    <row r="10" spans="1:13" s="226" customFormat="1" ht="15.75">
      <c r="A10" s="234">
        <v>7</v>
      </c>
      <c r="B10" s="247" t="s">
        <v>275</v>
      </c>
      <c r="C10" s="235">
        <v>17.5</v>
      </c>
      <c r="D10" s="248">
        <v>0.04</v>
      </c>
      <c r="E10" s="249">
        <v>157000</v>
      </c>
      <c r="F10" s="238"/>
      <c r="G10" s="249">
        <f>E10/3.5</f>
        <v>44857.142857142855</v>
      </c>
      <c r="H10" s="236"/>
      <c r="K10" s="226">
        <v>107000</v>
      </c>
      <c r="L10" s="256">
        <f t="shared" si="0"/>
        <v>50000</v>
      </c>
      <c r="M10" s="226">
        <f t="shared" si="1"/>
        <v>0.46728971962616822</v>
      </c>
    </row>
    <row r="11" spans="1:13" s="226" customFormat="1" ht="15.75">
      <c r="A11" s="234">
        <v>8</v>
      </c>
      <c r="B11" s="247" t="s">
        <v>276</v>
      </c>
      <c r="C11" s="235">
        <v>17.5</v>
      </c>
      <c r="D11" s="248">
        <v>0.02</v>
      </c>
      <c r="E11" s="249">
        <v>170000</v>
      </c>
      <c r="F11" s="237"/>
      <c r="G11" s="249">
        <f>E11/3.5</f>
        <v>48571.428571428572</v>
      </c>
      <c r="H11" s="235"/>
      <c r="L11" s="256">
        <f t="shared" si="0"/>
        <v>170000</v>
      </c>
      <c r="M11" s="226" t="e">
        <f t="shared" si="1"/>
        <v>#DIV/0!</v>
      </c>
    </row>
    <row r="12" spans="1:13" s="226" customFormat="1" ht="15.75">
      <c r="A12" s="234">
        <v>9</v>
      </c>
      <c r="B12" s="247" t="s">
        <v>277</v>
      </c>
      <c r="C12" s="236">
        <v>20</v>
      </c>
      <c r="D12" s="248">
        <v>0.1</v>
      </c>
      <c r="E12" s="249">
        <v>176000</v>
      </c>
      <c r="F12" s="238"/>
      <c r="G12" s="249">
        <f>E12/4</f>
        <v>44000</v>
      </c>
      <c r="H12" s="236"/>
      <c r="L12" s="256">
        <f t="shared" si="0"/>
        <v>176000</v>
      </c>
      <c r="M12" s="226" t="e">
        <f t="shared" si="1"/>
        <v>#DIV/0!</v>
      </c>
    </row>
    <row r="13" spans="1:13" s="226" customFormat="1" ht="15.75">
      <c r="A13" s="234">
        <v>10</v>
      </c>
      <c r="B13" s="247" t="s">
        <v>278</v>
      </c>
      <c r="C13" s="235">
        <v>20</v>
      </c>
      <c r="D13" s="248">
        <v>0.04</v>
      </c>
      <c r="E13" s="249">
        <v>220000</v>
      </c>
      <c r="F13" s="237">
        <f>E13*D13/5</f>
        <v>1760</v>
      </c>
      <c r="G13" s="249">
        <f>E13/4</f>
        <v>55000</v>
      </c>
      <c r="H13" s="235"/>
      <c r="L13" s="256">
        <f t="shared" si="0"/>
        <v>220000</v>
      </c>
      <c r="M13" s="226" t="e">
        <f t="shared" si="1"/>
        <v>#DIV/0!</v>
      </c>
    </row>
    <row r="14" spans="1:13" s="226" customFormat="1" ht="15.75">
      <c r="A14" s="234">
        <v>11</v>
      </c>
      <c r="B14" s="247" t="s">
        <v>279</v>
      </c>
      <c r="C14" s="236">
        <v>22.5</v>
      </c>
      <c r="D14" s="248">
        <v>0.02</v>
      </c>
      <c r="E14" s="249">
        <v>192000</v>
      </c>
      <c r="F14" s="237"/>
      <c r="G14" s="249">
        <f>E14/4.5</f>
        <v>42666.666666666664</v>
      </c>
      <c r="H14" s="235"/>
      <c r="K14" s="226">
        <v>129000</v>
      </c>
      <c r="L14" s="256">
        <f t="shared" si="0"/>
        <v>63000</v>
      </c>
      <c r="M14" s="226">
        <f t="shared" si="1"/>
        <v>0.48837209302325579</v>
      </c>
    </row>
    <row r="15" spans="1:13" s="226" customFormat="1" ht="15.75">
      <c r="A15" s="234">
        <v>12</v>
      </c>
      <c r="B15" s="247" t="s">
        <v>280</v>
      </c>
      <c r="C15" s="235">
        <v>25</v>
      </c>
      <c r="D15" s="248">
        <v>0.05</v>
      </c>
      <c r="E15" s="249">
        <v>222000</v>
      </c>
      <c r="F15" s="238"/>
      <c r="G15" s="249">
        <f>E15/5</f>
        <v>44400</v>
      </c>
      <c r="H15" s="236"/>
    </row>
    <row r="16" spans="1:13" s="226" customFormat="1" ht="15.75">
      <c r="A16" s="234">
        <v>13</v>
      </c>
      <c r="B16" s="247" t="s">
        <v>281</v>
      </c>
      <c r="C16" s="235">
        <v>25</v>
      </c>
      <c r="D16" s="248">
        <v>0.02</v>
      </c>
      <c r="E16" s="249">
        <v>267000</v>
      </c>
      <c r="F16" s="237">
        <f>E16*D16/6</f>
        <v>890</v>
      </c>
      <c r="G16" s="249">
        <f>E16/5</f>
        <v>53400</v>
      </c>
      <c r="H16" s="235"/>
    </row>
    <row r="17" spans="1:9" s="226" customFormat="1" ht="15.75">
      <c r="A17" s="234">
        <v>14</v>
      </c>
      <c r="B17" s="247" t="s">
        <v>282</v>
      </c>
      <c r="C17" s="236">
        <v>25</v>
      </c>
      <c r="D17" s="248">
        <v>0.05</v>
      </c>
      <c r="E17" s="249">
        <v>228000</v>
      </c>
      <c r="F17" s="237"/>
      <c r="G17" s="249">
        <f>E17/5</f>
        <v>45600</v>
      </c>
      <c r="H17" s="235"/>
    </row>
    <row r="18" spans="1:9" s="226" customFormat="1" ht="15.75">
      <c r="A18" s="234">
        <v>15</v>
      </c>
      <c r="B18" s="247" t="s">
        <v>283</v>
      </c>
      <c r="C18" s="235">
        <v>30</v>
      </c>
      <c r="D18" s="248">
        <v>0.05</v>
      </c>
      <c r="E18" s="249">
        <v>276000</v>
      </c>
      <c r="F18" s="237"/>
      <c r="G18" s="249">
        <f>E18/6</f>
        <v>46000</v>
      </c>
      <c r="H18" s="235"/>
    </row>
    <row r="19" spans="1:9" s="226" customFormat="1" ht="15.75">
      <c r="A19" s="234">
        <v>16</v>
      </c>
      <c r="B19" s="247" t="s">
        <v>284</v>
      </c>
      <c r="C19" s="235">
        <v>30</v>
      </c>
      <c r="D19" s="248">
        <v>0.02</v>
      </c>
      <c r="E19" s="249">
        <v>290000</v>
      </c>
      <c r="F19" s="237"/>
      <c r="G19" s="249">
        <f>E19/6</f>
        <v>48333.333333333336</v>
      </c>
      <c r="H19" s="235"/>
    </row>
    <row r="20" spans="1:9" s="226" customFormat="1" ht="15.75">
      <c r="A20" s="234">
        <v>17</v>
      </c>
      <c r="B20" s="247" t="s">
        <v>285</v>
      </c>
      <c r="C20" s="236">
        <v>30</v>
      </c>
      <c r="D20" s="248">
        <v>0.05</v>
      </c>
      <c r="E20" s="249">
        <v>295000</v>
      </c>
      <c r="F20" s="237"/>
      <c r="G20" s="249">
        <f>E20/6</f>
        <v>49166.666666666664</v>
      </c>
      <c r="H20" s="235"/>
    </row>
    <row r="21" spans="1:9" s="226" customFormat="1" ht="15.75">
      <c r="A21" s="234">
        <v>18</v>
      </c>
      <c r="B21" s="247" t="s">
        <v>286</v>
      </c>
      <c r="C21" s="235">
        <v>37.5</v>
      </c>
      <c r="D21" s="248">
        <v>0.03</v>
      </c>
      <c r="E21" s="249">
        <v>520000</v>
      </c>
      <c r="F21" s="238"/>
      <c r="G21" s="249">
        <f>E21/7.5</f>
        <v>69333.333333333328</v>
      </c>
      <c r="H21" s="236"/>
    </row>
    <row r="22" spans="1:9" s="226" customFormat="1" ht="15.75">
      <c r="A22" s="234">
        <v>19</v>
      </c>
      <c r="B22" s="247" t="s">
        <v>287</v>
      </c>
      <c r="C22" s="235">
        <v>47.5</v>
      </c>
      <c r="D22" s="248">
        <v>0.02</v>
      </c>
      <c r="E22" s="249">
        <v>750000</v>
      </c>
      <c r="F22" s="237"/>
      <c r="G22" s="249">
        <f>E22/9.5</f>
        <v>78947.368421052626</v>
      </c>
      <c r="H22" s="235"/>
    </row>
    <row r="23" spans="1:9" s="226" customFormat="1" ht="15.75">
      <c r="A23" s="234"/>
      <c r="B23" s="239" t="s">
        <v>5</v>
      </c>
      <c r="C23" s="239"/>
      <c r="D23" s="240">
        <f>SUM(D4:D22)</f>
        <v>1.0000000000000002</v>
      </c>
      <c r="E23" s="240"/>
      <c r="F23" s="240"/>
      <c r="G23" s="240"/>
      <c r="H23" s="235"/>
    </row>
    <row r="24" spans="1:9" s="226" customFormat="1" ht="15.75">
      <c r="A24" s="236"/>
      <c r="B24" s="236" t="s">
        <v>288</v>
      </c>
      <c r="C24" s="236"/>
      <c r="D24" s="236"/>
      <c r="E24" s="238"/>
      <c r="F24" s="238"/>
      <c r="G24" s="241">
        <f>H4</f>
        <v>47637.661654135343</v>
      </c>
      <c r="H24" s="236" t="s">
        <v>295</v>
      </c>
      <c r="I24" s="256"/>
    </row>
    <row r="25" spans="1:9" s="226" customFormat="1" ht="15.75">
      <c r="A25" s="242"/>
      <c r="B25" s="239" t="s">
        <v>289</v>
      </c>
      <c r="C25" s="239"/>
      <c r="D25" s="239"/>
      <c r="E25" s="243"/>
      <c r="F25" s="243"/>
      <c r="G25" s="244">
        <f>[3]TMDT!$C$22*0.85*360</f>
        <v>367200</v>
      </c>
      <c r="H25" s="239"/>
    </row>
    <row r="26" spans="1:9" s="226" customFormat="1" ht="15.75">
      <c r="A26" s="236"/>
      <c r="B26" s="235" t="s">
        <v>290</v>
      </c>
      <c r="C26" s="235"/>
      <c r="D26" s="235"/>
      <c r="E26" s="237"/>
      <c r="F26" s="237"/>
      <c r="G26" s="241">
        <f>H4*200</f>
        <v>9527532.3308270685</v>
      </c>
      <c r="H26" s="235"/>
    </row>
    <row r="27" spans="1:9" s="226" customFormat="1" ht="15.75">
      <c r="A27" s="242"/>
      <c r="B27" s="239" t="s">
        <v>291</v>
      </c>
      <c r="C27" s="245">
        <v>0.8</v>
      </c>
      <c r="D27" s="852" t="s">
        <v>292</v>
      </c>
      <c r="E27" s="852"/>
      <c r="F27" s="852"/>
      <c r="G27" s="244">
        <f>$G$26*C27</f>
        <v>7622025.8646616554</v>
      </c>
      <c r="H27" s="239"/>
    </row>
    <row r="28" spans="1:9" s="226" customFormat="1" ht="15.75">
      <c r="A28" s="242"/>
      <c r="B28" s="239" t="s">
        <v>293</v>
      </c>
      <c r="C28" s="245">
        <v>0.8</v>
      </c>
      <c r="D28" s="852" t="s">
        <v>292</v>
      </c>
      <c r="E28" s="852"/>
      <c r="F28" s="852"/>
      <c r="G28" s="246">
        <f>$G$26*C28</f>
        <v>7622025.8646616554</v>
      </c>
      <c r="H28" s="239"/>
    </row>
    <row r="29" spans="1:9" s="226" customFormat="1" ht="15.75">
      <c r="A29" s="242"/>
      <c r="B29" s="239" t="s">
        <v>294</v>
      </c>
      <c r="C29" s="239"/>
      <c r="D29" s="239"/>
      <c r="E29" s="243"/>
      <c r="F29" s="243"/>
      <c r="G29" s="244">
        <f>70%*G27+30%*G28</f>
        <v>7622025.8646616554</v>
      </c>
      <c r="H29" s="239"/>
    </row>
    <row r="31" spans="1:9">
      <c r="G31" s="251">
        <v>1</v>
      </c>
    </row>
    <row r="32" spans="1:9">
      <c r="B32" s="124" t="s">
        <v>391</v>
      </c>
      <c r="D32" s="124">
        <v>9500</v>
      </c>
    </row>
    <row r="34" spans="2:4">
      <c r="B34" s="124" t="s">
        <v>392</v>
      </c>
      <c r="D34" s="124">
        <v>10000</v>
      </c>
    </row>
    <row r="36" spans="2:4">
      <c r="B36" s="124" t="s">
        <v>393</v>
      </c>
      <c r="D36" s="124">
        <v>10000</v>
      </c>
    </row>
    <row r="38" spans="2:4">
      <c r="B38" s="124" t="s">
        <v>394</v>
      </c>
      <c r="D38" s="124">
        <v>12000</v>
      </c>
    </row>
  </sheetData>
  <mergeCells count="3">
    <mergeCell ref="D27:F27"/>
    <mergeCell ref="D28:F28"/>
    <mergeCell ref="A1:J1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selection activeCell="H13" sqref="H13"/>
    </sheetView>
  </sheetViews>
  <sheetFormatPr defaultRowHeight="12.75"/>
  <cols>
    <col min="1" max="1" width="7.140625" customWidth="1"/>
    <col min="2" max="2" width="29.28515625" customWidth="1"/>
    <col min="3" max="3" width="13.7109375" customWidth="1"/>
    <col min="4" max="4" width="13.85546875" customWidth="1"/>
  </cols>
  <sheetData>
    <row r="1" spans="1:9" ht="27.75" customHeight="1">
      <c r="A1" s="854" t="s">
        <v>6</v>
      </c>
      <c r="B1" s="854" t="s">
        <v>69</v>
      </c>
      <c r="C1" s="854" t="s">
        <v>316</v>
      </c>
      <c r="D1" s="854"/>
    </row>
    <row r="2" spans="1:9" ht="22.5" customHeight="1">
      <c r="A2" s="854"/>
      <c r="B2" s="854"/>
      <c r="C2" s="276" t="s">
        <v>317</v>
      </c>
      <c r="D2" s="277" t="s">
        <v>318</v>
      </c>
    </row>
    <row r="3" spans="1:9" ht="20.100000000000001" customHeight="1">
      <c r="A3" s="278">
        <v>1</v>
      </c>
      <c r="B3" s="279" t="s">
        <v>319</v>
      </c>
      <c r="C3" s="280">
        <f>'Thong so - Độ nhậy - Bảng 1'!C15</f>
        <v>51509</v>
      </c>
      <c r="D3" s="281">
        <f>C3/C5</f>
        <v>0.30032826265677021</v>
      </c>
    </row>
    <row r="4" spans="1:9" ht="20.100000000000001" customHeight="1">
      <c r="A4" s="278">
        <v>2</v>
      </c>
      <c r="B4" s="279" t="s">
        <v>120</v>
      </c>
      <c r="C4" s="280">
        <f>'Thong so - Độ nhậy - Bảng 1'!C16</f>
        <v>120000</v>
      </c>
      <c r="D4" s="281">
        <f>C4/C5</f>
        <v>0.69967173734322985</v>
      </c>
    </row>
    <row r="5" spans="1:9" ht="20.100000000000001" customHeight="1">
      <c r="A5" s="282"/>
      <c r="B5" s="283" t="s">
        <v>5</v>
      </c>
      <c r="C5" s="284">
        <f>SUM(C3:C4)</f>
        <v>171509</v>
      </c>
      <c r="D5" s="285">
        <v>1</v>
      </c>
    </row>
    <row r="6" spans="1:9">
      <c r="H6">
        <v>9.5</v>
      </c>
      <c r="I6" s="290">
        <v>35.4</v>
      </c>
    </row>
    <row r="7" spans="1:9">
      <c r="H7">
        <v>5.6</v>
      </c>
      <c r="I7" s="290">
        <v>152</v>
      </c>
    </row>
  </sheetData>
  <mergeCells count="3">
    <mergeCell ref="A1:A2"/>
    <mergeCell ref="B1:B2"/>
    <mergeCell ref="C1:D1"/>
  </mergeCells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G9:G13"/>
  <sheetViews>
    <sheetView workbookViewId="0">
      <selection activeCell="K25" sqref="K25"/>
    </sheetView>
  </sheetViews>
  <sheetFormatPr defaultRowHeight="12.75"/>
  <cols>
    <col min="7" max="7" width="13" customWidth="1"/>
  </cols>
  <sheetData>
    <row r="9" spans="7:7">
      <c r="G9" s="228">
        <v>2078000</v>
      </c>
    </row>
    <row r="10" spans="7:7">
      <c r="G10" s="298">
        <v>0.3</v>
      </c>
    </row>
    <row r="11" spans="7:7">
      <c r="G11" s="299">
        <f>G9*G10</f>
        <v>623400</v>
      </c>
    </row>
    <row r="12" spans="7:7">
      <c r="G12" s="300">
        <f>G9-G11</f>
        <v>1454600</v>
      </c>
    </row>
    <row r="13" spans="7:7">
      <c r="G13" s="227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27"/>
  <sheetViews>
    <sheetView topLeftCell="A4" workbookViewId="0">
      <selection activeCell="J2" sqref="J2:M10"/>
    </sheetView>
  </sheetViews>
  <sheetFormatPr defaultRowHeight="12.75"/>
  <cols>
    <col min="1" max="1" width="7.42578125" customWidth="1"/>
    <col min="2" max="2" width="33.140625" customWidth="1"/>
    <col min="3" max="3" width="8.7109375" customWidth="1"/>
    <col min="4" max="4" width="11.28515625" customWidth="1"/>
    <col min="5" max="5" width="13.42578125" customWidth="1"/>
    <col min="6" max="6" width="12.5703125" customWidth="1"/>
    <col min="7" max="7" width="10" customWidth="1"/>
    <col min="10" max="10" width="7.140625" style="352" customWidth="1"/>
    <col min="11" max="11" width="38.42578125" customWidth="1"/>
    <col min="12" max="12" width="12.42578125" customWidth="1"/>
  </cols>
  <sheetData>
    <row r="1" spans="1:13" ht="16.5">
      <c r="A1" s="851"/>
      <c r="B1" s="851"/>
      <c r="C1" s="851"/>
      <c r="D1" s="851"/>
      <c r="E1" s="851"/>
      <c r="F1" s="851"/>
    </row>
    <row r="2" spans="1:13" ht="42.75" customHeight="1">
      <c r="A2" s="314" t="s">
        <v>6</v>
      </c>
      <c r="B2" s="314" t="s">
        <v>132</v>
      </c>
      <c r="C2" s="314" t="s">
        <v>117</v>
      </c>
      <c r="D2" s="315" t="s">
        <v>200</v>
      </c>
      <c r="E2" s="315" t="s">
        <v>201</v>
      </c>
      <c r="F2" s="315" t="s">
        <v>202</v>
      </c>
      <c r="G2" s="315" t="s">
        <v>13</v>
      </c>
      <c r="J2" s="354" t="s">
        <v>6</v>
      </c>
      <c r="K2" s="354" t="s">
        <v>132</v>
      </c>
      <c r="L2" s="232" t="s">
        <v>363</v>
      </c>
      <c r="M2" s="232" t="s">
        <v>13</v>
      </c>
    </row>
    <row r="3" spans="1:13" ht="16.5">
      <c r="A3" s="347" t="s">
        <v>18</v>
      </c>
      <c r="B3" s="348" t="s">
        <v>204</v>
      </c>
      <c r="C3" s="347"/>
      <c r="D3" s="349"/>
      <c r="E3" s="350"/>
      <c r="F3" s="349">
        <f>F4+F11+F15+F18+F19+F20+F21</f>
        <v>3536.021845238095</v>
      </c>
      <c r="G3" s="351">
        <f>F3/$F$27</f>
        <v>0.63376855647325836</v>
      </c>
      <c r="J3" s="223">
        <v>1</v>
      </c>
      <c r="K3" s="224" t="s">
        <v>360</v>
      </c>
      <c r="L3" s="355">
        <f>F4+F13</f>
        <v>560.64466666666658</v>
      </c>
      <c r="M3" s="356">
        <f>L3/$L$10</f>
        <v>0.10136677181207093</v>
      </c>
    </row>
    <row r="4" spans="1:13" ht="17.25">
      <c r="A4" s="193">
        <v>1</v>
      </c>
      <c r="B4" s="194" t="s">
        <v>205</v>
      </c>
      <c r="C4" s="193"/>
      <c r="D4" s="195"/>
      <c r="E4" s="196"/>
      <c r="F4" s="197">
        <f>SUM(F5:F10)</f>
        <v>538.2446666666666</v>
      </c>
      <c r="G4" s="345">
        <f t="shared" ref="G4:G27" si="0">F4/$F$27</f>
        <v>9.6470712103248951E-2</v>
      </c>
      <c r="J4" s="223">
        <v>2</v>
      </c>
      <c r="K4" s="224" t="s">
        <v>361</v>
      </c>
      <c r="L4" s="355">
        <f>F12+F14</f>
        <v>1008.8000000000001</v>
      </c>
      <c r="M4" s="356">
        <f t="shared" ref="M4:M10" si="1">L4/$L$10</f>
        <v>0.18239502751716272</v>
      </c>
    </row>
    <row r="5" spans="1:13" ht="16.5">
      <c r="A5" s="198" t="s">
        <v>159</v>
      </c>
      <c r="B5" s="199" t="s">
        <v>206</v>
      </c>
      <c r="C5" s="198" t="s">
        <v>185</v>
      </c>
      <c r="D5" s="200">
        <v>420</v>
      </c>
      <c r="E5" s="316">
        <v>0.57299999999999995</v>
      </c>
      <c r="F5" s="202">
        <f t="shared" ref="F5:F10" si="2">E5*D5</f>
        <v>240.65999999999997</v>
      </c>
      <c r="G5" s="345">
        <f t="shared" si="0"/>
        <v>4.31339927965248E-2</v>
      </c>
      <c r="J5" s="223">
        <v>3</v>
      </c>
      <c r="K5" s="224" t="s">
        <v>356</v>
      </c>
      <c r="L5" s="357">
        <f>F15+F19</f>
        <v>1703.5714285714287</v>
      </c>
      <c r="M5" s="356">
        <f t="shared" si="1"/>
        <v>0.30801244804890748</v>
      </c>
    </row>
    <row r="6" spans="1:13" ht="16.5">
      <c r="A6" s="198" t="s">
        <v>162</v>
      </c>
      <c r="B6" s="199" t="s">
        <v>207</v>
      </c>
      <c r="C6" s="198" t="s">
        <v>185</v>
      </c>
      <c r="D6" s="200">
        <v>608</v>
      </c>
      <c r="E6" s="316">
        <v>3.5999999999999997E-2</v>
      </c>
      <c r="F6" s="202">
        <f t="shared" si="2"/>
        <v>21.887999999999998</v>
      </c>
      <c r="G6" s="345">
        <f t="shared" si="0"/>
        <v>3.9230318055777239E-3</v>
      </c>
      <c r="J6" s="223">
        <v>4</v>
      </c>
      <c r="K6" s="224" t="s">
        <v>357</v>
      </c>
      <c r="L6" s="355">
        <f>F18</f>
        <v>214.5</v>
      </c>
      <c r="M6" s="356">
        <f t="shared" si="1"/>
        <v>3.878244786125238E-2</v>
      </c>
    </row>
    <row r="7" spans="1:13" ht="16.5">
      <c r="A7" s="198" t="s">
        <v>164</v>
      </c>
      <c r="B7" s="199" t="s">
        <v>208</v>
      </c>
      <c r="C7" s="198" t="s">
        <v>185</v>
      </c>
      <c r="D7" s="200">
        <v>360</v>
      </c>
      <c r="E7" s="316">
        <v>0.14499999999999999</v>
      </c>
      <c r="F7" s="202">
        <f t="shared" si="2"/>
        <v>52.199999999999996</v>
      </c>
      <c r="G7" s="345">
        <f t="shared" si="0"/>
        <v>9.3559146679073994E-3</v>
      </c>
      <c r="J7" s="223">
        <v>5</v>
      </c>
      <c r="K7" s="224" t="s">
        <v>358</v>
      </c>
      <c r="L7" s="355">
        <f>F22+F23+F24</f>
        <v>680.93322433698506</v>
      </c>
      <c r="M7" s="356">
        <f t="shared" si="1"/>
        <v>0.12311541850742933</v>
      </c>
    </row>
    <row r="8" spans="1:13" ht="16.5">
      <c r="A8" s="198" t="s">
        <v>209</v>
      </c>
      <c r="B8" s="199" t="s">
        <v>210</v>
      </c>
      <c r="C8" s="198" t="s">
        <v>185</v>
      </c>
      <c r="D8" s="200">
        <v>340</v>
      </c>
      <c r="E8" s="316">
        <v>4.2000000000000003E-2</v>
      </c>
      <c r="F8" s="202">
        <f t="shared" si="2"/>
        <v>14.280000000000001</v>
      </c>
      <c r="G8" s="345">
        <f t="shared" si="0"/>
        <v>2.5594341275424846E-3</v>
      </c>
      <c r="J8" s="223">
        <v>6</v>
      </c>
      <c r="K8" s="224" t="s">
        <v>359</v>
      </c>
      <c r="L8" s="355">
        <f>F25</f>
        <v>662.40321369957576</v>
      </c>
      <c r="M8" s="356">
        <f t="shared" si="1"/>
        <v>0.11976511933999913</v>
      </c>
    </row>
    <row r="9" spans="1:13" ht="16.5">
      <c r="A9" s="198" t="s">
        <v>211</v>
      </c>
      <c r="B9" s="199" t="s">
        <v>212</v>
      </c>
      <c r="C9" s="198" t="s">
        <v>185</v>
      </c>
      <c r="D9" s="200">
        <v>4000</v>
      </c>
      <c r="E9" s="316">
        <v>6.9999999999999999E-4</v>
      </c>
      <c r="F9" s="202">
        <f t="shared" si="2"/>
        <v>2.8</v>
      </c>
      <c r="G9" s="345">
        <f t="shared" si="0"/>
        <v>5.0184982892989886E-4</v>
      </c>
      <c r="J9" s="223">
        <v>7</v>
      </c>
      <c r="K9" s="224" t="s">
        <v>355</v>
      </c>
      <c r="L9" s="225">
        <f>F26</f>
        <v>700</v>
      </c>
      <c r="M9" s="356">
        <f t="shared" si="1"/>
        <v>0.12656276691317792</v>
      </c>
    </row>
    <row r="10" spans="1:13" ht="16.5">
      <c r="A10" s="198" t="s">
        <v>213</v>
      </c>
      <c r="B10" s="199" t="s">
        <v>214</v>
      </c>
      <c r="C10" s="198" t="s">
        <v>185</v>
      </c>
      <c r="D10" s="200">
        <v>2500</v>
      </c>
      <c r="E10" s="316">
        <f>0.2477/3</f>
        <v>8.2566666666666663E-2</v>
      </c>
      <c r="F10" s="202">
        <f t="shared" si="2"/>
        <v>206.41666666666666</v>
      </c>
      <c r="G10" s="345">
        <f t="shared" si="0"/>
        <v>3.6996488876766653E-2</v>
      </c>
      <c r="J10" s="855" t="s">
        <v>362</v>
      </c>
      <c r="K10" s="855"/>
      <c r="L10" s="358">
        <f>SUM(L3:L9)</f>
        <v>5530.8525332746567</v>
      </c>
      <c r="M10" s="359">
        <f t="shared" si="1"/>
        <v>1</v>
      </c>
    </row>
    <row r="11" spans="1:13" ht="17.25">
      <c r="A11" s="193">
        <v>2</v>
      </c>
      <c r="B11" s="194" t="s">
        <v>215</v>
      </c>
      <c r="C11" s="193"/>
      <c r="D11" s="195"/>
      <c r="E11" s="318"/>
      <c r="F11" s="197">
        <f>F12+F13</f>
        <v>1031.2</v>
      </c>
      <c r="G11" s="345">
        <f t="shared" si="0"/>
        <v>0.18482412271161133</v>
      </c>
      <c r="J11" s="353"/>
      <c r="K11" s="332"/>
      <c r="L11" s="332"/>
      <c r="M11" s="332"/>
    </row>
    <row r="12" spans="1:13" ht="16.5">
      <c r="A12" s="198" t="s">
        <v>77</v>
      </c>
      <c r="B12" s="199" t="s">
        <v>216</v>
      </c>
      <c r="C12" s="198" t="s">
        <v>185</v>
      </c>
      <c r="D12" s="200">
        <v>5200</v>
      </c>
      <c r="E12" s="316">
        <v>0.19400000000000001</v>
      </c>
      <c r="F12" s="202">
        <f>E12*D12</f>
        <v>1008.8000000000001</v>
      </c>
      <c r="G12" s="345">
        <f t="shared" si="0"/>
        <v>0.18080932408017214</v>
      </c>
    </row>
    <row r="13" spans="1:13" ht="16.5">
      <c r="A13" s="198" t="s">
        <v>85</v>
      </c>
      <c r="B13" s="199" t="s">
        <v>217</v>
      </c>
      <c r="C13" s="198" t="s">
        <v>185</v>
      </c>
      <c r="D13" s="200">
        <v>2800</v>
      </c>
      <c r="E13" s="316">
        <v>8.0000000000000002E-3</v>
      </c>
      <c r="F13" s="202">
        <f>E13*D13</f>
        <v>22.400000000000002</v>
      </c>
      <c r="G13" s="345">
        <f t="shared" si="0"/>
        <v>4.0147986314391917E-3</v>
      </c>
    </row>
    <row r="14" spans="1:13" ht="16.5">
      <c r="A14" s="198" t="s">
        <v>218</v>
      </c>
      <c r="B14" s="199" t="s">
        <v>219</v>
      </c>
      <c r="C14" s="198"/>
      <c r="D14" s="202"/>
      <c r="E14" s="319"/>
      <c r="F14" s="320"/>
      <c r="G14" s="345">
        <f t="shared" si="0"/>
        <v>0</v>
      </c>
    </row>
    <row r="15" spans="1:13" ht="17.25">
      <c r="A15" s="193">
        <v>3</v>
      </c>
      <c r="B15" s="194" t="s">
        <v>220</v>
      </c>
      <c r="C15" s="193"/>
      <c r="D15" s="195"/>
      <c r="E15" s="321"/>
      <c r="F15" s="322">
        <f>F16+F17</f>
        <v>1650</v>
      </c>
      <c r="G15" s="345">
        <f t="shared" si="0"/>
        <v>0.29573293490511898</v>
      </c>
    </row>
    <row r="16" spans="1:13" ht="16.5">
      <c r="A16" s="198" t="s">
        <v>221</v>
      </c>
      <c r="B16" s="199" t="s">
        <v>222</v>
      </c>
      <c r="C16" s="198" t="s">
        <v>223</v>
      </c>
      <c r="D16" s="323">
        <v>7310</v>
      </c>
      <c r="E16" s="324">
        <v>0</v>
      </c>
      <c r="F16" s="325">
        <f>E16*D16</f>
        <v>0</v>
      </c>
      <c r="G16" s="345">
        <f t="shared" si="0"/>
        <v>0</v>
      </c>
    </row>
    <row r="17" spans="1:7" ht="16.5">
      <c r="A17" s="198" t="s">
        <v>224</v>
      </c>
      <c r="B17" s="199" t="s">
        <v>225</v>
      </c>
      <c r="C17" s="198" t="s">
        <v>185</v>
      </c>
      <c r="D17" s="200">
        <v>11000</v>
      </c>
      <c r="E17" s="326">
        <v>0.15</v>
      </c>
      <c r="F17" s="325">
        <f>E17*D17</f>
        <v>1650</v>
      </c>
      <c r="G17" s="345">
        <f t="shared" si="0"/>
        <v>0.29573293490511898</v>
      </c>
    </row>
    <row r="18" spans="1:7" ht="17.25">
      <c r="A18" s="193">
        <v>4</v>
      </c>
      <c r="B18" s="194" t="s">
        <v>226</v>
      </c>
      <c r="C18" s="193" t="s">
        <v>227</v>
      </c>
      <c r="D18" s="197">
        <v>1.65</v>
      </c>
      <c r="E18" s="327">
        <v>130</v>
      </c>
      <c r="F18" s="197">
        <f>E18*D18</f>
        <v>214.5</v>
      </c>
      <c r="G18" s="345">
        <f t="shared" si="0"/>
        <v>3.8445281537665466E-2</v>
      </c>
    </row>
    <row r="19" spans="1:7" ht="17.25">
      <c r="A19" s="193">
        <v>5</v>
      </c>
      <c r="B19" s="194" t="s">
        <v>228</v>
      </c>
      <c r="C19" s="193"/>
      <c r="D19" s="195"/>
      <c r="E19" s="327"/>
      <c r="F19" s="197">
        <f>7500/140</f>
        <v>53.571428571428569</v>
      </c>
      <c r="G19" s="345">
        <f t="shared" si="0"/>
        <v>9.6017186657506165E-3</v>
      </c>
    </row>
    <row r="20" spans="1:7" ht="17.25">
      <c r="A20" s="193">
        <v>6</v>
      </c>
      <c r="B20" s="194" t="s">
        <v>229</v>
      </c>
      <c r="C20" s="193" t="s">
        <v>230</v>
      </c>
      <c r="D20" s="195">
        <f>1.8*223.5</f>
        <v>402.3</v>
      </c>
      <c r="E20" s="327">
        <v>2.5000000000000001E-3</v>
      </c>
      <c r="F20" s="197">
        <f>E20*D20</f>
        <v>1.0057500000000001</v>
      </c>
      <c r="G20" s="345">
        <f t="shared" si="0"/>
        <v>1.802626662308021E-4</v>
      </c>
    </row>
    <row r="21" spans="1:7" ht="17.25">
      <c r="A21" s="193">
        <v>7</v>
      </c>
      <c r="B21" s="194" t="s">
        <v>231</v>
      </c>
      <c r="C21" s="193" t="s">
        <v>232</v>
      </c>
      <c r="D21" s="195">
        <v>95</v>
      </c>
      <c r="E21" s="327">
        <v>0.5</v>
      </c>
      <c r="F21" s="197">
        <f>D21*E21</f>
        <v>47.5</v>
      </c>
      <c r="G21" s="345">
        <f t="shared" si="0"/>
        <v>8.5135238836322128E-3</v>
      </c>
    </row>
    <row r="22" spans="1:7" ht="16.5">
      <c r="A22" s="189" t="s">
        <v>68</v>
      </c>
      <c r="B22" s="190" t="s">
        <v>233</v>
      </c>
      <c r="C22" s="189"/>
      <c r="D22" s="210"/>
      <c r="E22" s="192"/>
      <c r="F22" s="191">
        <f>'[1]Quy luong'!H21/'[1]gia ban'!G25</f>
        <v>329.89090909090908</v>
      </c>
      <c r="G22" s="345">
        <f t="shared" si="0"/>
        <v>5.9127034390286264E-2</v>
      </c>
    </row>
    <row r="23" spans="1:7" ht="16.5">
      <c r="A23" s="189" t="s">
        <v>234</v>
      </c>
      <c r="B23" s="190" t="s">
        <v>128</v>
      </c>
      <c r="C23" s="189"/>
      <c r="D23" s="210"/>
      <c r="E23" s="192"/>
      <c r="F23" s="191">
        <f>'[1]CP SXC'!G16/'[1]gia ban'!G25</f>
        <v>234.67490187709197</v>
      </c>
      <c r="G23" s="345">
        <f t="shared" si="0"/>
        <v>4.2061271200414078E-2</v>
      </c>
    </row>
    <row r="24" spans="1:7" ht="16.5">
      <c r="A24" s="189" t="s">
        <v>236</v>
      </c>
      <c r="B24" s="190" t="s">
        <v>118</v>
      </c>
      <c r="C24" s="189"/>
      <c r="D24" s="210"/>
      <c r="E24" s="192"/>
      <c r="F24" s="191">
        <f>'[1]CP QL'!D17/'[1]gia ban'!G25</f>
        <v>116.36741336898395</v>
      </c>
      <c r="G24" s="345">
        <f t="shared" si="0"/>
        <v>2.0856773747228365E-2</v>
      </c>
    </row>
    <row r="25" spans="1:7" ht="16.5">
      <c r="A25" s="189" t="s">
        <v>237</v>
      </c>
      <c r="B25" s="190" t="s">
        <v>129</v>
      </c>
      <c r="C25" s="189"/>
      <c r="D25" s="210"/>
      <c r="E25" s="192"/>
      <c r="F25" s="191">
        <f>'[1]CP ban hang'!D15/'[1]gia ban'!G25</f>
        <v>662.40321369957576</v>
      </c>
      <c r="G25" s="345">
        <f t="shared" si="0"/>
        <v>0.11872390695633833</v>
      </c>
    </row>
    <row r="26" spans="1:7" ht="16.5">
      <c r="A26" s="189" t="s">
        <v>261</v>
      </c>
      <c r="B26" s="190" t="s">
        <v>355</v>
      </c>
      <c r="C26" s="198"/>
      <c r="D26" s="200"/>
      <c r="E26" s="320"/>
      <c r="F26" s="210">
        <v>700</v>
      </c>
      <c r="G26" s="345">
        <f t="shared" si="0"/>
        <v>0.12546245723247473</v>
      </c>
    </row>
    <row r="27" spans="1:7" ht="16.5">
      <c r="A27" s="211"/>
      <c r="B27" s="328" t="s">
        <v>5</v>
      </c>
      <c r="C27" s="211"/>
      <c r="D27" s="329"/>
      <c r="E27" s="214"/>
      <c r="F27" s="215">
        <f>F3+F22+F23+F24+F25+F26</f>
        <v>5579.3582832746552</v>
      </c>
      <c r="G27" s="346">
        <f t="shared" si="0"/>
        <v>1</v>
      </c>
    </row>
  </sheetData>
  <mergeCells count="2">
    <mergeCell ref="A1:F1"/>
    <mergeCell ref="J10:K10"/>
  </mergeCells>
  <pageMargins left="0.25" right="0.25" top="0.06" bottom="7.0000000000000007E-2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selection activeCell="C14" sqref="C14"/>
    </sheetView>
  </sheetViews>
  <sheetFormatPr defaultRowHeight="12.75"/>
  <cols>
    <col min="1" max="1" width="35.5703125" customWidth="1"/>
    <col min="2" max="2" width="20.5703125" customWidth="1"/>
    <col min="3" max="3" width="21.140625" customWidth="1"/>
    <col min="4" max="4" width="16.28515625" customWidth="1"/>
    <col min="5" max="5" width="22.42578125" customWidth="1"/>
  </cols>
  <sheetData>
    <row r="1" spans="1:5" ht="33" customHeight="1">
      <c r="A1" s="856" t="s">
        <v>364</v>
      </c>
      <c r="B1" s="363" t="s">
        <v>365</v>
      </c>
      <c r="C1" s="856" t="s">
        <v>382</v>
      </c>
      <c r="D1" s="856"/>
      <c r="E1" s="856"/>
    </row>
    <row r="2" spans="1:5" ht="54" customHeight="1">
      <c r="A2" s="856"/>
      <c r="B2" s="363" t="s">
        <v>366</v>
      </c>
      <c r="C2" s="363" t="s">
        <v>367</v>
      </c>
      <c r="D2" s="363" t="s">
        <v>368</v>
      </c>
      <c r="E2" s="363" t="s">
        <v>369</v>
      </c>
    </row>
    <row r="3" spans="1:5" ht="20.100000000000001" customHeight="1">
      <c r="A3" s="364" t="s">
        <v>371</v>
      </c>
      <c r="B3" s="364" t="s">
        <v>377</v>
      </c>
      <c r="C3" s="365"/>
      <c r="D3" s="365"/>
      <c r="E3" s="365"/>
    </row>
    <row r="4" spans="1:5" ht="20.100000000000001" customHeight="1">
      <c r="A4" s="364" t="s">
        <v>372</v>
      </c>
      <c r="B4" s="364" t="s">
        <v>378</v>
      </c>
      <c r="C4" s="365"/>
      <c r="D4" s="365"/>
      <c r="E4" s="365"/>
    </row>
    <row r="5" spans="1:5" ht="20.100000000000001" customHeight="1">
      <c r="A5" s="364" t="s">
        <v>370</v>
      </c>
      <c r="B5" s="364" t="s">
        <v>379</v>
      </c>
      <c r="C5" s="365"/>
      <c r="D5" s="365"/>
      <c r="E5" s="365"/>
    </row>
    <row r="6" spans="1:5" ht="20.100000000000001" customHeight="1">
      <c r="A6" s="364" t="s">
        <v>373</v>
      </c>
      <c r="B6" s="364" t="s">
        <v>380</v>
      </c>
      <c r="C6" s="366"/>
      <c r="D6" s="365"/>
      <c r="E6" s="365"/>
    </row>
    <row r="7" spans="1:5" ht="20.100000000000001" customHeight="1">
      <c r="A7" s="364" t="s">
        <v>374</v>
      </c>
      <c r="B7" s="364" t="s">
        <v>381</v>
      </c>
      <c r="C7" s="367">
        <v>0</v>
      </c>
      <c r="D7" s="368" t="s">
        <v>375</v>
      </c>
      <c r="E7" s="369" t="s">
        <v>376</v>
      </c>
    </row>
  </sheetData>
  <mergeCells count="2">
    <mergeCell ref="A1:A2"/>
    <mergeCell ref="C1:E1"/>
  </mergeCells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92D050"/>
  </sheetPr>
  <dimension ref="A1:P23"/>
  <sheetViews>
    <sheetView workbookViewId="0">
      <selection activeCell="D11" sqref="D11"/>
    </sheetView>
  </sheetViews>
  <sheetFormatPr defaultRowHeight="15"/>
  <cols>
    <col min="1" max="1" width="5.140625" style="709" customWidth="1"/>
    <col min="2" max="2" width="28.28515625" style="707" customWidth="1"/>
    <col min="3" max="3" width="9.85546875" style="707" bestFit="1" customWidth="1"/>
    <col min="4" max="4" width="12.7109375" style="707" customWidth="1"/>
    <col min="5" max="5" width="12" style="707" customWidth="1"/>
    <col min="6" max="6" width="12" style="708" customWidth="1"/>
    <col min="7" max="9" width="12" style="707" customWidth="1"/>
    <col min="10" max="10" width="12.42578125" style="707" customWidth="1"/>
    <col min="11" max="11" width="11.5703125" style="707" bestFit="1" customWidth="1"/>
    <col min="12" max="13" width="9.5703125" style="707" bestFit="1" customWidth="1"/>
    <col min="14" max="14" width="9.42578125" style="707" bestFit="1" customWidth="1"/>
    <col min="15" max="15" width="9.140625" style="707"/>
    <col min="16" max="16" width="9.42578125" style="707" bestFit="1" customWidth="1"/>
    <col min="17" max="16384" width="9.140625" style="707"/>
  </cols>
  <sheetData>
    <row r="1" spans="1:16">
      <c r="A1" s="740"/>
      <c r="B1" s="732"/>
      <c r="C1" s="732"/>
      <c r="D1" s="732"/>
      <c r="E1" s="732"/>
      <c r="F1" s="717"/>
      <c r="G1" s="732"/>
      <c r="H1" s="732"/>
      <c r="I1" s="732"/>
      <c r="J1" s="732"/>
    </row>
    <row r="2" spans="1:16" ht="18.75">
      <c r="A2" s="783" t="s">
        <v>611</v>
      </c>
      <c r="B2" s="783"/>
      <c r="C2" s="783"/>
      <c r="D2" s="783"/>
      <c r="E2" s="783"/>
      <c r="F2" s="783"/>
      <c r="G2" s="783"/>
      <c r="H2" s="783"/>
      <c r="I2" s="783"/>
      <c r="J2" s="783"/>
    </row>
    <row r="3" spans="1:16">
      <c r="A3" s="740"/>
      <c r="B3" s="732"/>
      <c r="C3" s="732"/>
      <c r="D3" s="732"/>
      <c r="E3" s="732"/>
      <c r="F3" s="717"/>
      <c r="G3" s="732"/>
      <c r="H3" s="732"/>
      <c r="I3" s="732"/>
      <c r="J3" s="732"/>
    </row>
    <row r="4" spans="1:16">
      <c r="A4" s="740"/>
      <c r="B4" s="732"/>
      <c r="C4" s="732"/>
      <c r="D4" s="732"/>
      <c r="E4" s="732"/>
      <c r="F4" s="717"/>
      <c r="G4" s="732"/>
      <c r="H4" s="732"/>
      <c r="I4" s="732"/>
      <c r="J4" s="732"/>
    </row>
    <row r="5" spans="1:16" s="732" customFormat="1" ht="20.100000000000001" customHeight="1">
      <c r="A5" s="860" t="s">
        <v>6</v>
      </c>
      <c r="B5" s="860" t="s">
        <v>411</v>
      </c>
      <c r="C5" s="860" t="s">
        <v>412</v>
      </c>
      <c r="D5" s="859" t="s">
        <v>413</v>
      </c>
      <c r="E5" s="859"/>
      <c r="F5" s="859"/>
      <c r="G5" s="859"/>
      <c r="H5" s="859"/>
      <c r="I5" s="859"/>
      <c r="J5" s="860" t="s">
        <v>5</v>
      </c>
    </row>
    <row r="6" spans="1:16" s="732" customFormat="1" ht="28.5">
      <c r="A6" s="861"/>
      <c r="B6" s="861"/>
      <c r="C6" s="861"/>
      <c r="D6" s="496" t="s">
        <v>535</v>
      </c>
      <c r="E6" s="496" t="s">
        <v>534</v>
      </c>
      <c r="F6" s="496" t="s">
        <v>533</v>
      </c>
      <c r="G6" s="496" t="s">
        <v>532</v>
      </c>
      <c r="H6" s="496" t="s">
        <v>531</v>
      </c>
      <c r="I6" s="496" t="s">
        <v>530</v>
      </c>
      <c r="J6" s="861"/>
    </row>
    <row r="7" spans="1:16" s="717" customFormat="1" ht="20.100000000000001" customHeight="1">
      <c r="A7" s="723">
        <v>1</v>
      </c>
      <c r="B7" s="722" t="s">
        <v>415</v>
      </c>
      <c r="C7" s="739">
        <f>C8</f>
        <v>171508.58001652753</v>
      </c>
      <c r="D7" s="722"/>
      <c r="E7" s="722"/>
      <c r="F7" s="722"/>
      <c r="G7" s="735"/>
      <c r="H7" s="735"/>
      <c r="I7" s="722"/>
      <c r="J7" s="722"/>
    </row>
    <row r="8" spans="1:16" s="717" customFormat="1" ht="20.100000000000001" customHeight="1">
      <c r="A8" s="723">
        <v>2</v>
      </c>
      <c r="B8" s="722" t="s">
        <v>414</v>
      </c>
      <c r="C8" s="739">
        <f>C9+C10</f>
        <v>171508.58001652753</v>
      </c>
      <c r="D8" s="722"/>
      <c r="E8" s="722"/>
      <c r="F8" s="722"/>
      <c r="G8" s="735"/>
      <c r="H8" s="735"/>
      <c r="I8" s="722"/>
      <c r="J8" s="722"/>
    </row>
    <row r="9" spans="1:16" s="732" customFormat="1" ht="20.100000000000001" customHeight="1">
      <c r="A9" s="738"/>
      <c r="B9" s="737" t="s">
        <v>529</v>
      </c>
      <c r="C9" s="736">
        <f>'[4]Thông số-Bảng 2'!F6-'Lãi vay thi công'!C10</f>
        <v>51508.580016527529</v>
      </c>
      <c r="D9" s="735"/>
      <c r="E9" s="735"/>
      <c r="F9" s="722"/>
      <c r="G9" s="735"/>
      <c r="H9" s="735"/>
      <c r="I9" s="735"/>
      <c r="J9" s="735"/>
    </row>
    <row r="10" spans="1:16" s="732" customFormat="1" ht="20.100000000000001" customHeight="1">
      <c r="A10" s="738"/>
      <c r="B10" s="737" t="s">
        <v>528</v>
      </c>
      <c r="C10" s="736">
        <f>J14</f>
        <v>120000</v>
      </c>
      <c r="D10" s="735"/>
      <c r="E10" s="735"/>
      <c r="F10" s="722"/>
      <c r="G10" s="735"/>
      <c r="H10" s="735"/>
      <c r="I10" s="735"/>
      <c r="J10" s="735"/>
      <c r="K10" s="734">
        <v>171509</v>
      </c>
      <c r="L10" s="733"/>
      <c r="M10" s="733"/>
      <c r="N10" s="733"/>
      <c r="O10" s="733"/>
      <c r="P10" s="733"/>
    </row>
    <row r="11" spans="1:16" s="717" customFormat="1" ht="20.100000000000001" customHeight="1">
      <c r="A11" s="723">
        <v>3</v>
      </c>
      <c r="B11" s="722" t="s">
        <v>416</v>
      </c>
      <c r="C11" s="723"/>
      <c r="D11" s="727">
        <f t="shared" ref="D11:I11" si="0">D12+D14</f>
        <v>113200</v>
      </c>
      <c r="E11" s="727">
        <f t="shared" si="0"/>
        <v>40450</v>
      </c>
      <c r="F11" s="727">
        <f t="shared" si="0"/>
        <v>820</v>
      </c>
      <c r="G11" s="727">
        <f t="shared" si="0"/>
        <v>0</v>
      </c>
      <c r="H11" s="727">
        <f t="shared" si="0"/>
        <v>0</v>
      </c>
      <c r="I11" s="727">
        <f t="shared" si="0"/>
        <v>17039</v>
      </c>
      <c r="J11" s="720">
        <f>SUM(D11:I11)</f>
        <v>171509</v>
      </c>
      <c r="K11" s="862" t="s">
        <v>527</v>
      </c>
      <c r="L11" s="863"/>
      <c r="M11" s="863"/>
      <c r="N11" s="863"/>
      <c r="O11" s="863"/>
      <c r="P11" s="863"/>
    </row>
    <row r="12" spans="1:16" s="717" customFormat="1">
      <c r="A12" s="723">
        <v>4</v>
      </c>
      <c r="B12" s="722" t="s">
        <v>417</v>
      </c>
      <c r="C12" s="722"/>
      <c r="D12" s="720">
        <v>34000</v>
      </c>
      <c r="E12" s="720">
        <v>12150</v>
      </c>
      <c r="F12" s="720">
        <v>250</v>
      </c>
      <c r="G12" s="721">
        <v>0</v>
      </c>
      <c r="H12" s="721">
        <v>0</v>
      </c>
      <c r="I12" s="720">
        <v>5109</v>
      </c>
      <c r="J12" s="720">
        <f>SUM(D12:I12)</f>
        <v>51509</v>
      </c>
      <c r="K12" s="731">
        <f>D12/D11</f>
        <v>0.30035335689045939</v>
      </c>
      <c r="L12" s="731">
        <f>E12/E11</f>
        <v>0.30037082818294192</v>
      </c>
      <c r="M12" s="731">
        <f>F12/F11</f>
        <v>0.3048780487804878</v>
      </c>
      <c r="N12" s="731">
        <f>I12/I11</f>
        <v>0.29984153999647867</v>
      </c>
      <c r="O12" s="731"/>
      <c r="P12" s="718"/>
    </row>
    <row r="13" spans="1:16" s="717" customFormat="1" ht="18.75" customHeight="1">
      <c r="A13" s="723">
        <v>4</v>
      </c>
      <c r="B13" s="722" t="s">
        <v>418</v>
      </c>
      <c r="C13" s="722"/>
      <c r="D13" s="730">
        <f>D14/$J$14</f>
        <v>0.66</v>
      </c>
      <c r="E13" s="730">
        <f>E14/$J$14</f>
        <v>0.23583333333333334</v>
      </c>
      <c r="F13" s="730">
        <f>F14/$J$14</f>
        <v>4.7499999999999999E-3</v>
      </c>
      <c r="G13" s="721">
        <v>0</v>
      </c>
      <c r="H13" s="721">
        <v>0</v>
      </c>
      <c r="I13" s="730">
        <f>I14/$J$14</f>
        <v>9.9416666666666667E-2</v>
      </c>
      <c r="J13" s="729">
        <f>SUM(D13:I13)</f>
        <v>1</v>
      </c>
      <c r="K13" s="718"/>
      <c r="L13" s="718"/>
      <c r="M13" s="718"/>
      <c r="N13" s="718"/>
      <c r="O13" s="718"/>
      <c r="P13" s="718"/>
    </row>
    <row r="14" spans="1:16" s="717" customFormat="1" ht="20.100000000000001" customHeight="1">
      <c r="A14" s="723">
        <v>5</v>
      </c>
      <c r="B14" s="722" t="s">
        <v>419</v>
      </c>
      <c r="C14" s="722"/>
      <c r="D14" s="727">
        <v>79200</v>
      </c>
      <c r="E14" s="727">
        <v>28300</v>
      </c>
      <c r="F14" s="727">
        <v>570</v>
      </c>
      <c r="G14" s="727">
        <v>0</v>
      </c>
      <c r="H14" s="728">
        <v>0</v>
      </c>
      <c r="I14" s="727">
        <v>11930</v>
      </c>
      <c r="J14" s="720">
        <f>SUM(D14:I14)</f>
        <v>120000</v>
      </c>
      <c r="K14" s="726"/>
      <c r="L14" s="725"/>
      <c r="M14" s="718"/>
      <c r="N14" s="718"/>
      <c r="O14" s="718"/>
      <c r="P14" s="718"/>
    </row>
    <row r="15" spans="1:16" s="717" customFormat="1" ht="21" customHeight="1">
      <c r="A15" s="723">
        <v>6</v>
      </c>
      <c r="B15" s="722" t="s">
        <v>526</v>
      </c>
      <c r="C15" s="722"/>
      <c r="D15" s="724">
        <f>'[4]Thông số-Bảng 2'!$F$21/4</f>
        <v>2.5000000000000001E-2</v>
      </c>
      <c r="E15" s="724">
        <f>'[4]Thông số-Bảng 2'!$F$21/4</f>
        <v>2.5000000000000001E-2</v>
      </c>
      <c r="F15" s="724">
        <f>'[4]Thông số-Bảng 2'!$F$21/4</f>
        <v>2.5000000000000001E-2</v>
      </c>
      <c r="G15" s="724">
        <f>'[4]Thông số-Bảng 2'!$F$21/4</f>
        <v>2.5000000000000001E-2</v>
      </c>
      <c r="H15" s="724">
        <f>'[4]Thông số-Bảng 2'!$F$21/4</f>
        <v>2.5000000000000001E-2</v>
      </c>
      <c r="I15" s="724">
        <f>'[4]Thông số-Bảng 2'!$F$21/4</f>
        <v>2.5000000000000001E-2</v>
      </c>
      <c r="J15" s="722"/>
      <c r="K15" s="718"/>
      <c r="L15" s="718"/>
      <c r="M15" s="718"/>
      <c r="N15" s="718"/>
      <c r="O15" s="718"/>
      <c r="P15" s="718"/>
    </row>
    <row r="16" spans="1:16" s="717" customFormat="1" ht="20.100000000000001" customHeight="1">
      <c r="A16" s="723"/>
      <c r="B16" s="722" t="s">
        <v>420</v>
      </c>
      <c r="C16" s="722"/>
      <c r="D16" s="720">
        <f>D15*D14</f>
        <v>1980</v>
      </c>
      <c r="E16" s="720">
        <f>(D14+E14)*E15</f>
        <v>2687.5</v>
      </c>
      <c r="F16" s="720">
        <f>(D14+E14+F14)*F15</f>
        <v>2701.75</v>
      </c>
      <c r="G16" s="720">
        <f>(D14+E14+F14+G14)*G15</f>
        <v>2701.75</v>
      </c>
      <c r="H16" s="720">
        <f>(D14+E14+H14+F14+G14)*H15</f>
        <v>2701.75</v>
      </c>
      <c r="I16" s="720">
        <f>(D14+E14+F14+I14+G14+H14)*I15</f>
        <v>3000</v>
      </c>
      <c r="J16" s="720">
        <f>SUM(D16:I16)</f>
        <v>15772.75</v>
      </c>
      <c r="K16" s="719">
        <v>15733</v>
      </c>
      <c r="L16" s="718"/>
      <c r="M16" s="718"/>
      <c r="N16" s="718"/>
      <c r="O16" s="718"/>
      <c r="P16" s="718"/>
    </row>
    <row r="17" spans="1:16">
      <c r="K17" s="716"/>
      <c r="L17" s="716"/>
      <c r="M17" s="716"/>
      <c r="N17" s="716"/>
      <c r="O17" s="716"/>
      <c r="P17" s="716"/>
    </row>
    <row r="18" spans="1:16" s="714" customFormat="1">
      <c r="A18" s="715"/>
      <c r="B18" s="858"/>
      <c r="C18" s="858"/>
      <c r="D18" s="864"/>
      <c r="E18" s="864"/>
      <c r="F18" s="864"/>
      <c r="G18" s="864"/>
      <c r="H18" s="864"/>
      <c r="I18" s="864"/>
      <c r="J18" s="864"/>
    </row>
    <row r="19" spans="1:16">
      <c r="H19" s="713"/>
      <c r="K19" s="710"/>
    </row>
    <row r="22" spans="1:16" s="711" customFormat="1" ht="15" customHeight="1">
      <c r="A22" s="712"/>
      <c r="B22" s="857"/>
      <c r="C22" s="857"/>
      <c r="D22" s="857"/>
      <c r="E22" s="857"/>
      <c r="F22" s="857"/>
    </row>
    <row r="23" spans="1:16">
      <c r="H23" s="710"/>
      <c r="I23" s="710"/>
    </row>
  </sheetData>
  <mergeCells count="12">
    <mergeCell ref="K11:P11"/>
    <mergeCell ref="B5:B6"/>
    <mergeCell ref="C5:C6"/>
    <mergeCell ref="J5:J6"/>
    <mergeCell ref="D18:F18"/>
    <mergeCell ref="G18:J18"/>
    <mergeCell ref="B22:C22"/>
    <mergeCell ref="D22:F22"/>
    <mergeCell ref="B18:C18"/>
    <mergeCell ref="D5:I5"/>
    <mergeCell ref="A5:A6"/>
    <mergeCell ref="A2:J2"/>
  </mergeCells>
  <pageMargins left="0.31496062992125984" right="0.31496062992125984" top="0.74803149606299213" bottom="0.74803149606299213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</vt:i4>
      </vt:variant>
    </vt:vector>
  </HeadingPairs>
  <TitlesOfParts>
    <vt:vector size="33" baseType="lpstr">
      <vt:lpstr>KQKD- Bảng 4  (2)</vt:lpstr>
      <vt:lpstr>Thông tin giả định</vt:lpstr>
      <vt:lpstr>Thong so - Độ nhậy - Bảng 1</vt:lpstr>
      <vt:lpstr>Tổng mức đầu tư-Bảng 2</vt:lpstr>
      <vt:lpstr>Khấu hao- Bảng 3</vt:lpstr>
      <vt:lpstr>KQKD- Bảng 4 </vt:lpstr>
      <vt:lpstr>KH trả nợ-Bảng 5</vt:lpstr>
      <vt:lpstr>VLD- Bảng 6</vt:lpstr>
      <vt:lpstr>NPV (Tong dau tu) -Bảng 7</vt:lpstr>
      <vt:lpstr>NPV - CĐT</vt:lpstr>
      <vt:lpstr>CP SXC -Bảng 9</vt:lpstr>
      <vt:lpstr>Bảng 10 -CP Quản lý</vt:lpstr>
      <vt:lpstr>Bảng 11-CP Bán hàng</vt:lpstr>
      <vt:lpstr>Bảng 12-Quỹ lương</vt:lpstr>
      <vt:lpstr>Bảng 13 - CP Kính trắng</vt:lpstr>
      <vt:lpstr>Bảng 14 -CP Kính màu</vt:lpstr>
      <vt:lpstr>Bảng 15 -Giá bán</vt:lpstr>
      <vt:lpstr>Sheet1</vt:lpstr>
      <vt:lpstr>Sheet2</vt:lpstr>
      <vt:lpstr>Sheet3</vt:lpstr>
      <vt:lpstr>Sheet4</vt:lpstr>
      <vt:lpstr>Lãi vay thi công</vt:lpstr>
      <vt:lpstr>'KH trả nợ-Bảng 5'!Print_Area</vt:lpstr>
      <vt:lpstr>'NPV - CĐT'!Print_Area</vt:lpstr>
      <vt:lpstr>'NPV (Tong dau tu) -Bảng 7'!Print_Area</vt:lpstr>
      <vt:lpstr>'Thong so - Độ nhậy - Bảng 1'!Print_Area</vt:lpstr>
      <vt:lpstr>'VLD- Bảng 6'!Print_Area</vt:lpstr>
      <vt:lpstr>'KH trả nợ-Bảng 5'!Print_Titles</vt:lpstr>
      <vt:lpstr>'Khấu hao- Bảng 3'!Print_Titles</vt:lpstr>
      <vt:lpstr>'KQKD- Bảng 4 '!Print_Titles</vt:lpstr>
      <vt:lpstr>'KQKD- Bảng 4  (2)'!Print_Titles</vt:lpstr>
      <vt:lpstr>'NPV - CĐT'!Print_Titles</vt:lpstr>
      <vt:lpstr>'NPV (Tong dau tu) -Bảng 7'!Print_Titles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GhostViet</dc:creator>
  <cp:lastModifiedBy>Hoang Thach</cp:lastModifiedBy>
  <cp:lastPrinted>2017-09-22T09:36:28Z</cp:lastPrinted>
  <dcterms:created xsi:type="dcterms:W3CDTF">2014-12-04T17:02:19Z</dcterms:created>
  <dcterms:modified xsi:type="dcterms:W3CDTF">2019-07-15T12:42:30Z</dcterms:modified>
</cp:coreProperties>
</file>