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20" windowWidth="15480" windowHeight="7935" tabRatio="933"/>
  </bookViews>
  <sheets>
    <sheet name="Thong so - Độ nhậy - Bảng 1" sheetId="1" r:id="rId1"/>
    <sheet name="Tổng mức đầu tư" sheetId="16" r:id="rId2"/>
    <sheet name="Khấu hao- Bảng 3" sheetId="3" r:id="rId3"/>
    <sheet name="KQKD- Bảng 4" sheetId="4" r:id="rId4"/>
    <sheet name="KH trả nợ-Bảng 5" sheetId="5" r:id="rId5"/>
    <sheet name="VLD- Bảng 6" sheetId="6" r:id="rId6"/>
    <sheet name="NPV (Tong dau tu) -Bảng 7" sheetId="7" r:id="rId7"/>
    <sheet name="NPV - CĐT" sheetId="8" state="hidden" r:id="rId8"/>
    <sheet name="CP SXC -Bảng 9" sheetId="15" state="hidden" r:id="rId9"/>
    <sheet name="Bảng 10 -CP Quản lý" sheetId="10" state="hidden" r:id="rId10"/>
    <sheet name="Bảng 11-CP Bán hàng" sheetId="11" state="hidden" r:id="rId11"/>
    <sheet name="Bảng 12-Quỹ lương" sheetId="12" state="hidden" r:id="rId12"/>
    <sheet name="Bảng 13 - CP Kính trắng" sheetId="13" state="hidden" r:id="rId13"/>
    <sheet name="Bảng 14 -CP Kính màu" sheetId="14" state="hidden" r:id="rId14"/>
    <sheet name="Bảng 15 -Giá bán" sheetId="18" state="hidden" r:id="rId15"/>
    <sheet name="Sheet1" sheetId="19" state="hidden" r:id="rId16"/>
    <sheet name="Sheet2" sheetId="20" state="hidden" r:id="rId17"/>
    <sheet name="Sheet3" sheetId="21" state="hidden" r:id="rId18"/>
    <sheet name="Sheet4" sheetId="22" state="hidden" r:id="rId19"/>
    <sheet name="Sheet5" sheetId="23" r:id="rId20"/>
  </sheets>
  <externalReferences>
    <externalReference r:id="rId21"/>
    <externalReference r:id="rId22"/>
    <externalReference r:id="rId23"/>
    <externalReference r:id="rId24"/>
  </externalReferences>
  <definedNames>
    <definedName name="_xlnm.Print_Area" localSheetId="4">'KH trả nợ-Bảng 5'!$A$2:$L$18</definedName>
    <definedName name="_xlnm.Print_Area" localSheetId="3">'KQKD- Bảng 4'!$A$1:$M$31</definedName>
    <definedName name="_xlnm.Print_Area" localSheetId="7">'NPV - CĐT'!$B$1:$O$22</definedName>
    <definedName name="_xlnm.Print_Area" localSheetId="6">'NPV (Tong dau tu) -Bảng 7'!$A$1:$O$23</definedName>
    <definedName name="_xlnm.Print_Area" localSheetId="0">'Thong so - Độ nhậy - Bảng 1'!$A$1:$O$38</definedName>
    <definedName name="_xlnm.Print_Area" localSheetId="5">'VLD- Bảng 6'!$A$2:$M$18</definedName>
    <definedName name="_xlnm.Print_Titles" localSheetId="4">'KH trả nợ-Bảng 5'!$A:$B,'KH trả nợ-Bảng 5'!$3:$4</definedName>
    <definedName name="_xlnm.Print_Titles" localSheetId="2">'Khấu hao- Bảng 3'!$A:$B</definedName>
    <definedName name="_xlnm.Print_Titles" localSheetId="3">'KQKD- Bảng 4'!$A:$B,'KQKD- Bảng 4'!$3:$5</definedName>
    <definedName name="_xlnm.Print_Titles" localSheetId="7">'NPV - CĐT'!$B:$C,'NPV - CĐT'!$3:$4</definedName>
    <definedName name="_xlnm.Print_Titles" localSheetId="6">'NPV (Tong dau tu) -Bảng 7'!$A:$B,'NPV (Tong dau tu) -Bảng 7'!$3:$4</definedName>
  </definedNames>
  <calcPr calcId="125725" fullCalcOnLoad="1"/>
</workbook>
</file>

<file path=xl/calcChain.xml><?xml version="1.0" encoding="utf-8"?>
<calcChain xmlns="http://schemas.openxmlformats.org/spreadsheetml/2006/main">
  <c r="N14" i="1"/>
  <c r="F18" i="23"/>
  <c r="G18"/>
  <c r="D18"/>
  <c r="J14"/>
  <c r="J13"/>
  <c r="E15"/>
  <c r="F15"/>
  <c r="G15"/>
  <c r="H15"/>
  <c r="H18"/>
  <c r="I15"/>
  <c r="I18"/>
  <c r="D15"/>
  <c r="D17" i="7"/>
  <c r="C17"/>
  <c r="C18"/>
  <c r="I8" i="1"/>
  <c r="Y7" i="4" s="1"/>
  <c r="I20" i="1"/>
  <c r="I19"/>
  <c r="I18"/>
  <c r="S28" i="4"/>
  <c r="T28"/>
  <c r="U28"/>
  <c r="V28"/>
  <c r="W28"/>
  <c r="X28"/>
  <c r="Y28"/>
  <c r="Z28"/>
  <c r="AA28"/>
  <c r="AB28"/>
  <c r="N16" i="1"/>
  <c r="C9" i="3"/>
  <c r="B9"/>
  <c r="C8"/>
  <c r="B8"/>
  <c r="C7"/>
  <c r="B7"/>
  <c r="E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B5"/>
  <c r="G41" i="16"/>
  <c r="H41"/>
  <c r="F41"/>
  <c r="J41"/>
  <c r="K41"/>
  <c r="D41"/>
  <c r="J40"/>
  <c r="K40"/>
  <c r="G40"/>
  <c r="H40"/>
  <c r="D40"/>
  <c r="C40"/>
  <c r="G39"/>
  <c r="F39"/>
  <c r="J39"/>
  <c r="H39"/>
  <c r="D39"/>
  <c r="C39"/>
  <c r="G38"/>
  <c r="F38"/>
  <c r="J38"/>
  <c r="K38"/>
  <c r="D38"/>
  <c r="G37"/>
  <c r="F37"/>
  <c r="H37"/>
  <c r="D37"/>
  <c r="C37"/>
  <c r="G36"/>
  <c r="F36"/>
  <c r="D36"/>
  <c r="C36"/>
  <c r="G35"/>
  <c r="D35"/>
  <c r="G34"/>
  <c r="D34"/>
  <c r="G33"/>
  <c r="C33"/>
  <c r="H33"/>
  <c r="D33"/>
  <c r="G32"/>
  <c r="C32"/>
  <c r="H32"/>
  <c r="D32"/>
  <c r="F31"/>
  <c r="E31"/>
  <c r="G30"/>
  <c r="H30"/>
  <c r="D30"/>
  <c r="G29"/>
  <c r="D29"/>
  <c r="G28"/>
  <c r="D28"/>
  <c r="G27"/>
  <c r="D27"/>
  <c r="G26"/>
  <c r="D26"/>
  <c r="G25"/>
  <c r="C25"/>
  <c r="D25"/>
  <c r="F24"/>
  <c r="F23"/>
  <c r="F6"/>
  <c r="E24"/>
  <c r="G22"/>
  <c r="C22"/>
  <c r="D22"/>
  <c r="G21"/>
  <c r="C21"/>
  <c r="D21"/>
  <c r="G20"/>
  <c r="C20"/>
  <c r="H20"/>
  <c r="D20"/>
  <c r="G19"/>
  <c r="H19"/>
  <c r="D19"/>
  <c r="G18"/>
  <c r="D18"/>
  <c r="G17"/>
  <c r="H17"/>
  <c r="D17"/>
  <c r="G16"/>
  <c r="C16"/>
  <c r="H16"/>
  <c r="D16"/>
  <c r="G15"/>
  <c r="H15"/>
  <c r="D15"/>
  <c r="F14"/>
  <c r="E14"/>
  <c r="G14"/>
  <c r="C14"/>
  <c r="G13"/>
  <c r="C13"/>
  <c r="H13"/>
  <c r="D13"/>
  <c r="G12"/>
  <c r="D12"/>
  <c r="G11"/>
  <c r="D11"/>
  <c r="G10"/>
  <c r="D10"/>
  <c r="G9"/>
  <c r="C9"/>
  <c r="H9"/>
  <c r="D9"/>
  <c r="G8"/>
  <c r="H8"/>
  <c r="D8"/>
  <c r="F7"/>
  <c r="E7"/>
  <c r="D7"/>
  <c r="I30" i="1"/>
  <c r="I29"/>
  <c r="I28"/>
  <c r="I27"/>
  <c r="I26"/>
  <c r="I25"/>
  <c r="I24"/>
  <c r="I23"/>
  <c r="F6" i="3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2"/>
  <c r="R28" i="4"/>
  <c r="Q28"/>
  <c r="AC6" i="3"/>
  <c r="H14" i="16"/>
  <c r="D14"/>
  <c r="J36"/>
  <c r="K36"/>
  <c r="J37"/>
  <c r="K37"/>
  <c r="C38"/>
  <c r="K39"/>
  <c r="C41"/>
  <c r="I17" i="1"/>
  <c r="C14"/>
  <c r="E14"/>
  <c r="C13"/>
  <c r="D13"/>
  <c r="E13"/>
  <c r="C12"/>
  <c r="C11"/>
  <c r="D11"/>
  <c r="C10"/>
  <c r="D10"/>
  <c r="E10"/>
  <c r="C9"/>
  <c r="D9"/>
  <c r="C8"/>
  <c r="D8"/>
  <c r="C7"/>
  <c r="D7"/>
  <c r="D36" i="7"/>
  <c r="D37"/>
  <c r="F5" i="21"/>
  <c r="F6"/>
  <c r="F7"/>
  <c r="F8"/>
  <c r="F9"/>
  <c r="L9"/>
  <c r="E10"/>
  <c r="F10"/>
  <c r="F12"/>
  <c r="F13"/>
  <c r="F16"/>
  <c r="F17"/>
  <c r="F18"/>
  <c r="F19"/>
  <c r="D20"/>
  <c r="F20"/>
  <c r="F21"/>
  <c r="F22"/>
  <c r="F23"/>
  <c r="L7"/>
  <c r="F24"/>
  <c r="F25"/>
  <c r="G11" i="20"/>
  <c r="G12"/>
  <c r="G5" i="18"/>
  <c r="I5"/>
  <c r="L5"/>
  <c r="M5"/>
  <c r="F6"/>
  <c r="G6"/>
  <c r="L6"/>
  <c r="M6"/>
  <c r="F7"/>
  <c r="G7"/>
  <c r="L7"/>
  <c r="M7"/>
  <c r="F8"/>
  <c r="G8"/>
  <c r="L8"/>
  <c r="M8"/>
  <c r="G9"/>
  <c r="L9"/>
  <c r="M9"/>
  <c r="G10"/>
  <c r="L10"/>
  <c r="M10"/>
  <c r="G11"/>
  <c r="L11"/>
  <c r="M11"/>
  <c r="G12"/>
  <c r="L12"/>
  <c r="M12"/>
  <c r="F13"/>
  <c r="G13"/>
  <c r="L13"/>
  <c r="M13"/>
  <c r="G14"/>
  <c r="L14"/>
  <c r="M14"/>
  <c r="G15"/>
  <c r="F16"/>
  <c r="G16"/>
  <c r="G17"/>
  <c r="G18"/>
  <c r="G19"/>
  <c r="G20"/>
  <c r="G21"/>
  <c r="G22"/>
  <c r="D23"/>
  <c r="G25"/>
  <c r="D7" i="14"/>
  <c r="E7"/>
  <c r="D8"/>
  <c r="E8"/>
  <c r="D9"/>
  <c r="E9"/>
  <c r="D10"/>
  <c r="E10"/>
  <c r="D11"/>
  <c r="E11"/>
  <c r="D12"/>
  <c r="E12"/>
  <c r="F12"/>
  <c r="G12"/>
  <c r="D14"/>
  <c r="E14"/>
  <c r="D15"/>
  <c r="E15"/>
  <c r="F15"/>
  <c r="G15"/>
  <c r="F16"/>
  <c r="G16"/>
  <c r="E18"/>
  <c r="F18"/>
  <c r="E19"/>
  <c r="F19"/>
  <c r="G19"/>
  <c r="E20"/>
  <c r="F20"/>
  <c r="G20"/>
  <c r="F21"/>
  <c r="G21"/>
  <c r="D22"/>
  <c r="E22"/>
  <c r="E23"/>
  <c r="F23"/>
  <c r="G23"/>
  <c r="F24"/>
  <c r="G24"/>
  <c r="F25"/>
  <c r="G25"/>
  <c r="F27"/>
  <c r="G27"/>
  <c r="F28"/>
  <c r="G28"/>
  <c r="F6" i="13"/>
  <c r="F7"/>
  <c r="G7"/>
  <c r="F8"/>
  <c r="G8"/>
  <c r="F9"/>
  <c r="G9"/>
  <c r="F10"/>
  <c r="G10"/>
  <c r="E11"/>
  <c r="F11"/>
  <c r="G11"/>
  <c r="F13"/>
  <c r="F14"/>
  <c r="G14"/>
  <c r="G15"/>
  <c r="F17"/>
  <c r="G17"/>
  <c r="F18"/>
  <c r="F16"/>
  <c r="G16"/>
  <c r="G18"/>
  <c r="F19"/>
  <c r="G19"/>
  <c r="F20"/>
  <c r="G20"/>
  <c r="D21"/>
  <c r="F21"/>
  <c r="G21"/>
  <c r="F22"/>
  <c r="G22"/>
  <c r="F23"/>
  <c r="G23"/>
  <c r="F24"/>
  <c r="G24"/>
  <c r="F26"/>
  <c r="G26"/>
  <c r="F27"/>
  <c r="G27"/>
  <c r="G28"/>
  <c r="D4" i="12"/>
  <c r="H4"/>
  <c r="H7"/>
  <c r="E4"/>
  <c r="F4"/>
  <c r="H6"/>
  <c r="H16"/>
  <c r="H9"/>
  <c r="E5" i="11"/>
  <c r="E4"/>
  <c r="E6"/>
  <c r="E7"/>
  <c r="E8"/>
  <c r="E9"/>
  <c r="E10"/>
  <c r="E11"/>
  <c r="D5" i="10"/>
  <c r="D6"/>
  <c r="D7"/>
  <c r="D8"/>
  <c r="D17"/>
  <c r="I4" i="12"/>
  <c r="D9" i="10"/>
  <c r="D11"/>
  <c r="D12"/>
  <c r="K4" i="15"/>
  <c r="K5"/>
  <c r="K6"/>
  <c r="G5"/>
  <c r="G6"/>
  <c r="E7"/>
  <c r="G7"/>
  <c r="G8"/>
  <c r="G9"/>
  <c r="G10"/>
  <c r="G11"/>
  <c r="G12"/>
  <c r="I12"/>
  <c r="G13"/>
  <c r="G14"/>
  <c r="F10" i="8"/>
  <c r="G10"/>
  <c r="H10"/>
  <c r="I10"/>
  <c r="J10"/>
  <c r="K10"/>
  <c r="L10"/>
  <c r="D11"/>
  <c r="E11"/>
  <c r="D10" i="7"/>
  <c r="M26"/>
  <c r="E13" i="8"/>
  <c r="E19"/>
  <c r="E20" s="1"/>
  <c r="N7" i="1"/>
  <c r="N35"/>
  <c r="V29"/>
  <c r="W29"/>
  <c r="X29"/>
  <c r="E56"/>
  <c r="D57"/>
  <c r="E57"/>
  <c r="D58"/>
  <c r="N6"/>
  <c r="N5" s="1"/>
  <c r="B18" i="5"/>
  <c r="C4" i="19"/>
  <c r="C18" i="1"/>
  <c r="C21"/>
  <c r="C3" i="19"/>
  <c r="C15" i="1"/>
  <c r="D16"/>
  <c r="B13" i="5"/>
  <c r="C9"/>
  <c r="D17" i="1"/>
  <c r="N12"/>
  <c r="D18" i="7"/>
  <c r="D13" i="8"/>
  <c r="D19" s="1"/>
  <c r="D20" s="1"/>
  <c r="G13" i="13"/>
  <c r="F12"/>
  <c r="G12"/>
  <c r="J4" i="18"/>
  <c r="J6"/>
  <c r="J7"/>
  <c r="J8"/>
  <c r="F15" i="21"/>
  <c r="D55" i="1"/>
  <c r="I4" i="18"/>
  <c r="I6"/>
  <c r="I7"/>
  <c r="I8"/>
  <c r="L8" i="21"/>
  <c r="H21" i="16"/>
  <c r="H22"/>
  <c r="H26"/>
  <c r="C26"/>
  <c r="H28"/>
  <c r="C28"/>
  <c r="C30"/>
  <c r="C15"/>
  <c r="C17"/>
  <c r="C19"/>
  <c r="C6" i="1"/>
  <c r="C5"/>
  <c r="E9"/>
  <c r="F12"/>
  <c r="F5"/>
  <c r="AD6" i="3"/>
  <c r="F14" i="14"/>
  <c r="G14"/>
  <c r="F11"/>
  <c r="G11"/>
  <c r="F7"/>
  <c r="F22"/>
  <c r="G22"/>
  <c r="F9"/>
  <c r="G9"/>
  <c r="F17"/>
  <c r="G17"/>
  <c r="G18"/>
  <c r="F8"/>
  <c r="G8"/>
  <c r="F10"/>
  <c r="G10"/>
  <c r="N7" i="4"/>
  <c r="N10" s="1"/>
  <c r="D7"/>
  <c r="K7"/>
  <c r="K12" s="1"/>
  <c r="U7"/>
  <c r="U12" s="1"/>
  <c r="V7"/>
  <c r="V9" s="1"/>
  <c r="F11" i="21"/>
  <c r="L4"/>
  <c r="F4"/>
  <c r="C10" i="16"/>
  <c r="H10"/>
  <c r="B41" i="4"/>
  <c r="F9" i="1"/>
  <c r="F7"/>
  <c r="F8"/>
  <c r="F10"/>
  <c r="F13"/>
  <c r="C12" i="5"/>
  <c r="D28" i="4"/>
  <c r="L5" i="21"/>
  <c r="C5" i="19"/>
  <c r="D4" s="1"/>
  <c r="D3"/>
  <c r="C12" i="16"/>
  <c r="H12"/>
  <c r="E7" i="4"/>
  <c r="T7"/>
  <c r="R7"/>
  <c r="X7"/>
  <c r="X12" s="1"/>
  <c r="J7"/>
  <c r="AA7"/>
  <c r="I7"/>
  <c r="AB7"/>
  <c r="AB11" s="1"/>
  <c r="F7"/>
  <c r="M7"/>
  <c r="S7"/>
  <c r="W7"/>
  <c r="W9" s="1"/>
  <c r="L7"/>
  <c r="H7"/>
  <c r="Q7"/>
  <c r="Z7"/>
  <c r="Z15" s="1"/>
  <c r="G7"/>
  <c r="O7"/>
  <c r="P7"/>
  <c r="J15" i="23"/>
  <c r="E18"/>
  <c r="J18"/>
  <c r="F11" i="1"/>
  <c r="H4" i="18"/>
  <c r="L12" i="15"/>
  <c r="L14"/>
  <c r="L13"/>
  <c r="G16"/>
  <c r="D6" i="1"/>
  <c r="D5"/>
  <c r="C34" i="16"/>
  <c r="H34"/>
  <c r="F5" i="13"/>
  <c r="G6"/>
  <c r="G7" i="14"/>
  <c r="AD7" i="3"/>
  <c r="K9"/>
  <c r="C35" i="16"/>
  <c r="H35"/>
  <c r="C10" i="3"/>
  <c r="H11" i="12"/>
  <c r="C11" i="16"/>
  <c r="H11"/>
  <c r="F6" i="1"/>
  <c r="H25" i="16"/>
  <c r="N18" i="1"/>
  <c r="E23" i="16"/>
  <c r="G24"/>
  <c r="D24"/>
  <c r="E15" i="11"/>
  <c r="C29" i="16"/>
  <c r="H29"/>
  <c r="L36"/>
  <c r="H36"/>
  <c r="F42"/>
  <c r="C20" i="1"/>
  <c r="C19"/>
  <c r="F14"/>
  <c r="H18" i="16"/>
  <c r="C18"/>
  <c r="L6" i="21"/>
  <c r="E7" i="1"/>
  <c r="E11"/>
  <c r="D12"/>
  <c r="E12"/>
  <c r="G7" i="16"/>
  <c r="C8"/>
  <c r="C27"/>
  <c r="H27"/>
  <c r="H38"/>
  <c r="E8" i="1"/>
  <c r="AD5" i="3"/>
  <c r="T7"/>
  <c r="G31" i="16"/>
  <c r="D31"/>
  <c r="E8" i="3"/>
  <c r="X7"/>
  <c r="O9"/>
  <c r="P7"/>
  <c r="F9"/>
  <c r="Z7"/>
  <c r="E9"/>
  <c r="H8"/>
  <c r="I9"/>
  <c r="F6" i="14"/>
  <c r="G6"/>
  <c r="F13"/>
  <c r="G13"/>
  <c r="N7" i="3"/>
  <c r="S8"/>
  <c r="N9" i="4"/>
  <c r="K15"/>
  <c r="K19" s="1"/>
  <c r="K10"/>
  <c r="D11"/>
  <c r="D10"/>
  <c r="N15"/>
  <c r="N24" s="1"/>
  <c r="N12"/>
  <c r="U15"/>
  <c r="U24" s="1"/>
  <c r="U10"/>
  <c r="U9"/>
  <c r="U8" s="1"/>
  <c r="D12"/>
  <c r="D15"/>
  <c r="D23" s="1"/>
  <c r="V11"/>
  <c r="V10"/>
  <c r="V12"/>
  <c r="V15"/>
  <c r="V19" s="1"/>
  <c r="U11"/>
  <c r="AA10"/>
  <c r="AA15"/>
  <c r="AA12"/>
  <c r="H24" i="16"/>
  <c r="C24"/>
  <c r="G23"/>
  <c r="G6"/>
  <c r="E6"/>
  <c r="D23"/>
  <c r="J7" i="3"/>
  <c r="V7"/>
  <c r="S7"/>
  <c r="S9"/>
  <c r="W12" i="4"/>
  <c r="W11"/>
  <c r="X15"/>
  <c r="X21" s="1"/>
  <c r="J8" i="3"/>
  <c r="C21" i="7"/>
  <c r="C22" s="1"/>
  <c r="D22" s="1"/>
  <c r="D21"/>
  <c r="G7" i="3"/>
  <c r="U7"/>
  <c r="G5" i="13"/>
  <c r="F4"/>
  <c r="J9" i="3"/>
  <c r="G24" i="18"/>
  <c r="G26"/>
  <c r="I8" i="3"/>
  <c r="P12" i="4"/>
  <c r="P15"/>
  <c r="P9"/>
  <c r="P10"/>
  <c r="S15"/>
  <c r="S24" s="1"/>
  <c r="S10"/>
  <c r="S12"/>
  <c r="R9"/>
  <c r="R10"/>
  <c r="R15"/>
  <c r="R12"/>
  <c r="G9" i="3"/>
  <c r="M7"/>
  <c r="F7"/>
  <c r="H7"/>
  <c r="O15" i="4"/>
  <c r="O12"/>
  <c r="O10"/>
  <c r="O9"/>
  <c r="M15"/>
  <c r="M9"/>
  <c r="M10"/>
  <c r="M12"/>
  <c r="T15"/>
  <c r="T12"/>
  <c r="T10"/>
  <c r="F5" i="14"/>
  <c r="H15" i="4"/>
  <c r="H10"/>
  <c r="H12"/>
  <c r="E6" i="1"/>
  <c r="E5"/>
  <c r="L15" i="4"/>
  <c r="L10"/>
  <c r="L12"/>
  <c r="W8" i="3"/>
  <c r="H31" i="16"/>
  <c r="C31"/>
  <c r="Y7" i="3"/>
  <c r="W7"/>
  <c r="N9"/>
  <c r="H9"/>
  <c r="R9"/>
  <c r="Q9"/>
  <c r="P9"/>
  <c r="G11" i="4"/>
  <c r="G12"/>
  <c r="G15"/>
  <c r="G10"/>
  <c r="F12"/>
  <c r="F15"/>
  <c r="F23" s="1"/>
  <c r="F10"/>
  <c r="E15"/>
  <c r="E11"/>
  <c r="E12"/>
  <c r="E10"/>
  <c r="H13" i="12"/>
  <c r="H15"/>
  <c r="H14"/>
  <c r="H17"/>
  <c r="J10" i="4"/>
  <c r="J12"/>
  <c r="J15"/>
  <c r="F8" i="3"/>
  <c r="AB8"/>
  <c r="T8"/>
  <c r="T10"/>
  <c r="S26" i="4"/>
  <c r="R5" i="5" s="1"/>
  <c r="Z8" i="3"/>
  <c r="G8"/>
  <c r="AC8"/>
  <c r="O8"/>
  <c r="N8"/>
  <c r="R7"/>
  <c r="V8"/>
  <c r="AA7"/>
  <c r="L8"/>
  <c r="R8"/>
  <c r="I7"/>
  <c r="AA8"/>
  <c r="E7"/>
  <c r="P8"/>
  <c r="P10"/>
  <c r="O26" i="4"/>
  <c r="N5" i="5"/>
  <c r="X8" i="3"/>
  <c r="X10"/>
  <c r="W26" i="4"/>
  <c r="V5" i="5"/>
  <c r="O7" i="3"/>
  <c r="K7"/>
  <c r="K10"/>
  <c r="J26" i="4"/>
  <c r="M8" i="3"/>
  <c r="AB7"/>
  <c r="Q8"/>
  <c r="L7"/>
  <c r="Z10" i="4"/>
  <c r="AB12"/>
  <c r="AB15"/>
  <c r="AB19" s="1"/>
  <c r="F3" i="21"/>
  <c r="L3"/>
  <c r="C7" i="16"/>
  <c r="Q7" i="3"/>
  <c r="K8"/>
  <c r="U8"/>
  <c r="AC7"/>
  <c r="Y8"/>
  <c r="L9"/>
  <c r="M9"/>
  <c r="Q15" i="4"/>
  <c r="Q9"/>
  <c r="Q12"/>
  <c r="Q10"/>
  <c r="I15"/>
  <c r="I23" s="1"/>
  <c r="I10"/>
  <c r="I12"/>
  <c r="I11"/>
  <c r="E10" i="3"/>
  <c r="Z10"/>
  <c r="Y26" i="4"/>
  <c r="X5" i="5" s="1"/>
  <c r="N10" i="3"/>
  <c r="M26" i="4"/>
  <c r="O10" i="3"/>
  <c r="N26" i="4"/>
  <c r="M5" i="5"/>
  <c r="AA10" i="3"/>
  <c r="Z26" i="4"/>
  <c r="Y5" i="5" s="1"/>
  <c r="AC10" i="3"/>
  <c r="AB26" i="4"/>
  <c r="AA5" i="5"/>
  <c r="M10" i="3"/>
  <c r="L26" i="4"/>
  <c r="L38"/>
  <c r="J10" i="3"/>
  <c r="I26" i="4"/>
  <c r="I38"/>
  <c r="K18"/>
  <c r="K20"/>
  <c r="F10" i="3"/>
  <c r="E26" i="4"/>
  <c r="D5" i="5"/>
  <c r="Q10" i="3"/>
  <c r="P26" i="4"/>
  <c r="O5" i="5"/>
  <c r="G10" i="3"/>
  <c r="F26" i="4"/>
  <c r="K21"/>
  <c r="V24"/>
  <c r="K24"/>
  <c r="K17"/>
  <c r="K23"/>
  <c r="K22"/>
  <c r="N21"/>
  <c r="N18"/>
  <c r="N23"/>
  <c r="U23"/>
  <c r="N19"/>
  <c r="N17"/>
  <c r="N20"/>
  <c r="N22"/>
  <c r="V21"/>
  <c r="U22"/>
  <c r="U17"/>
  <c r="V18"/>
  <c r="U18"/>
  <c r="D21"/>
  <c r="U20"/>
  <c r="V22"/>
  <c r="D17"/>
  <c r="D16" s="1"/>
  <c r="D7" i="6" s="1"/>
  <c r="D14" s="1"/>
  <c r="U21" i="4"/>
  <c r="D24"/>
  <c r="D19"/>
  <c r="U19"/>
  <c r="D22"/>
  <c r="D18"/>
  <c r="D20"/>
  <c r="V23"/>
  <c r="V17"/>
  <c r="V20"/>
  <c r="M38"/>
  <c r="L5" i="5"/>
  <c r="C6" i="16"/>
  <c r="C50"/>
  <c r="E50"/>
  <c r="G42"/>
  <c r="C42"/>
  <c r="L10" i="21"/>
  <c r="M3"/>
  <c r="E5" i="5"/>
  <c r="F38" i="4"/>
  <c r="AA22"/>
  <c r="AA23"/>
  <c r="AA17"/>
  <c r="AA18"/>
  <c r="AA21"/>
  <c r="AA19"/>
  <c r="AA20"/>
  <c r="AA24"/>
  <c r="G3" i="21"/>
  <c r="F27"/>
  <c r="G20" i="4"/>
  <c r="G16" s="1"/>
  <c r="G21"/>
  <c r="G18"/>
  <c r="G22"/>
  <c r="G24"/>
  <c r="G6" i="6" s="1"/>
  <c r="G10" s="1"/>
  <c r="G23" i="4"/>
  <c r="G19"/>
  <c r="G17"/>
  <c r="S21"/>
  <c r="S17"/>
  <c r="G28" i="18"/>
  <c r="G27"/>
  <c r="G29"/>
  <c r="AB21" i="4"/>
  <c r="AB18"/>
  <c r="R10" i="3"/>
  <c r="Q26" i="4"/>
  <c r="P5" i="5" s="1"/>
  <c r="W10" i="3"/>
  <c r="V26" i="4"/>
  <c r="U5" i="5"/>
  <c r="H20" i="4"/>
  <c r="H23"/>
  <c r="H22"/>
  <c r="H19"/>
  <c r="H18"/>
  <c r="H21"/>
  <c r="H17"/>
  <c r="H24"/>
  <c r="R21"/>
  <c r="R17"/>
  <c r="R18"/>
  <c r="R23"/>
  <c r="R22"/>
  <c r="R20"/>
  <c r="R19"/>
  <c r="R24"/>
  <c r="S10" i="3"/>
  <c r="R26" i="4"/>
  <c r="Q5" i="5"/>
  <c r="I18" i="4"/>
  <c r="I24"/>
  <c r="L10" i="3"/>
  <c r="K26" i="4"/>
  <c r="D26"/>
  <c r="H18" i="12"/>
  <c r="Y10" i="3"/>
  <c r="X26" i="4"/>
  <c r="W5" i="5" s="1"/>
  <c r="T18" i="4"/>
  <c r="T22"/>
  <c r="T21"/>
  <c r="T23"/>
  <c r="T17"/>
  <c r="T20"/>
  <c r="T24"/>
  <c r="T19"/>
  <c r="V10" i="3"/>
  <c r="U26" i="4"/>
  <c r="T5" i="5"/>
  <c r="C23" i="16"/>
  <c r="C51"/>
  <c r="E51"/>
  <c r="H23"/>
  <c r="M21" i="4"/>
  <c r="M22"/>
  <c r="M17"/>
  <c r="M20"/>
  <c r="M18"/>
  <c r="M24"/>
  <c r="M23"/>
  <c r="M19"/>
  <c r="E20"/>
  <c r="E22"/>
  <c r="E17"/>
  <c r="E23"/>
  <c r="E21"/>
  <c r="E18"/>
  <c r="E19"/>
  <c r="E24"/>
  <c r="J17"/>
  <c r="J18"/>
  <c r="J22"/>
  <c r="J23"/>
  <c r="J20"/>
  <c r="J19"/>
  <c r="J21"/>
  <c r="J24"/>
  <c r="F17"/>
  <c r="F24"/>
  <c r="F25" i="13"/>
  <c r="G4"/>
  <c r="I5" i="5"/>
  <c r="J38" i="4"/>
  <c r="K5" i="5"/>
  <c r="AB10" i="3"/>
  <c r="AA26" i="4"/>
  <c r="Z5" i="5" s="1"/>
  <c r="I10" i="3"/>
  <c r="H26" i="4"/>
  <c r="L21"/>
  <c r="L22"/>
  <c r="L18"/>
  <c r="L23"/>
  <c r="L24"/>
  <c r="L20"/>
  <c r="L17"/>
  <c r="L19"/>
  <c r="G5" i="14"/>
  <c r="F26"/>
  <c r="O20" i="4"/>
  <c r="O23"/>
  <c r="O22"/>
  <c r="O18"/>
  <c r="O17"/>
  <c r="O24"/>
  <c r="O21"/>
  <c r="O19"/>
  <c r="D51" i="16"/>
  <c r="Q20" i="4"/>
  <c r="Q22"/>
  <c r="Q21"/>
  <c r="Q18"/>
  <c r="Q24"/>
  <c r="Q19"/>
  <c r="Q17"/>
  <c r="Q23"/>
  <c r="X17"/>
  <c r="X23"/>
  <c r="H10" i="3"/>
  <c r="G26" i="4"/>
  <c r="P18"/>
  <c r="P21"/>
  <c r="P22"/>
  <c r="P23"/>
  <c r="P17"/>
  <c r="P16" s="1"/>
  <c r="P19"/>
  <c r="P20"/>
  <c r="P24"/>
  <c r="U10" i="3"/>
  <c r="T26" i="4"/>
  <c r="S5" i="5" s="1"/>
  <c r="E42" i="16"/>
  <c r="D42"/>
  <c r="D6"/>
  <c r="E38" i="4"/>
  <c r="H5" i="5"/>
  <c r="K6" i="6"/>
  <c r="K10" s="1"/>
  <c r="U16" i="4"/>
  <c r="U7" i="6" s="1"/>
  <c r="U14" s="1"/>
  <c r="V6"/>
  <c r="V10" s="1"/>
  <c r="O6"/>
  <c r="O10" s="1"/>
  <c r="E6"/>
  <c r="E10" s="1"/>
  <c r="D49" i="16"/>
  <c r="D50"/>
  <c r="P6" i="6"/>
  <c r="P10" s="1"/>
  <c r="G26" i="14"/>
  <c r="G30"/>
  <c r="F30"/>
  <c r="M6" i="6"/>
  <c r="M10" s="1"/>
  <c r="G38" i="4"/>
  <c r="F5" i="5"/>
  <c r="AD10" i="3"/>
  <c r="AA16" i="4"/>
  <c r="AA7" i="6" s="1"/>
  <c r="AA14" s="1"/>
  <c r="H38" i="4"/>
  <c r="G5" i="5"/>
  <c r="C5"/>
  <c r="D38" i="4"/>
  <c r="D43"/>
  <c r="G7" i="21"/>
  <c r="G16"/>
  <c r="G21"/>
  <c r="G19"/>
  <c r="G27"/>
  <c r="G8"/>
  <c r="G13"/>
  <c r="G9"/>
  <c r="G26"/>
  <c r="G17"/>
  <c r="G20"/>
  <c r="G25"/>
  <c r="G6"/>
  <c r="G23"/>
  <c r="G22"/>
  <c r="G14"/>
  <c r="G12"/>
  <c r="G5"/>
  <c r="G24"/>
  <c r="G15"/>
  <c r="G18"/>
  <c r="G10"/>
  <c r="G4"/>
  <c r="G11"/>
  <c r="M8"/>
  <c r="M9"/>
  <c r="M10"/>
  <c r="M7"/>
  <c r="M6"/>
  <c r="M4"/>
  <c r="M5"/>
  <c r="F29" i="13"/>
  <c r="G25"/>
  <c r="G29"/>
  <c r="T16" i="4"/>
  <c r="T7" i="6" s="1"/>
  <c r="T14" s="1"/>
  <c r="J5" i="5"/>
  <c r="K38" i="4"/>
  <c r="J16"/>
  <c r="J7" i="6" s="1"/>
  <c r="J14" s="1"/>
  <c r="H6"/>
  <c r="H10" s="1"/>
  <c r="C49" i="16"/>
  <c r="D52"/>
  <c r="C52"/>
  <c r="E49"/>
  <c r="E52"/>
  <c r="O16" i="4" l="1"/>
  <c r="O7" i="6" s="1"/>
  <c r="O14" s="1"/>
  <c r="N6"/>
  <c r="N10" s="1"/>
  <c r="Q6"/>
  <c r="Q10" s="1"/>
  <c r="L16" i="4"/>
  <c r="L7" i="6" s="1"/>
  <c r="L14" s="1"/>
  <c r="J6"/>
  <c r="J10" s="1"/>
  <c r="K11" s="1"/>
  <c r="L14" i="7" s="1"/>
  <c r="L15" i="8" s="1"/>
  <c r="M16" i="4"/>
  <c r="R16"/>
  <c r="R7" i="6" s="1"/>
  <c r="R14" s="1"/>
  <c r="H16" i="4"/>
  <c r="H7" i="6" s="1"/>
  <c r="H14" s="1"/>
  <c r="T6"/>
  <c r="T10" s="1"/>
  <c r="R6"/>
  <c r="R10" s="1"/>
  <c r="D6"/>
  <c r="D10" s="1"/>
  <c r="K9" i="4"/>
  <c r="K11"/>
  <c r="V8"/>
  <c r="W6" i="7" s="1"/>
  <c r="Q16" i="4"/>
  <c r="Q13" s="1"/>
  <c r="R13" i="7" s="1"/>
  <c r="AA13" i="4"/>
  <c r="AB13" i="7" s="1"/>
  <c r="D13" i="4"/>
  <c r="E13" i="7" s="1"/>
  <c r="E16" i="4"/>
  <c r="E7" i="6" s="1"/>
  <c r="E14" s="1"/>
  <c r="O13" i="4"/>
  <c r="P13" i="7" s="1"/>
  <c r="N16" i="4"/>
  <c r="N7" i="6" s="1"/>
  <c r="N14" s="1"/>
  <c r="M7"/>
  <c r="M14" s="1"/>
  <c r="M13" i="4"/>
  <c r="N13" i="7" s="1"/>
  <c r="N14" i="8" s="1"/>
  <c r="Z21" i="4"/>
  <c r="Z23"/>
  <c r="Z19"/>
  <c r="Z22"/>
  <c r="Z17"/>
  <c r="Z18"/>
  <c r="Z20"/>
  <c r="Z24"/>
  <c r="Y10"/>
  <c r="Y15"/>
  <c r="Y11"/>
  <c r="Y12"/>
  <c r="Y9"/>
  <c r="P7" i="6"/>
  <c r="P14" s="1"/>
  <c r="P13" i="4"/>
  <c r="Q13" i="7" s="1"/>
  <c r="G7" i="6"/>
  <c r="G14" s="1"/>
  <c r="G13" i="4"/>
  <c r="H13" i="7" s="1"/>
  <c r="H14" i="8" s="1"/>
  <c r="U5" i="6"/>
  <c r="V6" i="7"/>
  <c r="N13" i="4"/>
  <c r="O13" i="7" s="1"/>
  <c r="J13" i="4"/>
  <c r="K13" i="7" s="1"/>
  <c r="K14" i="8" s="1"/>
  <c r="R13" i="4"/>
  <c r="S13" i="7" s="1"/>
  <c r="AA6" i="6"/>
  <c r="AA10" s="1"/>
  <c r="X24" i="4"/>
  <c r="X18"/>
  <c r="F19"/>
  <c r="F22"/>
  <c r="I19"/>
  <c r="I20"/>
  <c r="AB20"/>
  <c r="AB22"/>
  <c r="S22"/>
  <c r="S18"/>
  <c r="AB10"/>
  <c r="Z12"/>
  <c r="F9"/>
  <c r="G9"/>
  <c r="G8" s="1"/>
  <c r="L9"/>
  <c r="T11"/>
  <c r="O11"/>
  <c r="O8" s="1"/>
  <c r="P11"/>
  <c r="P8" s="1"/>
  <c r="X10"/>
  <c r="X9"/>
  <c r="W15"/>
  <c r="AA11"/>
  <c r="AA9"/>
  <c r="K16"/>
  <c r="T13"/>
  <c r="U13" i="7" s="1"/>
  <c r="L6" i="6"/>
  <c r="L10" s="1"/>
  <c r="M11" s="1"/>
  <c r="N14" i="7" s="1"/>
  <c r="N15" i="8" s="1"/>
  <c r="X19" i="4"/>
  <c r="X20"/>
  <c r="F20"/>
  <c r="F21"/>
  <c r="I22"/>
  <c r="I21"/>
  <c r="I6" i="6" s="1"/>
  <c r="I10" s="1"/>
  <c r="AB17" i="4"/>
  <c r="AB23"/>
  <c r="S23"/>
  <c r="S20"/>
  <c r="I9"/>
  <c r="I8" s="1"/>
  <c r="AB9"/>
  <c r="AB8" s="1"/>
  <c r="Z9"/>
  <c r="E9"/>
  <c r="E8" s="1"/>
  <c r="F11"/>
  <c r="H11"/>
  <c r="H9"/>
  <c r="T9"/>
  <c r="T8" s="1"/>
  <c r="R11"/>
  <c r="R8" s="1"/>
  <c r="X11"/>
  <c r="W10"/>
  <c r="W8" s="1"/>
  <c r="N11"/>
  <c r="N8" s="1"/>
  <c r="D9"/>
  <c r="D8" s="1"/>
  <c r="D25" s="1"/>
  <c r="X22"/>
  <c r="X6" i="6" s="1"/>
  <c r="X10" s="1"/>
  <c r="F18" i="4"/>
  <c r="F16" s="1"/>
  <c r="I17"/>
  <c r="I16" s="1"/>
  <c r="AB24"/>
  <c r="S19"/>
  <c r="Q11"/>
  <c r="Q8" s="1"/>
  <c r="Z11"/>
  <c r="J11"/>
  <c r="J9"/>
  <c r="L11"/>
  <c r="M11"/>
  <c r="M8" s="1"/>
  <c r="S11"/>
  <c r="S9"/>
  <c r="V16"/>
  <c r="V13" s="1"/>
  <c r="I11" i="6"/>
  <c r="J14" i="7" s="1"/>
  <c r="J15" i="8" s="1"/>
  <c r="P11" i="6"/>
  <c r="Q14" i="7" s="1"/>
  <c r="N11" i="6"/>
  <c r="O14" i="7" s="1"/>
  <c r="O15" i="8" s="1"/>
  <c r="O11" i="6"/>
  <c r="P14" i="7" s="1"/>
  <c r="O14" i="8"/>
  <c r="E11" i="6"/>
  <c r="F14" i="7" s="1"/>
  <c r="D11" i="6"/>
  <c r="E14" i="7" s="1"/>
  <c r="K7" i="6"/>
  <c r="K14" s="1"/>
  <c r="K13" i="4"/>
  <c r="J11" i="6"/>
  <c r="K14" i="7" s="1"/>
  <c r="Q11" i="6"/>
  <c r="R14" i="7" s="1"/>
  <c r="H11" i="6"/>
  <c r="I14" i="7" s="1"/>
  <c r="R11" i="6"/>
  <c r="S14" i="7" s="1"/>
  <c r="U6" i="6"/>
  <c r="U10" s="1"/>
  <c r="U13" i="4"/>
  <c r="K8" l="1"/>
  <c r="K5" i="6" s="1"/>
  <c r="Q7"/>
  <c r="Q14" s="1"/>
  <c r="D5"/>
  <c r="V5"/>
  <c r="AB6"/>
  <c r="AB10" s="1"/>
  <c r="AB11" s="1"/>
  <c r="AC14" i="7" s="1"/>
  <c r="V7" i="6"/>
  <c r="V14" s="1"/>
  <c r="S6"/>
  <c r="S10" s="1"/>
  <c r="Z16" i="4"/>
  <c r="Z13" s="1"/>
  <c r="AA13" i="7" s="1"/>
  <c r="H13" i="4"/>
  <c r="I13" i="7" s="1"/>
  <c r="I14" i="8" s="1"/>
  <c r="F6" i="6"/>
  <c r="F10" s="1"/>
  <c r="E13" i="4"/>
  <c r="F13" i="7" s="1"/>
  <c r="F14" i="8" s="1"/>
  <c r="L13" i="4"/>
  <c r="M13" i="7" s="1"/>
  <c r="M14" i="8" s="1"/>
  <c r="E6" i="7"/>
  <c r="H8" i="4"/>
  <c r="Y8"/>
  <c r="Y5" i="6" s="1"/>
  <c r="AB16" i="4"/>
  <c r="AB7" i="6" s="1"/>
  <c r="AB14" s="1"/>
  <c r="Q6" i="7"/>
  <c r="P25" i="4"/>
  <c r="P5" i="6"/>
  <c r="R6" i="7"/>
  <c r="Q5" i="6"/>
  <c r="Q25" i="4"/>
  <c r="F13"/>
  <c r="G13" i="7" s="1"/>
  <c r="G14" i="8" s="1"/>
  <c r="F7" i="6"/>
  <c r="F14" s="1"/>
  <c r="W5"/>
  <c r="X6" i="7"/>
  <c r="M5" i="6"/>
  <c r="M25" i="4"/>
  <c r="N6" i="7"/>
  <c r="N25" i="4"/>
  <c r="N5" i="6"/>
  <c r="O6" i="7"/>
  <c r="O6" i="8" s="1"/>
  <c r="R5" i="6"/>
  <c r="S6" i="7"/>
  <c r="R25" i="4"/>
  <c r="P6" i="7"/>
  <c r="O5" i="6"/>
  <c r="O25" i="4"/>
  <c r="S11" i="6"/>
  <c r="T14" i="7" s="1"/>
  <c r="T11" i="6"/>
  <c r="U14" i="7" s="1"/>
  <c r="I5" i="6"/>
  <c r="J6" i="7"/>
  <c r="G5" i="6"/>
  <c r="G25" i="4"/>
  <c r="H6" i="7"/>
  <c r="S16" i="4"/>
  <c r="X16"/>
  <c r="Z6" i="6"/>
  <c r="Z10" s="1"/>
  <c r="AA11" s="1"/>
  <c r="AB14" i="7" s="1"/>
  <c r="AB5" i="6"/>
  <c r="AC6" i="7"/>
  <c r="V8" i="6"/>
  <c r="V12"/>
  <c r="Y19" i="4"/>
  <c r="Y17"/>
  <c r="Y22"/>
  <c r="Y20"/>
  <c r="Y23"/>
  <c r="Y24"/>
  <c r="Y21"/>
  <c r="Y18"/>
  <c r="S8"/>
  <c r="J8"/>
  <c r="AA8"/>
  <c r="L8"/>
  <c r="H5" i="6"/>
  <c r="I6" i="7"/>
  <c r="U12" i="6"/>
  <c r="V13" s="1"/>
  <c r="W15" i="7" s="1"/>
  <c r="U8" i="6"/>
  <c r="Z8" i="4"/>
  <c r="X8"/>
  <c r="L11" i="6"/>
  <c r="M14" i="7" s="1"/>
  <c r="M15" i="8" s="1"/>
  <c r="I13" i="4"/>
  <c r="J13" i="7" s="1"/>
  <c r="J14" i="8" s="1"/>
  <c r="I7" i="6"/>
  <c r="I14" s="1"/>
  <c r="T25" i="4"/>
  <c r="T5" i="6"/>
  <c r="U6" i="7"/>
  <c r="F6"/>
  <c r="F6" i="8" s="1"/>
  <c r="E5" i="6"/>
  <c r="E25" i="4"/>
  <c r="W21"/>
  <c r="W22"/>
  <c r="W18"/>
  <c r="W20"/>
  <c r="W24"/>
  <c r="W17"/>
  <c r="W23"/>
  <c r="W19"/>
  <c r="F8"/>
  <c r="V25"/>
  <c r="W13" i="7"/>
  <c r="N12" i="6"/>
  <c r="N8"/>
  <c r="F15" i="8"/>
  <c r="V11" i="6"/>
  <c r="W14" i="7" s="1"/>
  <c r="I15" i="8"/>
  <c r="K15"/>
  <c r="L13" i="7"/>
  <c r="K25" i="4"/>
  <c r="U11" i="6"/>
  <c r="V14" i="7" s="1"/>
  <c r="D12" i="6"/>
  <c r="D8"/>
  <c r="U25" i="4"/>
  <c r="V13" i="7"/>
  <c r="K12" i="6" l="1"/>
  <c r="K8"/>
  <c r="L6" i="7"/>
  <c r="L6" i="8" s="1"/>
  <c r="V15" i="6"/>
  <c r="V16" s="1"/>
  <c r="V17" s="1"/>
  <c r="V27" i="4" s="1"/>
  <c r="V29" s="1"/>
  <c r="V30" s="1"/>
  <c r="W16" i="7" s="1"/>
  <c r="W17" s="1"/>
  <c r="W18" s="1"/>
  <c r="W21" s="1"/>
  <c r="Z7" i="6"/>
  <c r="Z14" s="1"/>
  <c r="AB13" i="4"/>
  <c r="AC13" i="7" s="1"/>
  <c r="V9" i="6"/>
  <c r="W7" i="7" s="1"/>
  <c r="W10" s="1"/>
  <c r="Z6"/>
  <c r="F11" i="6"/>
  <c r="G14" i="7" s="1"/>
  <c r="G15" i="8" s="1"/>
  <c r="G11" i="6"/>
  <c r="H14" i="7" s="1"/>
  <c r="H15" i="8" s="1"/>
  <c r="W16" i="4"/>
  <c r="W7" i="6" s="1"/>
  <c r="W14" s="1"/>
  <c r="H25" i="4"/>
  <c r="U15" i="6"/>
  <c r="U16" s="1"/>
  <c r="U17" s="1"/>
  <c r="U27" i="4" s="1"/>
  <c r="U29" s="1"/>
  <c r="U30" s="1"/>
  <c r="V16" i="7" s="1"/>
  <c r="AB25" i="4"/>
  <c r="Y6" i="7"/>
  <c r="X5" i="6"/>
  <c r="L5"/>
  <c r="L25" i="4"/>
  <c r="M6" i="7"/>
  <c r="S13" i="4"/>
  <c r="T13" i="7" s="1"/>
  <c r="S7" i="6"/>
  <c r="S14" s="1"/>
  <c r="J6" i="8"/>
  <c r="M8" i="6"/>
  <c r="M12"/>
  <c r="Y16" i="4"/>
  <c r="E12" i="6"/>
  <c r="E13" s="1"/>
  <c r="F15" i="7" s="1"/>
  <c r="E8" i="6"/>
  <c r="S5"/>
  <c r="T6" i="7"/>
  <c r="AB12" i="6"/>
  <c r="AB8"/>
  <c r="X13" i="4"/>
  <c r="Y13" i="7" s="1"/>
  <c r="X7" i="6"/>
  <c r="X14" s="1"/>
  <c r="Y12"/>
  <c r="Y8"/>
  <c r="H6" i="8"/>
  <c r="W8" i="6"/>
  <c r="W12"/>
  <c r="Q12"/>
  <c r="Q8"/>
  <c r="T8"/>
  <c r="T12"/>
  <c r="U13" s="1"/>
  <c r="V15" i="7" s="1"/>
  <c r="H8" i="6"/>
  <c r="H12"/>
  <c r="K6" i="7"/>
  <c r="J25" i="4"/>
  <c r="J5" i="6"/>
  <c r="I12"/>
  <c r="I8"/>
  <c r="O12"/>
  <c r="O8"/>
  <c r="O9" s="1"/>
  <c r="P7" i="7" s="1"/>
  <c r="P10" s="1"/>
  <c r="R8" i="6"/>
  <c r="R12"/>
  <c r="N6" i="8"/>
  <c r="P8" i="6"/>
  <c r="P12"/>
  <c r="Y6"/>
  <c r="Y10" s="1"/>
  <c r="G6" i="7"/>
  <c r="F25" i="4"/>
  <c r="F5" i="6"/>
  <c r="Z25" i="4"/>
  <c r="Z5" i="6"/>
  <c r="AA6" i="7"/>
  <c r="I6" i="8"/>
  <c r="AA5" i="6"/>
  <c r="AB6" i="7"/>
  <c r="AA25" i="4"/>
  <c r="K15" i="6"/>
  <c r="K16" s="1"/>
  <c r="K17" s="1"/>
  <c r="K27" i="4" s="1"/>
  <c r="G8" i="6"/>
  <c r="G12"/>
  <c r="W6"/>
  <c r="W10" s="1"/>
  <c r="W13"/>
  <c r="X15" i="7" s="1"/>
  <c r="I25" i="4"/>
  <c r="D13" i="6"/>
  <c r="E15" i="7" s="1"/>
  <c r="D9" i="6"/>
  <c r="E7" i="7" s="1"/>
  <c r="E10" s="1"/>
  <c r="E9" i="6"/>
  <c r="F7" i="7" s="1"/>
  <c r="D15" i="6"/>
  <c r="D16" s="1"/>
  <c r="D17" s="1"/>
  <c r="D27" i="4" s="1"/>
  <c r="L14" i="8"/>
  <c r="N13" i="6"/>
  <c r="O15" i="7" s="1"/>
  <c r="O13" i="6"/>
  <c r="P15" i="7" s="1"/>
  <c r="N15" i="6"/>
  <c r="N16" s="1"/>
  <c r="N17" s="1"/>
  <c r="N27" i="4" s="1"/>
  <c r="N9" i="6"/>
  <c r="O7" i="7" s="1"/>
  <c r="S25" i="4" l="1"/>
  <c r="W13"/>
  <c r="H13" i="6"/>
  <c r="I15" i="7" s="1"/>
  <c r="I16" i="8" s="1"/>
  <c r="V17" i="7"/>
  <c r="Q13" i="6"/>
  <c r="R15" i="7" s="1"/>
  <c r="M15" i="6"/>
  <c r="M16" s="1"/>
  <c r="M17" s="1"/>
  <c r="M27" i="4" s="1"/>
  <c r="AA12" i="6"/>
  <c r="AB13" s="1"/>
  <c r="AC15" i="7" s="1"/>
  <c r="AA8" i="6"/>
  <c r="Z8"/>
  <c r="Z12"/>
  <c r="G6" i="8"/>
  <c r="I15" i="6"/>
  <c r="I16" s="1"/>
  <c r="I17" s="1"/>
  <c r="I27" i="4" s="1"/>
  <c r="K6" i="8"/>
  <c r="U9" i="6"/>
  <c r="V7" i="7" s="1"/>
  <c r="V10" s="1"/>
  <c r="V18" s="1"/>
  <c r="V21" s="1"/>
  <c r="T15" i="6"/>
  <c r="T16" s="1"/>
  <c r="T17" s="1"/>
  <c r="T27" i="4" s="1"/>
  <c r="T29" s="1"/>
  <c r="W15" i="6"/>
  <c r="W16" s="1"/>
  <c r="W17" s="1"/>
  <c r="W27" i="4" s="1"/>
  <c r="E15" i="6"/>
  <c r="E16" s="1"/>
  <c r="E17" s="1"/>
  <c r="E27" i="4" s="1"/>
  <c r="X12" i="6"/>
  <c r="Y13" s="1"/>
  <c r="Z15" i="7" s="1"/>
  <c r="X8" i="6"/>
  <c r="X9" s="1"/>
  <c r="Y7" i="7" s="1"/>
  <c r="Y10" s="1"/>
  <c r="Z13" i="6"/>
  <c r="AA15" i="7" s="1"/>
  <c r="H9" i="6"/>
  <c r="I7" i="7" s="1"/>
  <c r="G15" i="6"/>
  <c r="G16" s="1"/>
  <c r="G17" s="1"/>
  <c r="G27" i="4" s="1"/>
  <c r="Z11" i="6"/>
  <c r="AA14" i="7" s="1"/>
  <c r="Y11" i="6"/>
  <c r="Z14" i="7" s="1"/>
  <c r="S8" i="6"/>
  <c r="T9" s="1"/>
  <c r="U7" i="7" s="1"/>
  <c r="U10" s="1"/>
  <c r="S12" i="6"/>
  <c r="T13" s="1"/>
  <c r="U15" i="7" s="1"/>
  <c r="L8" i="6"/>
  <c r="L12"/>
  <c r="X13" i="7"/>
  <c r="W25" i="4"/>
  <c r="U31"/>
  <c r="T6" i="5" s="1"/>
  <c r="T4" s="1"/>
  <c r="P13" i="6"/>
  <c r="Q15" i="7" s="1"/>
  <c r="Z9" i="6"/>
  <c r="AA7" i="7" s="1"/>
  <c r="AA10" s="1"/>
  <c r="AB15" i="6"/>
  <c r="AB16" s="1"/>
  <c r="AB17" s="1"/>
  <c r="AB27" i="4" s="1"/>
  <c r="AB29" s="1"/>
  <c r="AB30" s="1"/>
  <c r="AC16" i="7" s="1"/>
  <c r="F12" i="6"/>
  <c r="G13" s="1"/>
  <c r="H15" i="7" s="1"/>
  <c r="H16" i="8" s="1"/>
  <c r="F8" i="6"/>
  <c r="P9"/>
  <c r="Q7" i="7" s="1"/>
  <c r="Q10" s="1"/>
  <c r="O15" i="6"/>
  <c r="O16" s="1"/>
  <c r="O17" s="1"/>
  <c r="O27" i="4" s="1"/>
  <c r="J12" i="6"/>
  <c r="K13" s="1"/>
  <c r="L15" i="7" s="1"/>
  <c r="L16" i="8" s="1"/>
  <c r="J8" i="6"/>
  <c r="I9"/>
  <c r="J7" i="7" s="1"/>
  <c r="H15" i="6"/>
  <c r="H16" s="1"/>
  <c r="H17" s="1"/>
  <c r="H27" i="4" s="1"/>
  <c r="D44" s="1"/>
  <c r="Y13"/>
  <c r="Y7" i="6"/>
  <c r="Y14" s="1"/>
  <c r="Y15" s="1"/>
  <c r="Y16" s="1"/>
  <c r="Y17" s="1"/>
  <c r="Y27" i="4" s="1"/>
  <c r="V31"/>
  <c r="U6" i="5" s="1"/>
  <c r="U4" s="1"/>
  <c r="W9" i="6"/>
  <c r="X7" i="7" s="1"/>
  <c r="X10" s="1"/>
  <c r="R13" i="6"/>
  <c r="S15" i="7" s="1"/>
  <c r="W11" i="6"/>
  <c r="X14" i="7" s="1"/>
  <c r="X11" i="6"/>
  <c r="Y14" i="7" s="1"/>
  <c r="Q9" i="6"/>
  <c r="R7" i="7" s="1"/>
  <c r="R10" s="1"/>
  <c r="P15" i="6"/>
  <c r="P16" s="1"/>
  <c r="P17" s="1"/>
  <c r="P27" i="4" s="1"/>
  <c r="R15" i="6"/>
  <c r="R16" s="1"/>
  <c r="R17" s="1"/>
  <c r="R27" i="4" s="1"/>
  <c r="R29" s="1"/>
  <c r="R9" i="6"/>
  <c r="S7" i="7" s="1"/>
  <c r="S10" s="1"/>
  <c r="Q15" i="6"/>
  <c r="Q16" s="1"/>
  <c r="Q17" s="1"/>
  <c r="Q27" i="4" s="1"/>
  <c r="Q29" s="1"/>
  <c r="M6" i="8"/>
  <c r="I13" i="6"/>
  <c r="J15" i="7" s="1"/>
  <c r="J16" i="8" s="1"/>
  <c r="F13" i="6"/>
  <c r="G15" i="7" s="1"/>
  <c r="G16" i="8" s="1"/>
  <c r="X25" i="4"/>
  <c r="O7" i="8"/>
  <c r="O11" s="1"/>
  <c r="O10" i="7"/>
  <c r="O16" i="8"/>
  <c r="F10" i="7"/>
  <c r="F7" i="8"/>
  <c r="F11" s="1"/>
  <c r="D33" i="4"/>
  <c r="D29"/>
  <c r="F16" i="8"/>
  <c r="S9" i="6" l="1"/>
  <c r="T7" i="7" s="1"/>
  <c r="T10" s="1"/>
  <c r="J13" i="6"/>
  <c r="K15" i="7" s="1"/>
  <c r="K16" i="8" s="1"/>
  <c r="S15" i="6"/>
  <c r="S16" s="1"/>
  <c r="S17" s="1"/>
  <c r="S27" i="4" s="1"/>
  <c r="S29" s="1"/>
  <c r="S30" s="1"/>
  <c r="T16" i="7" s="1"/>
  <c r="AB31" i="4"/>
  <c r="AA6" i="5" s="1"/>
  <c r="R30" i="4"/>
  <c r="S16" i="7" s="1"/>
  <c r="S17" s="1"/>
  <c r="S18" s="1"/>
  <c r="S21" s="1"/>
  <c r="Z13"/>
  <c r="Y25" i="4"/>
  <c r="Y29" s="1"/>
  <c r="T30"/>
  <c r="U16" i="7" s="1"/>
  <c r="U17" s="1"/>
  <c r="U18" s="1"/>
  <c r="U21" s="1"/>
  <c r="X13" i="6"/>
  <c r="Y15" i="7" s="1"/>
  <c r="S13" i="6"/>
  <c r="T15" i="7" s="1"/>
  <c r="AA13" i="6"/>
  <c r="AB15" i="7" s="1"/>
  <c r="K9" i="6"/>
  <c r="L7" i="7" s="1"/>
  <c r="J15" i="6"/>
  <c r="J16" s="1"/>
  <c r="J17" s="1"/>
  <c r="J27" i="4" s="1"/>
  <c r="G9" i="6"/>
  <c r="H7" i="7" s="1"/>
  <c r="F15" i="6"/>
  <c r="F16" s="1"/>
  <c r="F17" s="1"/>
  <c r="F27" i="4" s="1"/>
  <c r="L15" i="6"/>
  <c r="L16" s="1"/>
  <c r="L17" s="1"/>
  <c r="L27" i="4" s="1"/>
  <c r="M9" i="6"/>
  <c r="N7" i="7" s="1"/>
  <c r="L9" i="6"/>
  <c r="M7" i="7" s="1"/>
  <c r="Q30" i="4"/>
  <c r="R16" i="7" s="1"/>
  <c r="R17" s="1"/>
  <c r="R18" s="1"/>
  <c r="R21" s="1"/>
  <c r="J7" i="8"/>
  <c r="J11" s="1"/>
  <c r="J10" i="7"/>
  <c r="M13" i="6"/>
  <c r="N15" i="7" s="1"/>
  <c r="N16" i="8" s="1"/>
  <c r="L13" i="6"/>
  <c r="M15" i="7" s="1"/>
  <c r="M16" i="8" s="1"/>
  <c r="Y9" i="6"/>
  <c r="Z7" i="7" s="1"/>
  <c r="Z10" s="1"/>
  <c r="X15" i="6"/>
  <c r="X16" s="1"/>
  <c r="X17" s="1"/>
  <c r="X27" i="4" s="1"/>
  <c r="X29" s="1"/>
  <c r="AA15" i="6"/>
  <c r="AA16" s="1"/>
  <c r="AA17" s="1"/>
  <c r="AA27" i="4" s="1"/>
  <c r="AA29" s="1"/>
  <c r="AB9" i="6"/>
  <c r="AC7" i="7" s="1"/>
  <c r="AC10" s="1"/>
  <c r="AC17"/>
  <c r="W29" i="4"/>
  <c r="I7" i="8"/>
  <c r="I11" s="1"/>
  <c r="I10" i="7"/>
  <c r="AA9" i="6"/>
  <c r="AB7" i="7" s="1"/>
  <c r="AB10" s="1"/>
  <c r="Z15" i="6"/>
  <c r="Z16" s="1"/>
  <c r="Z17" s="1"/>
  <c r="Z27" i="4" s="1"/>
  <c r="Z29" s="1"/>
  <c r="F9" i="6"/>
  <c r="G7" i="7" s="1"/>
  <c r="J9" i="6"/>
  <c r="K7" i="7" s="1"/>
  <c r="D30" i="4"/>
  <c r="D31" s="1"/>
  <c r="F25" i="7"/>
  <c r="D34" i="4"/>
  <c r="D35"/>
  <c r="AC18" i="7" l="1"/>
  <c r="AC21" s="1"/>
  <c r="T31" i="4"/>
  <c r="S6" i="5" s="1"/>
  <c r="S4" s="1"/>
  <c r="R31" i="4"/>
  <c r="Q6" i="5" s="1"/>
  <c r="Q4" s="1"/>
  <c r="S31" i="4"/>
  <c r="R6" i="5" s="1"/>
  <c r="R4" s="1"/>
  <c r="W30" i="4"/>
  <c r="X16" i="7" s="1"/>
  <c r="X17" s="1"/>
  <c r="X18" s="1"/>
  <c r="X21" s="1"/>
  <c r="X30" i="4"/>
  <c r="Y16" i="7" s="1"/>
  <c r="Y17" s="1"/>
  <c r="Y18" s="1"/>
  <c r="Y21" s="1"/>
  <c r="L7" i="8"/>
  <c r="L11" s="1"/>
  <c r="L10" i="7"/>
  <c r="T17"/>
  <c r="T18" s="1"/>
  <c r="T21" s="1"/>
  <c r="AA30" i="4"/>
  <c r="AB16" i="7" s="1"/>
  <c r="AB17" s="1"/>
  <c r="AB18" s="1"/>
  <c r="AB21" s="1"/>
  <c r="N7" i="8"/>
  <c r="N11" s="1"/>
  <c r="N10" i="7"/>
  <c r="Y30" i="4"/>
  <c r="Z16" i="7" s="1"/>
  <c r="Z17" s="1"/>
  <c r="Z18" s="1"/>
  <c r="Z21" s="1"/>
  <c r="Z30" i="4"/>
  <c r="AA16" i="7" s="1"/>
  <c r="AA17" s="1"/>
  <c r="AA18" s="1"/>
  <c r="AA21" s="1"/>
  <c r="G7" i="8"/>
  <c r="G11" s="1"/>
  <c r="G10" i="7"/>
  <c r="M7" i="8"/>
  <c r="M11" s="1"/>
  <c r="M10" i="7"/>
  <c r="H7" i="8"/>
  <c r="H11" s="1"/>
  <c r="H10" i="7"/>
  <c r="Q31" i="4"/>
  <c r="P6" i="5" s="1"/>
  <c r="P4" s="1"/>
  <c r="K7" i="8"/>
  <c r="K11" s="1"/>
  <c r="K10" i="7"/>
  <c r="E16"/>
  <c r="E17" s="1"/>
  <c r="E18" s="1"/>
  <c r="D36" i="4"/>
  <c r="C6" i="5"/>
  <c r="C4" s="1"/>
  <c r="C11" s="1"/>
  <c r="D39" i="4"/>
  <c r="D40" s="1"/>
  <c r="D41" s="1"/>
  <c r="AA31" l="1"/>
  <c r="Z6" i="5" s="1"/>
  <c r="Z4" s="1"/>
  <c r="X31" i="4"/>
  <c r="W6" i="5" s="1"/>
  <c r="W4" s="1"/>
  <c r="W31" i="4"/>
  <c r="V6" i="5" s="1"/>
  <c r="V4" s="1"/>
  <c r="Y31" i="4"/>
  <c r="X6" i="5" s="1"/>
  <c r="X4" s="1"/>
  <c r="Z31" i="4"/>
  <c r="Y6" i="5" s="1"/>
  <c r="Y4" s="1"/>
  <c r="E21" i="7"/>
  <c r="E22" s="1"/>
  <c r="C15" i="5"/>
  <c r="C13"/>
  <c r="D9" s="1"/>
  <c r="C8"/>
  <c r="F18" i="8" l="1"/>
  <c r="C14" i="5"/>
  <c r="D12"/>
  <c r="E28" i="4" s="1"/>
  <c r="E29" l="1"/>
  <c r="G25" i="7" l="1"/>
  <c r="E30" i="4"/>
  <c r="E31" s="1"/>
  <c r="E32" l="1"/>
  <c r="E33" s="1"/>
  <c r="E34" s="1"/>
  <c r="E35" s="1"/>
  <c r="E36" s="1"/>
  <c r="D6" i="5"/>
  <c r="D4" s="1"/>
  <c r="E39" i="4"/>
  <c r="E40" s="1"/>
  <c r="E41" s="1"/>
  <c r="F16" i="7"/>
  <c r="F17" i="8" l="1"/>
  <c r="F19" s="1"/>
  <c r="F20" s="1"/>
  <c r="F17" i="7"/>
  <c r="F18" s="1"/>
  <c r="D11" i="5"/>
  <c r="D8"/>
  <c r="F21" i="7" l="1"/>
  <c r="F22" s="1"/>
  <c r="F26"/>
  <c r="D15" i="5"/>
  <c r="D13"/>
  <c r="E9" s="1"/>
  <c r="G18" i="8" l="1"/>
  <c r="D14" i="5"/>
  <c r="E12"/>
  <c r="F28" i="4" s="1"/>
  <c r="F29" s="1"/>
  <c r="F30" l="1"/>
  <c r="F31" s="1"/>
  <c r="H25" i="7"/>
  <c r="F33" i="4" l="1"/>
  <c r="G16" i="7"/>
  <c r="F36" i="4"/>
  <c r="F39"/>
  <c r="F40" s="1"/>
  <c r="F41" s="1"/>
  <c r="E6" i="5"/>
  <c r="E4" s="1"/>
  <c r="E11" l="1"/>
  <c r="E8"/>
  <c r="F35" i="4"/>
  <c r="F34"/>
  <c r="G17" i="8"/>
  <c r="G19" s="1"/>
  <c r="G20" s="1"/>
  <c r="G17" i="7"/>
  <c r="G18" s="1"/>
  <c r="E15" i="5" l="1"/>
  <c r="E13"/>
  <c r="F9" s="1"/>
  <c r="G21" i="7"/>
  <c r="G22" s="1"/>
  <c r="G26"/>
  <c r="F12" i="5" l="1"/>
  <c r="G28" i="4" s="1"/>
  <c r="G29" s="1"/>
  <c r="E14" i="5"/>
  <c r="H18" i="8"/>
  <c r="I25" i="7" l="1"/>
  <c r="G30" i="4"/>
  <c r="G31" s="1"/>
  <c r="G39" l="1"/>
  <c r="G40" s="1"/>
  <c r="G41" s="1"/>
  <c r="F6" i="5"/>
  <c r="F4" s="1"/>
  <c r="H16" i="7"/>
  <c r="G36" i="4"/>
  <c r="G33"/>
  <c r="G34" l="1"/>
  <c r="G35"/>
  <c r="F11" i="5"/>
  <c r="F8"/>
  <c r="H17" i="8"/>
  <c r="H19" s="1"/>
  <c r="H20" s="1"/>
  <c r="H17" i="7"/>
  <c r="H18" s="1"/>
  <c r="H21" l="1"/>
  <c r="H22" s="1"/>
  <c r="H26"/>
  <c r="F15" i="5"/>
  <c r="F13"/>
  <c r="G9" s="1"/>
  <c r="G12" l="1"/>
  <c r="H28" i="4" s="1"/>
  <c r="H29" s="1"/>
  <c r="I18" i="8"/>
  <c r="F14" i="5"/>
  <c r="J25" i="7" l="1"/>
  <c r="H30" i="4"/>
  <c r="H31" s="1"/>
  <c r="G6" i="5" l="1"/>
  <c r="G4" s="1"/>
  <c r="H39" i="4"/>
  <c r="H40" s="1"/>
  <c r="H41" s="1"/>
  <c r="H36"/>
  <c r="I16" i="7"/>
  <c r="H33" i="4"/>
  <c r="G11" i="5" l="1"/>
  <c r="G8"/>
  <c r="I17" i="8"/>
  <c r="I19" s="1"/>
  <c r="I20" s="1"/>
  <c r="I17" i="7"/>
  <c r="I18" s="1"/>
  <c r="H34" i="4"/>
  <c r="H35"/>
  <c r="I21" i="7" l="1"/>
  <c r="I22" s="1"/>
  <c r="I26"/>
  <c r="G15" i="5"/>
  <c r="G13"/>
  <c r="H9" s="1"/>
  <c r="H12" l="1"/>
  <c r="I28" i="4" s="1"/>
  <c r="I29" s="1"/>
  <c r="G14" i="5"/>
  <c r="J18" i="8"/>
  <c r="K25" i="7" l="1"/>
  <c r="I30" i="4"/>
  <c r="J16" i="7" l="1"/>
  <c r="I36" i="4"/>
  <c r="I33"/>
  <c r="I31"/>
  <c r="J17" i="8" l="1"/>
  <c r="J19" s="1"/>
  <c r="J20" s="1"/>
  <c r="J17" i="7"/>
  <c r="J18" s="1"/>
  <c r="I39" i="4"/>
  <c r="I40" s="1"/>
  <c r="I41" s="1"/>
  <c r="H6" i="5"/>
  <c r="H4" s="1"/>
  <c r="I35" i="4"/>
  <c r="I34"/>
  <c r="J21" i="7" l="1"/>
  <c r="J22" s="1"/>
  <c r="J26"/>
  <c r="H11" i="5"/>
  <c r="H8"/>
  <c r="H15" l="1"/>
  <c r="H13"/>
  <c r="I9" s="1"/>
  <c r="H14" l="1"/>
  <c r="K18" i="8"/>
  <c r="I12" i="5"/>
  <c r="J28" i="4" s="1"/>
  <c r="J29" s="1"/>
  <c r="J30" l="1"/>
  <c r="L25" i="7"/>
  <c r="J36" i="4" l="1"/>
  <c r="J33"/>
  <c r="K16" i="7"/>
  <c r="J31" i="4"/>
  <c r="J39" l="1"/>
  <c r="J40" s="1"/>
  <c r="J41" s="1"/>
  <c r="I6" i="5"/>
  <c r="I4" s="1"/>
  <c r="J34" i="4"/>
  <c r="J35"/>
  <c r="K17" i="8"/>
  <c r="K19" s="1"/>
  <c r="K20" s="1"/>
  <c r="K17" i="7"/>
  <c r="K18" s="1"/>
  <c r="I11" i="5" l="1"/>
  <c r="I8"/>
  <c r="K21" i="7"/>
  <c r="K22" s="1"/>
  <c r="K26"/>
  <c r="I15" i="5" l="1"/>
  <c r="I13"/>
  <c r="J9" s="1"/>
  <c r="L18" i="8" l="1"/>
  <c r="I14" i="5"/>
  <c r="J12"/>
  <c r="K28" i="4" s="1"/>
  <c r="K29" s="1"/>
  <c r="K30" l="1"/>
  <c r="M25" i="7"/>
  <c r="K36" i="4" l="1"/>
  <c r="L16" i="7"/>
  <c r="K33" i="4"/>
  <c r="K31"/>
  <c r="K34" l="1"/>
  <c r="K35"/>
  <c r="L17" i="8"/>
  <c r="L19" s="1"/>
  <c r="L20" s="1"/>
  <c r="L17" i="7"/>
  <c r="L18" s="1"/>
  <c r="J6" i="5"/>
  <c r="J4" s="1"/>
  <c r="K39" i="4"/>
  <c r="K40" s="1"/>
  <c r="K41" s="1"/>
  <c r="J11" i="5" l="1"/>
  <c r="J8"/>
  <c r="L21" i="7"/>
  <c r="L22" s="1"/>
  <c r="L26"/>
  <c r="J15" i="5" l="1"/>
  <c r="J13"/>
  <c r="K9" s="1"/>
  <c r="M18" i="8" l="1"/>
  <c r="J14" i="5"/>
  <c r="K12"/>
  <c r="L28" i="4" s="1"/>
  <c r="L29" s="1"/>
  <c r="N25" i="7" l="1"/>
  <c r="L30" i="4"/>
  <c r="L31" s="1"/>
  <c r="L39" l="1"/>
  <c r="L40" s="1"/>
  <c r="L41" s="1"/>
  <c r="K6" i="5"/>
  <c r="K4" s="1"/>
  <c r="L33" i="4"/>
  <c r="L36"/>
  <c r="M16" i="7"/>
  <c r="M17" i="8" l="1"/>
  <c r="M19" s="1"/>
  <c r="M20" s="1"/>
  <c r="M17" i="7"/>
  <c r="M18" s="1"/>
  <c r="M21" s="1"/>
  <c r="M22" s="1"/>
  <c r="L34" i="4"/>
  <c r="L35"/>
  <c r="K11" i="5"/>
  <c r="K8"/>
  <c r="K15" l="1"/>
  <c r="K13"/>
  <c r="L9" s="1"/>
  <c r="K14" l="1"/>
  <c r="N18" i="8"/>
  <c r="L12" i="5"/>
  <c r="M28" i="4" s="1"/>
  <c r="M29" s="1"/>
  <c r="M30" l="1"/>
  <c r="M31" s="1"/>
  <c r="M33" l="1"/>
  <c r="N16" i="7"/>
  <c r="M36" i="4"/>
  <c r="M39"/>
  <c r="M40" s="1"/>
  <c r="M41" s="1"/>
  <c r="L6" i="5"/>
  <c r="L4" s="1"/>
  <c r="L11" s="1"/>
  <c r="M35" i="4" l="1"/>
  <c r="M34"/>
  <c r="L15" i="5"/>
  <c r="L14" s="1"/>
  <c r="O18" i="8" s="1"/>
  <c r="L13" i="5"/>
  <c r="M9" s="1"/>
  <c r="N17" i="8"/>
  <c r="N19" s="1"/>
  <c r="N20" s="1"/>
  <c r="N17" i="7"/>
  <c r="N18" s="1"/>
  <c r="N21" l="1"/>
  <c r="N22" s="1"/>
  <c r="N26"/>
  <c r="M12" i="5"/>
  <c r="N28" i="4" s="1"/>
  <c r="N29" s="1"/>
  <c r="N31" l="1"/>
  <c r="M6" i="5" s="1"/>
  <c r="M4" s="1"/>
  <c r="M11" s="1"/>
  <c r="N30" i="4"/>
  <c r="O16" i="7" s="1"/>
  <c r="M15" i="5" l="1"/>
  <c r="M14" s="1"/>
  <c r="M13"/>
  <c r="N9" s="1"/>
  <c r="O17" i="8"/>
  <c r="O19" s="1"/>
  <c r="O20" s="1"/>
  <c r="O17" i="7"/>
  <c r="O18" s="1"/>
  <c r="E22" i="8" l="1"/>
  <c r="E21"/>
  <c r="O21" i="7"/>
  <c r="O22" s="1"/>
  <c r="O26"/>
  <c r="N12" i="5"/>
  <c r="O28" i="4" s="1"/>
  <c r="O29" s="1"/>
  <c r="O30" l="1"/>
  <c r="P16" i="7" s="1"/>
  <c r="P17" s="1"/>
  <c r="P18" s="1"/>
  <c r="P21" s="1"/>
  <c r="P22" s="1"/>
  <c r="O31" i="4" l="1"/>
  <c r="N6" i="5" s="1"/>
  <c r="N4" s="1"/>
  <c r="N11" s="1"/>
  <c r="N15" l="1"/>
  <c r="N14" s="1"/>
  <c r="N13"/>
  <c r="O9" l="1"/>
  <c r="O11"/>
  <c r="O15" s="1"/>
  <c r="O14" s="1"/>
  <c r="O12" l="1"/>
  <c r="P28" i="4" s="1"/>
  <c r="P29" s="1"/>
  <c r="O13" i="5"/>
  <c r="P30" i="4" l="1"/>
  <c r="Q16" i="7" s="1"/>
  <c r="Q17" s="1"/>
  <c r="Q18" s="1"/>
  <c r="P31" i="4" l="1"/>
  <c r="O6" i="5" s="1"/>
  <c r="O4" s="1"/>
  <c r="Q21" i="7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C19"/>
  <c r="C20"/>
  <c r="T10" i="1" l="1"/>
  <c r="S20"/>
  <c r="T16"/>
  <c r="N33"/>
  <c r="T5"/>
  <c r="T6"/>
  <c r="T11"/>
  <c r="N34"/>
  <c r="T17"/>
  <c r="S29"/>
</calcChain>
</file>

<file path=xl/sharedStrings.xml><?xml version="1.0" encoding="utf-8"?>
<sst xmlns="http://schemas.openxmlformats.org/spreadsheetml/2006/main" count="852" uniqueCount="538">
  <si>
    <t>BẢNG 1: CÁC THÔNG SỐ ĐẦU VÀO CỦA DỰ ÁN</t>
  </si>
  <si>
    <t>Thông số về dự án và vận hành dự án</t>
  </si>
  <si>
    <t>Phương án trả nợ</t>
  </si>
  <si>
    <t>TT</t>
  </si>
  <si>
    <t>Khoản mục</t>
  </si>
  <si>
    <t>Thời gian xây dựng</t>
  </si>
  <si>
    <t>Tổng cộng</t>
  </si>
  <si>
    <t>STT</t>
  </si>
  <si>
    <t>KHOẢN MỤC</t>
  </si>
  <si>
    <t>NĂM ĐẦU TƯ</t>
  </si>
  <si>
    <t>NĂM HOẠT ĐỘNG</t>
  </si>
  <si>
    <t>Trước thuế</t>
  </si>
  <si>
    <t>VAT</t>
  </si>
  <si>
    <t>Sau thuế</t>
  </si>
  <si>
    <t>Tỷ trọng</t>
  </si>
  <si>
    <t>Địa điểm xây dựng:</t>
  </si>
  <si>
    <t>I</t>
  </si>
  <si>
    <t>Khoản vay NHTM và nước ngoài</t>
  </si>
  <si>
    <t>Năm hoạt động</t>
  </si>
  <si>
    <t>Năm XDCB</t>
  </si>
  <si>
    <t>A</t>
  </si>
  <si>
    <t>Tổng nhu cầu vốn trong thời gian xây dựng</t>
  </si>
  <si>
    <t>Xây lắp</t>
  </si>
  <si>
    <t>Nguồn trả nợ</t>
  </si>
  <si>
    <t>Dòng tiền vào</t>
  </si>
  <si>
    <t>Tổng mức đầu tư chưa bao gồm lãi vay</t>
  </si>
  <si>
    <t xml:space="preserve">Thời gian cho vay </t>
  </si>
  <si>
    <t>năm</t>
  </si>
  <si>
    <t>-</t>
  </si>
  <si>
    <t>Mức huy động CSTK</t>
  </si>
  <si>
    <t>Khấu hao cơ bản</t>
  </si>
  <si>
    <t>Doanh thu</t>
  </si>
  <si>
    <t>- Doanh thu</t>
  </si>
  <si>
    <t>NPV</t>
  </si>
  <si>
    <t>Chỉ tiêu về chế độ dự án</t>
  </si>
  <si>
    <t>Thời gian trả nợ</t>
  </si>
  <si>
    <t>Thiết bị</t>
  </si>
  <si>
    <t>Chi phí hoạt động</t>
  </si>
  <si>
    <t>- DAR</t>
  </si>
  <si>
    <t>IRR</t>
  </si>
  <si>
    <t>Công suất thiết kế</t>
  </si>
  <si>
    <t>Thời gian ân hạn</t>
  </si>
  <si>
    <t xml:space="preserve"> Các khoản phải thu AR </t>
  </si>
  <si>
    <t>- Thanh lý tài sản</t>
  </si>
  <si>
    <t>CSTK</t>
  </si>
  <si>
    <t>III</t>
  </si>
  <si>
    <t xml:space="preserve">Chi phí quản lý </t>
  </si>
  <si>
    <t>DAR = AR1 - AR2</t>
  </si>
  <si>
    <t>- Hoàn thuế VAT</t>
  </si>
  <si>
    <t>Khi tăng lãi suất</t>
  </si>
  <si>
    <t>Chi phí đền bù, GPMB</t>
  </si>
  <si>
    <t>IV</t>
  </si>
  <si>
    <t>Chi phí</t>
  </si>
  <si>
    <t>Cân đối trả nợ</t>
  </si>
  <si>
    <t xml:space="preserve">Các khoản phải trả AP </t>
  </si>
  <si>
    <t>Tổng ngân lưu vào</t>
  </si>
  <si>
    <t>KHCB</t>
  </si>
  <si>
    <t>DAP = AP1 - AP2</t>
  </si>
  <si>
    <t>Dòng tiền ra</t>
  </si>
  <si>
    <t>Lợi nhuận sau thuế dùng trả nợ</t>
  </si>
  <si>
    <t>LT thuần</t>
  </si>
  <si>
    <t xml:space="preserve">Cân đối tiền mặt CB </t>
  </si>
  <si>
    <t>- Chi phí đầu tư</t>
  </si>
  <si>
    <t>Dự phòng</t>
  </si>
  <si>
    <t>Nguồn khác (.............)</t>
  </si>
  <si>
    <t>trđ</t>
  </si>
  <si>
    <t>DCB = CB2 - CB1</t>
  </si>
  <si>
    <t>- Chi phí hoạt động</t>
  </si>
  <si>
    <t>Lãi vay trong thời gian thi công</t>
  </si>
  <si>
    <t>*</t>
  </si>
  <si>
    <t>V</t>
  </si>
  <si>
    <t>Chi phí sử dụng VTC (chi phí cơ hội)</t>
  </si>
  <si>
    <t>- DAP</t>
  </si>
  <si>
    <t>B</t>
  </si>
  <si>
    <t>Cơ cấu nguồn vốn</t>
  </si>
  <si>
    <t>Lãi suất vay vốn cố định</t>
  </si>
  <si>
    <t>- DCB</t>
  </si>
  <si>
    <t>Khi giảm giá bán</t>
  </si>
  <si>
    <t>- Thuế TNDN</t>
  </si>
  <si>
    <t>II</t>
  </si>
  <si>
    <t>Chi phí dự phòng</t>
  </si>
  <si>
    <t>Tổng ngân lưu ra</t>
  </si>
  <si>
    <t>2.1</t>
  </si>
  <si>
    <t>Cơ cấu vốn vay NHTM</t>
  </si>
  <si>
    <t>Ngân lưu ròng</t>
  </si>
  <si>
    <t>Đầu tư XDCB</t>
  </si>
  <si>
    <t>DT</t>
  </si>
  <si>
    <t>Tỷ suất chiết khấu (WACC)</t>
  </si>
  <si>
    <t>Lãi vay thi công</t>
  </si>
  <si>
    <t>Thời hạn cho vay</t>
  </si>
  <si>
    <t>Lãi vay trong thời gian xây dựng</t>
  </si>
  <si>
    <t>2.2</t>
  </si>
  <si>
    <t>Lãi vay vốn cố định</t>
  </si>
  <si>
    <t>Dòng tiền chiết khẩu</t>
  </si>
  <si>
    <t>Dòng tiền chiết khấu lũy kế</t>
  </si>
  <si>
    <t>Thuế TNDN</t>
  </si>
  <si>
    <t>Thời gian hoàn vốn</t>
  </si>
  <si>
    <t>LN sau thuế (EAT)</t>
  </si>
  <si>
    <t>Hồ sơ biến đổi</t>
  </si>
  <si>
    <t>Khi chi phí hoạt động tăng</t>
  </si>
  <si>
    <t>Tăng tổng mức đầu tư</t>
  </si>
  <si>
    <t>Giá bán giảm</t>
  </si>
  <si>
    <t>Thông số về vốn lưu động</t>
  </si>
  <si>
    <t>Khoản phải thu</t>
  </si>
  <si>
    <t>Vòng đời dự án</t>
  </si>
  <si>
    <t>Khoản phải trả</t>
  </si>
  <si>
    <t>CP</t>
  </si>
  <si>
    <t>Cân đối tiền mặt</t>
  </si>
  <si>
    <t>Vòng quay VLĐ</t>
  </si>
  <si>
    <t>Vòng/năm</t>
  </si>
  <si>
    <t>Thông số về thuế</t>
  </si>
  <si>
    <t>- Vay NHTM trong nước</t>
  </si>
  <si>
    <t>- Trả nợ NHTM trong nước</t>
  </si>
  <si>
    <r>
      <t>NPV</t>
    </r>
    <r>
      <rPr>
        <vertAlign val="superscript"/>
        <sz val="10"/>
        <rFont val="Times New Roman"/>
        <family val="1"/>
      </rPr>
      <t>EPV</t>
    </r>
  </si>
  <si>
    <r>
      <t>IRR</t>
    </r>
    <r>
      <rPr>
        <vertAlign val="superscript"/>
        <sz val="10"/>
        <rFont val="Times New Roman"/>
        <family val="1"/>
      </rPr>
      <t>EPV</t>
    </r>
  </si>
  <si>
    <t>Chi phi khác</t>
  </si>
  <si>
    <t>Lãi vay VLĐ</t>
  </si>
  <si>
    <t>Chi phí nguyên, nhiên vật liệu</t>
  </si>
  <si>
    <t>Vốn lưu động (4-6+8+10)</t>
  </si>
  <si>
    <t xml:space="preserve"> Tồn kho hàng hóa</t>
  </si>
  <si>
    <t>Tỷ lệ giảm sản lượng</t>
  </si>
  <si>
    <t>Nhu cầu vay vốn</t>
  </si>
  <si>
    <t>VLĐ</t>
  </si>
  <si>
    <t xml:space="preserve">Nhu cầu vay vốn </t>
  </si>
  <si>
    <t>Hiệu quả của dự án</t>
  </si>
  <si>
    <t>Vòng quay hàng tồn kho</t>
  </si>
  <si>
    <t>Đơn vị</t>
  </si>
  <si>
    <t>Nguyên vật liệu</t>
  </si>
  <si>
    <t>Chi phí quản lý doanh nghiệp</t>
  </si>
  <si>
    <t>Vốn vay NHTM</t>
  </si>
  <si>
    <t>Vay Agribank CN Long Biên</t>
  </si>
  <si>
    <t>Vốn vay nội tệ NHTM</t>
  </si>
  <si>
    <t>Thông số về vốn đầu tư và nguồn vốn</t>
  </si>
  <si>
    <t>BẢNG 7: DÒNG TIỀN THEO QUAN ĐIỂM CHỦ ĐẦU TƯ (EPV)</t>
  </si>
  <si>
    <t>Nội dung</t>
  </si>
  <si>
    <t xml:space="preserve">Vay Agribank </t>
  </si>
  <si>
    <t>Vốn tự có tham gia dự án (không tính VAT)</t>
  </si>
  <si>
    <t xml:space="preserve">Tỷ trọng </t>
  </si>
  <si>
    <t>C/Phí nguyên vật liệu đầu vào</t>
  </si>
  <si>
    <t>Chi phí sản xuất chung</t>
  </si>
  <si>
    <t>Chi phí lương nhân công</t>
  </si>
  <si>
    <t>Chi phí bán hàng</t>
  </si>
  <si>
    <t>(Tính cho 1 năm hoạt động)</t>
  </si>
  <si>
    <t xml:space="preserve">                           Đơn vị tính: 1000 đồng</t>
  </si>
  <si>
    <t>Khoản mục chi phí</t>
  </si>
  <si>
    <t>Diễn giải</t>
  </si>
  <si>
    <t xml:space="preserve">Thành tiền </t>
  </si>
  <si>
    <t>Chi phí nhân viên quản lý + phục vụ</t>
  </si>
  <si>
    <t>Tiền điện, nước, điện thoại, fax</t>
  </si>
  <si>
    <t xml:space="preserve">50.000.000 đ/tháng x 12 tháng </t>
  </si>
  <si>
    <t>Văn phòng phẩm + báo, tạp chí</t>
  </si>
  <si>
    <t xml:space="preserve">10.000.000 đ/tháng x 12 tháng </t>
  </si>
  <si>
    <t xml:space="preserve">Công tác phí </t>
  </si>
  <si>
    <t>Hoá đơn, chứng từ, in ấn...</t>
  </si>
  <si>
    <t xml:space="preserve">7.000.000 đ/tháng x 12 tháng </t>
  </si>
  <si>
    <t>Chi phí hội họp, hội nghị</t>
  </si>
  <si>
    <t>Trang bị, sửa chữa dụng cụ văn phòng</t>
  </si>
  <si>
    <t xml:space="preserve">20.000.000 đ/tháng x 12 tháng </t>
  </si>
  <si>
    <t>Bảo hiểm máy móc thiết bị</t>
  </si>
  <si>
    <t>0,25%Tbi + 0,5%Cháy nổ</t>
  </si>
  <si>
    <t>Nâng cao tay nghề, huấn luyện an toàn lao động</t>
  </si>
  <si>
    <t>Chi sáng kiến cải tiến kỹ thuật</t>
  </si>
  <si>
    <t>Chi phí nghiên cứu chạy thử</t>
  </si>
  <si>
    <t>Chi khác bằng tiền</t>
  </si>
  <si>
    <t xml:space="preserve">Tổng cộng </t>
  </si>
  <si>
    <t>Đơn vị tính: 1000 đồng</t>
  </si>
  <si>
    <t>Số TT</t>
  </si>
  <si>
    <t>Hạng mục</t>
  </si>
  <si>
    <t>Cộng</t>
  </si>
  <si>
    <t>Ghi chú</t>
  </si>
  <si>
    <t>Chi phí vận tải tiêu thụ nội địa</t>
  </si>
  <si>
    <t>1.1</t>
  </si>
  <si>
    <t>Vận tải vào TPHCM và các vùng lân cận (10%)</t>
  </si>
  <si>
    <t>1000.000 đ/tấn</t>
  </si>
  <si>
    <t>1.2</t>
  </si>
  <si>
    <t>600.000 đ/tấn</t>
  </si>
  <si>
    <t>1.3</t>
  </si>
  <si>
    <t>150.000 đ/tấn</t>
  </si>
  <si>
    <t>Chi phí vận tải, xếp dỡ hàng tiêu thụ xuất khẩu (20%)</t>
  </si>
  <si>
    <t>Lương nhân viên bán hàng</t>
  </si>
  <si>
    <t>0,5% doanh thu bán hàng</t>
  </si>
  <si>
    <t>Quảng cáo</t>
  </si>
  <si>
    <t>1% doanh thu bán hàng</t>
  </si>
  <si>
    <t>Khuyến mại</t>
  </si>
  <si>
    <t>2% doanh thu bán hàng</t>
  </si>
  <si>
    <t>Chi phí đi lại, công tác phí và nghiên cứu thị trường</t>
  </si>
  <si>
    <t>Chi phí điện thoại, fax và khác</t>
  </si>
  <si>
    <t>Chi phí tiếp khách, hội nghị KH, hội trợ triển lãm ...</t>
  </si>
  <si>
    <t>Tổng chi phí</t>
  </si>
  <si>
    <t>ĐVT</t>
  </si>
  <si>
    <t>Số lượng</t>
  </si>
  <si>
    <t>Giá bán 
(1000 đ)</t>
  </si>
  <si>
    <t>Doanh thu 
(1000 đ)</t>
  </si>
  <si>
    <t>Đơn giá
 tiền lương 
(1000 đ)</t>
  </si>
  <si>
    <t>Quỹ lương 
(1000 đ)</t>
  </si>
  <si>
    <t>Tổng quỹ tiền lương SX</t>
  </si>
  <si>
    <t>Sản lượng sản xuất QTC</t>
  </si>
  <si>
    <t>Tấn</t>
  </si>
  <si>
    <t>Tiền lương bán hàng</t>
  </si>
  <si>
    <t>Tiền lương lễ + phép</t>
  </si>
  <si>
    <t>( Theo mức lương 850.000đ )</t>
  </si>
  <si>
    <t xml:space="preserve">(550 người x 1,8 x 22 ngày x 850.000 )/24 ngày </t>
  </si>
  <si>
    <t>Tổng cộng quĩ tiền lương</t>
  </si>
  <si>
    <t>( I + II + III )</t>
  </si>
  <si>
    <t xml:space="preserve">Trong đó tiền lương các bộ phận </t>
  </si>
  <si>
    <t>Quản lý doanh nghiệp</t>
  </si>
  <si>
    <t>Quản lý phân xưởng</t>
  </si>
  <si>
    <t>Bảo vệ + Phục vụ + Lái xe con</t>
  </si>
  <si>
    <t xml:space="preserve">Bán hàng </t>
  </si>
  <si>
    <t>Công nhân sản xuất</t>
  </si>
  <si>
    <t>Cộng :</t>
  </si>
  <si>
    <t>(Không kể lãi vay ngân hàng và khấu hao TSCĐ)</t>
  </si>
  <si>
    <t>Đơn giá
(1000đ)</t>
  </si>
  <si>
    <t>Định mức 
tiêu hao</t>
  </si>
  <si>
    <t>Giá thành
 (1000đ)</t>
  </si>
  <si>
    <t>Tổng chi phí
(1000đ)</t>
  </si>
  <si>
    <t>Chi phí trực tiếp</t>
  </si>
  <si>
    <t>Nguyên liệu trong nước</t>
  </si>
  <si>
    <t>Cát trắng</t>
  </si>
  <si>
    <t>Fenspat</t>
  </si>
  <si>
    <t>Đô lô mít</t>
  </si>
  <si>
    <t>1.4</t>
  </si>
  <si>
    <t>Đá vôi</t>
  </si>
  <si>
    <t>1.5</t>
  </si>
  <si>
    <t>Than</t>
  </si>
  <si>
    <t>1.6</t>
  </si>
  <si>
    <t>Kính vụn</t>
  </si>
  <si>
    <t>Nguyên liệu nhập ngoại</t>
  </si>
  <si>
    <t>Sô đa</t>
  </si>
  <si>
    <t>Sun phát Natri</t>
  </si>
  <si>
    <t>2.3</t>
  </si>
  <si>
    <t>Hoá chất tạo màu</t>
  </si>
  <si>
    <t>Nhiên liệu</t>
  </si>
  <si>
    <t>3.1</t>
  </si>
  <si>
    <t>Khí thiên nhiên</t>
  </si>
  <si>
    <t>M3</t>
  </si>
  <si>
    <t>3.2</t>
  </si>
  <si>
    <t>Dầu</t>
  </si>
  <si>
    <t>Điện sản xuất</t>
  </si>
  <si>
    <t>Kwh</t>
  </si>
  <si>
    <t>Chi phí SX Nitơ và Hiđro</t>
  </si>
  <si>
    <t>Thiếc</t>
  </si>
  <si>
    <t>Kg</t>
  </si>
  <si>
    <t>Bao bì</t>
  </si>
  <si>
    <t xml:space="preserve"> 1000 đồng</t>
  </si>
  <si>
    <t>Chi phí nhân công trực tiếp</t>
  </si>
  <si>
    <t>C</t>
  </si>
  <si>
    <t>Giá thành công xưởng</t>
  </si>
  <si>
    <t>D</t>
  </si>
  <si>
    <t>E</t>
  </si>
  <si>
    <t>Định mức</t>
  </si>
  <si>
    <t>Đơn giá  (1000đ)</t>
  </si>
  <si>
    <t>Thành tiền (1000.đồng)</t>
  </si>
  <si>
    <t>Chi phí lương quản lý phân xưởng</t>
  </si>
  <si>
    <t>Quần áo bảo hộ lao động</t>
  </si>
  <si>
    <t>bộ/người</t>
  </si>
  <si>
    <t>Giày, mũ, găng tay</t>
  </si>
  <si>
    <t>Công cụ, dụng cụ khác (kể cả dụng cụ thí nghiệm)</t>
  </si>
  <si>
    <t>1.000đ /tháng</t>
  </si>
  <si>
    <t>Chi phí dầu mỡ bôi trơn, dầu DO chạy máy phát, dầu Do phục vụ xe máy, dầu thuỷ lực, hoá chất thí nghiệm, vật tư phụ,...</t>
  </si>
  <si>
    <t>Chi phí nước sản xuất</t>
  </si>
  <si>
    <t>1000đ/m3</t>
  </si>
  <si>
    <t>Chi phí bảo dưỡng, sửa chữa thường xuyên và phụ tùng thay thế</t>
  </si>
  <si>
    <t>Chi phí bảo dưỡng khu công nghiệp</t>
  </si>
  <si>
    <t>USD/m2</t>
  </si>
  <si>
    <t>Chi phí sử lý nước thải</t>
  </si>
  <si>
    <t>Chi phí trích lập dự phòng sửa chữa lớn</t>
  </si>
  <si>
    <t>1.000đ</t>
  </si>
  <si>
    <t xml:space="preserve">Chi phí bằng tiền khác </t>
  </si>
  <si>
    <t>Chi phí xây dựng</t>
  </si>
  <si>
    <t>Khấu hao</t>
  </si>
  <si>
    <t>Vốn vay cá nhân</t>
  </si>
  <si>
    <t>Chi phí quản lý dự án</t>
  </si>
  <si>
    <t>Chi phí tư vấn đầu tư xây dựng</t>
  </si>
  <si>
    <t>F</t>
  </si>
  <si>
    <t>Tổng mức đầu tư</t>
  </si>
  <si>
    <t>Chủng loại kính</t>
  </si>
  <si>
    <t>Kg/m2</t>
  </si>
  <si>
    <t>Tỷ lệ</t>
  </si>
  <si>
    <t>Giá bán 
(đồng)</t>
  </si>
  <si>
    <t>Giá dự án</t>
  </si>
  <si>
    <t>Giá bán Bình quân tấn/m2QTC
 (đồng)</t>
  </si>
  <si>
    <t>Kính trắng 2mm</t>
  </si>
  <si>
    <t>Kính trắng 4mm</t>
  </si>
  <si>
    <t>Kính mầu 4mm</t>
  </si>
  <si>
    <t>Kính trắng 5 mm</t>
  </si>
  <si>
    <t>Kính mầu 5 mm</t>
  </si>
  <si>
    <t>Kính trắng 6 mm</t>
  </si>
  <si>
    <t>Kính trắng 7 mm</t>
  </si>
  <si>
    <t>Kính mầu 7 mm</t>
  </si>
  <si>
    <t>Kính trắng 8 mm</t>
  </si>
  <si>
    <t>Kính mầu 8 mm</t>
  </si>
  <si>
    <t>Kính trắng 9 mm</t>
  </si>
  <si>
    <t>Kính trắng 10 mm</t>
  </si>
  <si>
    <t>Kính mầu 10 mm</t>
  </si>
  <si>
    <t>Kính trắng 10 mm (khổ lớn)</t>
  </si>
  <si>
    <t>Kính trắng 12 mm</t>
  </si>
  <si>
    <t>Kính mầu 12 mm</t>
  </si>
  <si>
    <t>Kính trắng 12 mm (khổ lớn)</t>
  </si>
  <si>
    <t>Kính trắng 15 mm</t>
  </si>
  <si>
    <t>Kính trắng 19mm</t>
  </si>
  <si>
    <t>Giá bán thưc tế BQ/m2QTC</t>
  </si>
  <si>
    <t>Tổng sản lượng dự kiến 1 năm</t>
  </si>
  <si>
    <t>Giá bán thực tế BQ/tấn SP QTC</t>
  </si>
  <si>
    <t>Giá bán nội địa DA/tấn QTC</t>
  </si>
  <si>
    <t>Giá bán thực tế</t>
  </si>
  <si>
    <t>Giá bán xuất khẩu DA/tấn QTC</t>
  </si>
  <si>
    <t>Giá bán bình quân DA/tấn QTC</t>
  </si>
  <si>
    <t>đồng/m2</t>
  </si>
  <si>
    <t>Lãi vay vốn lưu động</t>
  </si>
  <si>
    <t>4.1</t>
  </si>
  <si>
    <t>4.2</t>
  </si>
  <si>
    <t>4.3</t>
  </si>
  <si>
    <t>4.4</t>
  </si>
  <si>
    <t>4.5</t>
  </si>
  <si>
    <t>Năm 2018</t>
  </si>
  <si>
    <t>Năm 2019</t>
  </si>
  <si>
    <r>
      <t>NPV</t>
    </r>
    <r>
      <rPr>
        <vertAlign val="superscript"/>
        <sz val="10"/>
        <rFont val="Times New Roman"/>
        <family val="1"/>
      </rPr>
      <t>TIP -15 năm</t>
    </r>
  </si>
  <si>
    <r>
      <t>IRR</t>
    </r>
    <r>
      <rPr>
        <vertAlign val="superscript"/>
        <sz val="10"/>
        <rFont val="Times New Roman"/>
        <family val="1"/>
      </rPr>
      <t>TIP- 15 năm</t>
    </r>
  </si>
  <si>
    <t>Năm 2020</t>
  </si>
  <si>
    <t>Năm 2021</t>
  </si>
  <si>
    <t>Năm 2022</t>
  </si>
  <si>
    <t>Năm 2023</t>
  </si>
  <si>
    <t>Năm 2024</t>
  </si>
  <si>
    <t>Năm 2025</t>
  </si>
  <si>
    <t>Năm 2026</t>
  </si>
  <si>
    <t>Năm 2027</t>
  </si>
  <si>
    <t>Năm 2028</t>
  </si>
  <si>
    <t>Năm 2029</t>
  </si>
  <si>
    <t>Năm 2030</t>
  </si>
  <si>
    <t>Năm 2031</t>
  </si>
  <si>
    <t>Giá bán bình quân sản phẩm</t>
  </si>
  <si>
    <t>Tăng lãi suất cho vay</t>
  </si>
  <si>
    <t>Chi phí nguyên liệu đầu vào tăng</t>
  </si>
  <si>
    <t xml:space="preserve"> Tổng mức ĐT </t>
  </si>
  <si>
    <t>Số tiền</t>
  </si>
  <si>
    <t xml:space="preserve"> Tỷ trọng </t>
  </si>
  <si>
    <t xml:space="preserve">Vốn tự có </t>
  </si>
  <si>
    <t>Sản lượng giảm</t>
  </si>
  <si>
    <t>Chi phí tư vấn dự án</t>
  </si>
  <si>
    <t xml:space="preserve"> Trả nợ gốc theo nguồn ngân lưu thực tế của dự án</t>
  </si>
  <si>
    <t>Tổng giá bán bình quân</t>
  </si>
  <si>
    <t>Giá bán bq kính trắng</t>
  </si>
  <si>
    <t>Giá bán bq kính màu</t>
  </si>
  <si>
    <t>Bảng 4: Kết quả kinh doanh</t>
  </si>
  <si>
    <t>BẢNG 6: NHU CẦU VỐN LƯU ĐỘNG</t>
  </si>
  <si>
    <t>BẢNG 7: DÒNG TIỀN THEO QUAN ĐIỂM TỔNG ĐẦU TƯ (TIP)</t>
  </si>
  <si>
    <t>Bảng 8: Phân tích độ nhạy dự án</t>
  </si>
  <si>
    <t>BẢNG 9: CHI PHÍ SX CHUNG</t>
  </si>
  <si>
    <t>BẢNG 10: CHI PHÍ QUẢN LÝ</t>
  </si>
  <si>
    <t>BẢNG 11: CHI PHÍ BÁN HÀNG</t>
  </si>
  <si>
    <t>BẢNG 12: SẢN LƯỢNG SẢN XUẤT VÀ CHI PHÍ TIỀN LƯƠNG CHO NĂM HOẠT ĐỘNG ỔN ĐỊNH</t>
  </si>
  <si>
    <t>BẢNG 13: CHI PHÍ SẢN XUẤT CHO 1 TẤN KÍNH TRẮNG</t>
  </si>
  <si>
    <t>BẢNG 14: CHI PHÍ SẢN XUẤT CHO 1 TẤN KÍNH MÀU</t>
  </si>
  <si>
    <t>BẢNG 15: TÍNH GIÁ BÁN</t>
  </si>
  <si>
    <t>Vận tải vào Miền Trung (10%)</t>
  </si>
  <si>
    <t>Vận tải miền Bắc đến Hà Nội và vùng lân cận (60%)</t>
  </si>
  <si>
    <t>Địa điểm vận chuyển</t>
  </si>
  <si>
    <t>TPHCM và vùng lân cận</t>
  </si>
  <si>
    <t>Miền Trung</t>
  </si>
  <si>
    <t>Miền bắc, Hà Nội và lân cận</t>
  </si>
  <si>
    <t>1.000.0000 đ/tấn</t>
  </si>
  <si>
    <t>150.000đ/tấn</t>
  </si>
  <si>
    <t>Giá cước vận chuyển hàng hóa</t>
  </si>
  <si>
    <t>Tỷ lệ tiêu thụ</t>
  </si>
  <si>
    <t xml:space="preserve">Xuất khẩu </t>
  </si>
  <si>
    <t>Lợi nhuận trước thuế</t>
  </si>
  <si>
    <t>Thông số</t>
  </si>
  <si>
    <t>II. Trả nợ Agribank</t>
  </si>
  <si>
    <t>1. Khấu hao cơ bản</t>
  </si>
  <si>
    <t>1. Dư nợ đầu kỳ</t>
  </si>
  <si>
    <t xml:space="preserve">3. Trả Gốc </t>
  </si>
  <si>
    <t>4. Lãi vay</t>
  </si>
  <si>
    <t xml:space="preserve">1. Gốc </t>
  </si>
  <si>
    <t>2. Lãi vay</t>
  </si>
  <si>
    <t xml:space="preserve">Khấu hao </t>
  </si>
  <si>
    <t>Khấu hao và lãi vay</t>
  </si>
  <si>
    <t>Nhiên liệu (Dầu, khí)</t>
  </si>
  <si>
    <t>Điện</t>
  </si>
  <si>
    <t>Nhân công , quản lý, chung</t>
  </si>
  <si>
    <t>Bán hàng</t>
  </si>
  <si>
    <t>Nguyên liệu (cát, fenpast, đolomit. Natri snffat.)</t>
  </si>
  <si>
    <t>Hóa chất ( soda, tạo màu)</t>
  </si>
  <si>
    <t xml:space="preserve">Tổng </t>
  </si>
  <si>
    <t>Giá thành
(nghìn đồng)</t>
  </si>
  <si>
    <t>Quyền phán quyết cấp tín dụng theo QĐ số 31/QĐ-HĐTV-KHDN ngày 15/01/2014 và Thông báo số 371/NHNo-KHDN ngày 20/01/2016</t>
  </si>
  <si>
    <t>KHDN Xếp loại A</t>
  </si>
  <si>
    <t>Tổng mức cấp tín dụng</t>
  </si>
  <si>
    <t>Tổng mức cấp TD đến thời điểm  xin vay (1)</t>
  </si>
  <si>
    <t>Đề xuất mớí (2)</t>
  </si>
  <si>
    <t>Tổng mức cấp tín dụng (1)+(2)</t>
  </si>
  <si>
    <t>Tổng giám đốc</t>
  </si>
  <si>
    <t>Agribank Chi nhánh Sở Giao dịch</t>
  </si>
  <si>
    <t>Agribank Chi nhánh Quảng Nam</t>
  </si>
  <si>
    <t>TGĐ  phải qua Hội đồng tín dụng</t>
  </si>
  <si>
    <t>Hội đồng thành viên</t>
  </si>
  <si>
    <t>2.078 tỷ đồng</t>
  </si>
  <si>
    <t> 2.078 tỷ đồng</t>
  </si>
  <si>
    <t>≤ 120 tỷ đồng</t>
  </si>
  <si>
    <t>≤ 150 tỷ đồng</t>
  </si>
  <si>
    <t>≤ 500 tỷ đồng</t>
  </si>
  <si>
    <t>≤ 1000 tỷ đồng</t>
  </si>
  <si>
    <t>&gt; 1000 tỷ đồng</t>
  </si>
  <si>
    <t>Công ty TNHH Công nghiệp Hạ Long CFG
 (khách hàng xếp loại A)</t>
  </si>
  <si>
    <t>LN trước khấu hao và lãi vay</t>
  </si>
  <si>
    <t>năm (không kể thời gian ân hạn)</t>
  </si>
  <si>
    <t>năm (cả thời gian ân hạn)</t>
  </si>
  <si>
    <t>Chỉ tiêu đánh giá</t>
  </si>
  <si>
    <t>4. Dư nợ cuối kỳ</t>
  </si>
  <si>
    <t>III. Tổng trả nợ gốc</t>
  </si>
  <si>
    <t>I. Nguồn trả nợ gốc</t>
  </si>
  <si>
    <t>2. Lợi nhuận sau thuế</t>
  </si>
  <si>
    <t>BẢNG 5: KẾ HOẠCH TRẢ NỢ GỐC</t>
  </si>
  <si>
    <t>2. Giải ngân trong kỳ</t>
  </si>
  <si>
    <t>Chủ đầu tư:  Công ty TNHH XD &amp; sản xuất VLXD Bình Minh</t>
  </si>
  <si>
    <t>m3/ngày đêm</t>
  </si>
  <si>
    <t>2 Năm đầu</t>
  </si>
  <si>
    <t>2 Năm tiếp theo</t>
  </si>
  <si>
    <t>Năm thứ 16</t>
  </si>
  <si>
    <t>Năm thứ 17</t>
  </si>
  <si>
    <t>Từ năm thứ 18</t>
  </si>
  <si>
    <t>Sản phẩm</t>
  </si>
  <si>
    <t>Giá bán nước cho sinh hoạt</t>
  </si>
  <si>
    <t>Giá bán nước cho nhu cầu thương mại</t>
  </si>
  <si>
    <t>Giá bán nước cho công cộng và công sở</t>
  </si>
  <si>
    <t>Giá bán nước cho công nghiệp</t>
  </si>
  <si>
    <t>Giá nước cho sinh hoạt</t>
  </si>
  <si>
    <t>Giá nước cho thương mại</t>
  </si>
  <si>
    <t>Giá nước cho công cộng và công sở</t>
  </si>
  <si>
    <t>Giá nước cho công nghiệp</t>
  </si>
  <si>
    <t>VNĐ/m3</t>
  </si>
  <si>
    <t>Nước thô</t>
  </si>
  <si>
    <t>Hóa chất</t>
  </si>
  <si>
    <t xml:space="preserve">Đường ống nước thô </t>
  </si>
  <si>
    <t>Xây dựng</t>
  </si>
  <si>
    <t>Công nghệ</t>
  </si>
  <si>
    <t>Thiết bị và điện</t>
  </si>
  <si>
    <t>ĐẦU TƯ NHÀ MÁY NƯỚC SẠCH BÌNH MINH GIAI ĐOẠN II - CÔNG SUẤT 60.000 M3/NGÀY ĐÊM</t>
  </si>
  <si>
    <t>Đơn vị: triệu đồng</t>
  </si>
  <si>
    <t>1. Chi tiết các hạng chi phí của dự án đầu tư</t>
  </si>
  <si>
    <t>Hạng mục đầu tư</t>
  </si>
  <si>
    <t>Giá trị đầu tư trước thuế</t>
  </si>
  <si>
    <t>Giá trị đầu tư  sau thuế</t>
  </si>
  <si>
    <t>Phần xây dựng</t>
  </si>
  <si>
    <t>Hồ lắng bùn</t>
  </si>
  <si>
    <t>Bể lắng - bể trộn</t>
  </si>
  <si>
    <t>Bể lọc</t>
  </si>
  <si>
    <t>Bể chứa</t>
  </si>
  <si>
    <t>Ga thoát nước mưa</t>
  </si>
  <si>
    <t>Tuyến ống truyền tải</t>
  </si>
  <si>
    <t>Phần công nghệ</t>
  </si>
  <si>
    <t>Đường ống kỹ thuật</t>
  </si>
  <si>
    <t>Trạm bơm nước thô</t>
  </si>
  <si>
    <t>Trạm bơm cấp 2</t>
  </si>
  <si>
    <t>Cụm bê trộn, lắng ngang, bể phản ứng, bể lọc</t>
  </si>
  <si>
    <t>Bể chứa nước lọc</t>
  </si>
  <si>
    <t>Nhà hóa chất</t>
  </si>
  <si>
    <t>Hố thu bùn</t>
  </si>
  <si>
    <t>Đường ống truyền tải</t>
  </si>
  <si>
    <t>Phần điện</t>
  </si>
  <si>
    <t>Điện điều khiển</t>
  </si>
  <si>
    <t xml:space="preserve"> - Hệ thống Scanda</t>
  </si>
  <si>
    <t xml:space="preserve"> - Trạm bơm nước thô</t>
  </si>
  <si>
    <t xml:space="preserve"> - Trạm bơm cấp 2</t>
  </si>
  <si>
    <t xml:space="preserve"> - Điều khiển rửa lọc</t>
  </si>
  <si>
    <t xml:space="preserve"> - Nhà hóa chất Nhà Clo</t>
  </si>
  <si>
    <t>Điện trạm biến áp</t>
  </si>
  <si>
    <t>2</t>
  </si>
  <si>
    <t>Chi phí thiết bị</t>
  </si>
  <si>
    <t>Trạm bơm cấp II</t>
  </si>
  <si>
    <t>Cụm bể trộn,lắng ngang, bể phản ứng, bể lọc</t>
  </si>
  <si>
    <t>3</t>
  </si>
  <si>
    <t>4</t>
  </si>
  <si>
    <t>Bồi thường giải phóng mặt bằng</t>
  </si>
  <si>
    <t>5</t>
  </si>
  <si>
    <t>6</t>
  </si>
  <si>
    <t>Chi tư vấn khác</t>
  </si>
  <si>
    <t>7</t>
  </si>
  <si>
    <t>8</t>
  </si>
  <si>
    <t>2. Các hạng mục sau khi phân bổ lại chi phí đầu tư</t>
  </si>
  <si>
    <t>1</t>
  </si>
  <si>
    <t>Hạng mục xây dựng</t>
  </si>
  <si>
    <t>Hạng mục công nghệ</t>
  </si>
  <si>
    <t>Hạng mục thiết bị và điện</t>
  </si>
  <si>
    <t xml:space="preserve"> Bảng 3: Kế hoạch khấu hao</t>
  </si>
  <si>
    <t xml:space="preserve"> Chỉ tiêu</t>
  </si>
  <si>
    <t xml:space="preserve">Giá trị </t>
  </si>
  <si>
    <t xml:space="preserve"> Thời gian khấu hao </t>
  </si>
  <si>
    <t xml:space="preserve"> Năm hoạt động</t>
  </si>
  <si>
    <t>Tổng giá trị khấu hao</t>
  </si>
  <si>
    <t xml:space="preserve">Ghi chú: </t>
  </si>
  <si>
    <t>Công ty thực hiện khấu hao theo công suất khai thác của nhà máy</t>
  </si>
  <si>
    <t>Năm 2032</t>
  </si>
  <si>
    <t>Năm 2033</t>
  </si>
  <si>
    <t>Năm 2034</t>
  </si>
  <si>
    <t>Năm 2035</t>
  </si>
  <si>
    <t>Năm 2036</t>
  </si>
  <si>
    <t>Năm 2037</t>
  </si>
  <si>
    <t>Năm 2038</t>
  </si>
  <si>
    <t>Năm 2039</t>
  </si>
  <si>
    <t>Năm 2040</t>
  </si>
  <si>
    <t>Năm 2041</t>
  </si>
  <si>
    <t>Năm 2042</t>
  </si>
  <si>
    <t>Sản lượng nước sản xuất thực tế</t>
  </si>
  <si>
    <t>Tỷ lệ hao hụt</t>
  </si>
  <si>
    <t>Doanh thu bán nước sinh hoạt</t>
  </si>
  <si>
    <t>Doanh thu bán nước thương mại</t>
  </si>
  <si>
    <t>Doanh thu bán nước công cộng, công sở</t>
  </si>
  <si>
    <t>Doanh thu bán nước công nghiệp</t>
  </si>
  <si>
    <t>Đường ống nước thô</t>
  </si>
  <si>
    <t>Công suất nước phát ra</t>
  </si>
  <si>
    <t>Bảng 2:  THÔNG SỐ DỰ ÁN</t>
  </si>
  <si>
    <t>BẢNG TÍNH LÃI VAY THI CÔNG VÀ LỊCH RÚT VỐN</t>
  </si>
  <si>
    <t>Stt</t>
  </si>
  <si>
    <t>Chỉ tiêu</t>
  </si>
  <si>
    <t>Giá trị</t>
  </si>
  <si>
    <t>Thời gian thực hiện</t>
  </si>
  <si>
    <t>Tổng mức đầu tư sau thuế</t>
  </si>
  <si>
    <t>Tổng mức đầu tư trước thuế</t>
  </si>
  <si>
    <t>- Vốn vay NH</t>
  </si>
  <si>
    <t>- Vốn tự có</t>
  </si>
  <si>
    <t>Tiến độ thực hiện dự án</t>
  </si>
  <si>
    <t>Tiến độ vốn đối ứng</t>
  </si>
  <si>
    <t>2 năm</t>
  </si>
  <si>
    <t>Tiến độ giải ngân vốn vay</t>
  </si>
  <si>
    <t>Vay ngân hàng</t>
  </si>
  <si>
    <t>Thời gian vay</t>
  </si>
  <si>
    <t>Lãi suất vay (tháng)</t>
  </si>
  <si>
    <t>Tổng lãi vay phải trả</t>
  </si>
  <si>
    <t>Kỳ I</t>
  </si>
  <si>
    <t>Kỳ II</t>
  </si>
  <si>
    <t>Kỳ III</t>
  </si>
  <si>
    <t>Kỳ IV</t>
  </si>
  <si>
    <t>Kỳ V</t>
  </si>
  <si>
    <t>Kỳ VI</t>
  </si>
  <si>
    <t>Đơn vị: Triệu VNĐ</t>
  </si>
  <si>
    <t>Nước sạch</t>
  </si>
  <si>
    <t>Thanh Hóa</t>
  </si>
</sst>
</file>

<file path=xl/styles.xml><?xml version="1.0" encoding="utf-8"?>
<styleSheet xmlns="http://schemas.openxmlformats.org/spreadsheetml/2006/main">
  <numFmts count="20">
    <numFmt numFmtId="43" formatCode="_-* #,##0.00_-;\-* #,##0.00_-;_-* &quot;-&quot;??_-;_-@_-"/>
    <numFmt numFmtId="169" formatCode="_(* #,##0_);_(* \(#,##0\);_(* &quot;-&quot;_);_(@_)"/>
    <numFmt numFmtId="171" formatCode="_(* #,##0.00_);_(* \(#,##0.00\);_(* &quot;-&quot;??_);_(@_)"/>
    <numFmt numFmtId="172" formatCode="_(* #,##0_);_(* \(#,##0\);_(* &quot;-&quot;??_);_(@_)"/>
    <numFmt numFmtId="174" formatCode="0.0%"/>
    <numFmt numFmtId="175" formatCode="#,##0.0"/>
    <numFmt numFmtId="176" formatCode="#,##0_ ;\-#,##0\ "/>
    <numFmt numFmtId="178" formatCode="#,##0.0_);\(#,##0.0\)"/>
    <numFmt numFmtId="179" formatCode="_(* #,##0.0_);_(* \(#,##0.0\);_(* &quot;-&quot;??_);_(@_)"/>
    <numFmt numFmtId="180" formatCode="_-* #,##0_-;\-* #,##0_-;_-* &quot;-&quot;??_-;_-@_-"/>
    <numFmt numFmtId="181" formatCode="#,##0_ ;[Red]\-#,##0\ "/>
    <numFmt numFmtId="184" formatCode="###\ ###\ ###\ ###"/>
    <numFmt numFmtId="185" formatCode="_ * #,##0_ ;_ * \-#,##0_ ;_ * &quot;-&quot;_ ;_ @_ "/>
    <numFmt numFmtId="186" formatCode="#,##0.000"/>
    <numFmt numFmtId="187" formatCode="_(* #,##0.0000_);_(* \(#,##0.0000\);_(* &quot;-&quot;??_);_(@_)"/>
    <numFmt numFmtId="188" formatCode="_-* #,##0.000_-;\-* #,##0.000_-;_-* &quot;-&quot;??_-;_-@_-"/>
    <numFmt numFmtId="189" formatCode="_-* #,##0.0000_-;\-* #,##0.0000_-;_-* &quot;-&quot;??_-;_-@_-"/>
    <numFmt numFmtId="190" formatCode="0.000%"/>
    <numFmt numFmtId="191" formatCode="0_);\(0\)"/>
    <numFmt numFmtId="193" formatCode="0.00000%"/>
  </numFmts>
  <fonts count="66">
    <font>
      <sz val="10"/>
      <name val="Arial"/>
    </font>
    <font>
      <sz val="12"/>
      <name val="Arial"/>
      <family val="2"/>
    </font>
    <font>
      <b/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b/>
      <i/>
      <sz val="10"/>
      <name val="Times New Roman"/>
      <family val="1"/>
    </font>
    <font>
      <b/>
      <i/>
      <sz val="9"/>
      <name val="Times New Roman"/>
      <family val="1"/>
    </font>
    <font>
      <sz val="11"/>
      <name val="Times New Roman"/>
      <family val="1"/>
    </font>
    <font>
      <sz val="10"/>
      <color indexed="9"/>
      <name val="Times New Roman"/>
      <family val="1"/>
    </font>
    <font>
      <b/>
      <i/>
      <sz val="8"/>
      <name val="Times New Roman"/>
      <family val="1"/>
    </font>
    <font>
      <vertAlign val="superscript"/>
      <sz val="10"/>
      <name val="Times New Roman"/>
      <family val="1"/>
    </font>
    <font>
      <sz val="10"/>
      <color indexed="10"/>
      <name val="Times New Roman"/>
      <family val="1"/>
    </font>
    <font>
      <sz val="9"/>
      <color indexed="9"/>
      <name val="Times New Roman"/>
      <family val="1"/>
    </font>
    <font>
      <sz val="10"/>
      <name val="Arial"/>
      <family val="2"/>
      <charset val="163"/>
    </font>
    <font>
      <b/>
      <sz val="13"/>
      <name val="Times New Roman"/>
      <family val="1"/>
    </font>
    <font>
      <i/>
      <sz val="10"/>
      <name val="Times New Roman"/>
      <family val="1"/>
    </font>
    <font>
      <sz val="14"/>
      <name val=".VnTime"/>
      <family val="2"/>
    </font>
    <font>
      <sz val="14"/>
      <name val="Times New Roman"/>
      <family val="1"/>
    </font>
    <font>
      <b/>
      <sz val="14"/>
      <color indexed="10"/>
      <name val="Times New Roman"/>
      <family val="1"/>
    </font>
    <font>
      <sz val="11"/>
      <name val="ＭＳ Ｐゴシック"/>
      <family val="3"/>
      <charset val="128"/>
    </font>
    <font>
      <b/>
      <i/>
      <sz val="14"/>
      <name val="Times New Roman"/>
      <family val="1"/>
    </font>
    <font>
      <sz val="14"/>
      <color indexed="10"/>
      <name val="Times New Roman"/>
      <family val="1"/>
    </font>
    <font>
      <sz val="13"/>
      <name val="Times New Roman"/>
      <family val="1"/>
    </font>
    <font>
      <b/>
      <i/>
      <sz val="13"/>
      <name val="Times New Roman"/>
      <family val="1"/>
    </font>
    <font>
      <sz val="13"/>
      <color indexed="10"/>
      <name val="Times New Roman"/>
      <family val="1"/>
    </font>
    <font>
      <b/>
      <sz val="13"/>
      <color indexed="10"/>
      <name val="Times New Roman"/>
      <family val="1"/>
    </font>
    <font>
      <b/>
      <i/>
      <sz val="13"/>
      <color indexed="10"/>
      <name val="Times New Roman"/>
      <family val="1"/>
    </font>
    <font>
      <b/>
      <u/>
      <sz val="13"/>
      <name val="Times New Roman"/>
      <family val="1"/>
    </font>
    <font>
      <b/>
      <u/>
      <sz val="13"/>
      <color indexed="10"/>
      <name val="Times New Roman"/>
      <family val="1"/>
    </font>
    <font>
      <b/>
      <sz val="10"/>
      <name val="Arial"/>
      <family val="2"/>
    </font>
    <font>
      <b/>
      <sz val="10"/>
      <name val="Arial"/>
      <family val="2"/>
    </font>
    <font>
      <sz val="12"/>
      <color indexed="12"/>
      <name val="Times New Roman"/>
      <family val="1"/>
    </font>
    <font>
      <sz val="12"/>
      <name val="Calibri"/>
      <family val="2"/>
    </font>
    <font>
      <i/>
      <sz val="13"/>
      <name val="Times New Roman"/>
      <family val="1"/>
    </font>
    <font>
      <sz val="10"/>
      <name val="Calibri"/>
      <family val="2"/>
    </font>
    <font>
      <sz val="12"/>
      <color indexed="9"/>
      <name val="Times New Roman"/>
      <family val="1"/>
    </font>
    <font>
      <i/>
      <sz val="12"/>
      <name val="Times New Roman"/>
      <family val="1"/>
    </font>
    <font>
      <b/>
      <sz val="12"/>
      <color indexed="10"/>
      <name val="Times New Roman"/>
      <family val="1"/>
    </font>
    <font>
      <b/>
      <i/>
      <sz val="12"/>
      <color indexed="10"/>
      <name val="Times New Roman"/>
      <family val="1"/>
    </font>
    <font>
      <i/>
      <sz val="12"/>
      <color indexed="10"/>
      <name val="Times New Roman"/>
      <family val="1"/>
    </font>
    <font>
      <sz val="12"/>
      <color indexed="10"/>
      <name val="Times New Roman"/>
      <family val="1"/>
    </font>
    <font>
      <b/>
      <i/>
      <sz val="12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i/>
      <sz val="18"/>
      <name val="Times New Roman"/>
      <family val="1"/>
    </font>
    <font>
      <sz val="11"/>
      <color indexed="8"/>
      <name val="Times New Roman"/>
      <family val="2"/>
    </font>
    <font>
      <b/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4"/>
      <color theme="0"/>
      <name val="Times New Roman"/>
      <family val="1"/>
    </font>
    <font>
      <b/>
      <sz val="12"/>
      <color theme="0"/>
      <name val="Times New Roman"/>
      <family val="1"/>
    </font>
    <font>
      <b/>
      <i/>
      <sz val="12"/>
      <color theme="0"/>
      <name val="Times New Roman"/>
      <family val="1"/>
    </font>
    <font>
      <i/>
      <sz val="12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7">
    <xf numFmtId="0" fontId="0" fillId="0" borderId="0"/>
    <xf numFmtId="171" fontId="3" fillId="0" borderId="0" applyFont="0" applyFill="0" applyBorder="0" applyAlignment="0" applyProtection="0"/>
    <xf numFmtId="185" fontId="22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8" fillId="0" borderId="0"/>
    <xf numFmtId="0" fontId="54" fillId="0" borderId="0"/>
    <xf numFmtId="0" fontId="25" fillId="0" borderId="0"/>
    <xf numFmtId="0" fontId="1" fillId="0" borderId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692">
    <xf numFmtId="0" fontId="0" fillId="0" borderId="0" xfId="0"/>
    <xf numFmtId="0" fontId="4" fillId="2" borderId="0" xfId="0" applyFont="1" applyFill="1" applyAlignment="1">
      <alignment vertical="center"/>
    </xf>
    <xf numFmtId="172" fontId="4" fillId="2" borderId="0" xfId="1" applyNumberFormat="1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4" fillId="2" borderId="3" xfId="14" applyFont="1" applyFill="1" applyBorder="1" applyAlignment="1">
      <alignment horizontal="center" vertical="center"/>
    </xf>
    <xf numFmtId="0" fontId="4" fillId="2" borderId="3" xfId="14" applyFont="1" applyFill="1" applyBorder="1" applyAlignment="1">
      <alignment vertical="center"/>
    </xf>
    <xf numFmtId="0" fontId="7" fillId="2" borderId="3" xfId="14" applyFont="1" applyFill="1" applyBorder="1" applyAlignment="1">
      <alignment horizontal="center" vertical="center"/>
    </xf>
    <xf numFmtId="0" fontId="4" fillId="2" borderId="4" xfId="14" applyFont="1" applyFill="1" applyBorder="1" applyAlignment="1">
      <alignment vertical="center"/>
    </xf>
    <xf numFmtId="172" fontId="4" fillId="2" borderId="4" xfId="1" applyNumberFormat="1" applyFont="1" applyFill="1" applyBorder="1" applyAlignment="1">
      <alignment vertical="center"/>
    </xf>
    <xf numFmtId="0" fontId="7" fillId="2" borderId="4" xfId="14" applyFont="1" applyFill="1" applyBorder="1" applyAlignment="1">
      <alignment horizontal="center" vertical="center"/>
    </xf>
    <xf numFmtId="0" fontId="7" fillId="2" borderId="4" xfId="14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Continuous" vertical="center"/>
    </xf>
    <xf numFmtId="0" fontId="7" fillId="2" borderId="2" xfId="14" applyFont="1" applyFill="1" applyBorder="1" applyAlignment="1">
      <alignment horizontal="center" vertical="center"/>
    </xf>
    <xf numFmtId="0" fontId="7" fillId="2" borderId="2" xfId="14" applyFont="1" applyFill="1" applyBorder="1" applyAlignment="1">
      <alignment vertical="center"/>
    </xf>
    <xf numFmtId="3" fontId="7" fillId="2" borderId="2" xfId="14" applyNumberFormat="1" applyFont="1" applyFill="1" applyBorder="1" applyAlignment="1">
      <alignment horizontal="right" vertical="center"/>
    </xf>
    <xf numFmtId="9" fontId="7" fillId="2" borderId="2" xfId="15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72" fontId="7" fillId="2" borderId="1" xfId="1" applyNumberFormat="1" applyFont="1" applyFill="1" applyBorder="1" applyAlignment="1">
      <alignment vertical="center"/>
    </xf>
    <xf numFmtId="172" fontId="7" fillId="2" borderId="0" xfId="1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1" fillId="2" borderId="2" xfId="14" applyFont="1" applyFill="1" applyBorder="1" applyAlignment="1">
      <alignment horizontal="center" vertical="center"/>
    </xf>
    <xf numFmtId="0" fontId="11" fillId="2" borderId="2" xfId="14" applyFont="1" applyFill="1" applyBorder="1" applyAlignment="1">
      <alignment vertical="center"/>
    </xf>
    <xf numFmtId="3" fontId="12" fillId="2" borderId="2" xfId="14" applyNumberFormat="1" applyFont="1" applyFill="1" applyBorder="1" applyAlignment="1">
      <alignment vertical="center"/>
    </xf>
    <xf numFmtId="174" fontId="12" fillId="2" borderId="2" xfId="14" applyNumberFormat="1" applyFont="1" applyFill="1" applyBorder="1" applyAlignment="1">
      <alignment vertical="center"/>
    </xf>
    <xf numFmtId="0" fontId="4" fillId="2" borderId="4" xfId="14" applyFont="1" applyFill="1" applyBorder="1" applyAlignment="1">
      <alignment horizontal="center" vertical="center"/>
    </xf>
    <xf numFmtId="172" fontId="4" fillId="2" borderId="2" xfId="1" applyNumberFormat="1" applyFont="1" applyFill="1" applyBorder="1" applyAlignment="1">
      <alignment vertical="center"/>
    </xf>
    <xf numFmtId="9" fontId="4" fillId="2" borderId="2" xfId="15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3" fontId="4" fillId="2" borderId="4" xfId="0" applyNumberFormat="1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vertical="center"/>
    </xf>
    <xf numFmtId="169" fontId="4" fillId="2" borderId="0" xfId="0" applyNumberFormat="1" applyFont="1" applyFill="1" applyBorder="1" applyAlignment="1">
      <alignment vertical="center"/>
    </xf>
    <xf numFmtId="9" fontId="4" fillId="2" borderId="0" xfId="15" applyFont="1" applyFill="1" applyAlignment="1">
      <alignment vertical="center"/>
    </xf>
    <xf numFmtId="9" fontId="4" fillId="2" borderId="2" xfId="0" applyNumberFormat="1" applyFont="1" applyFill="1" applyBorder="1" applyAlignment="1">
      <alignment vertical="center"/>
    </xf>
    <xf numFmtId="37" fontId="4" fillId="2" borderId="2" xfId="0" applyNumberFormat="1" applyFont="1" applyFill="1" applyBorder="1" applyAlignment="1">
      <alignment vertical="center"/>
    </xf>
    <xf numFmtId="3" fontId="4" fillId="2" borderId="4" xfId="14" applyNumberFormat="1" applyFont="1" applyFill="1" applyBorder="1" applyAlignment="1">
      <alignment vertical="center"/>
    </xf>
    <xf numFmtId="174" fontId="4" fillId="2" borderId="4" xfId="14" applyNumberFormat="1" applyFont="1" applyFill="1" applyBorder="1" applyAlignment="1">
      <alignment vertical="center"/>
    </xf>
    <xf numFmtId="3" fontId="4" fillId="2" borderId="5" xfId="0" applyNumberFormat="1" applyFont="1" applyFill="1" applyBorder="1" applyAlignment="1">
      <alignment vertical="center"/>
    </xf>
    <xf numFmtId="172" fontId="4" fillId="2" borderId="0" xfId="1" applyNumberFormat="1" applyFont="1" applyFill="1" applyBorder="1" applyAlignment="1">
      <alignment vertical="center"/>
    </xf>
    <xf numFmtId="9" fontId="4" fillId="2" borderId="4" xfId="14" applyNumberFormat="1" applyFont="1" applyFill="1" applyBorder="1" applyAlignment="1">
      <alignment vertical="center"/>
    </xf>
    <xf numFmtId="172" fontId="7" fillId="2" borderId="2" xfId="1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78" fontId="4" fillId="2" borderId="2" xfId="0" applyNumberFormat="1" applyFont="1" applyFill="1" applyBorder="1" applyAlignment="1">
      <alignment vertical="center"/>
    </xf>
    <xf numFmtId="9" fontId="4" fillId="2" borderId="4" xfId="15" applyNumberFormat="1" applyFont="1" applyFill="1" applyBorder="1" applyAlignment="1">
      <alignment vertical="center"/>
    </xf>
    <xf numFmtId="0" fontId="4" fillId="2" borderId="4" xfId="14" applyFont="1" applyFill="1" applyBorder="1" applyAlignment="1">
      <alignment horizontal="left" vertical="center"/>
    </xf>
    <xf numFmtId="3" fontId="4" fillId="2" borderId="6" xfId="0" applyNumberFormat="1" applyFont="1" applyFill="1" applyBorder="1" applyAlignment="1">
      <alignment vertical="center"/>
    </xf>
    <xf numFmtId="178" fontId="4" fillId="2" borderId="1" xfId="0" applyNumberFormat="1" applyFont="1" applyFill="1" applyBorder="1" applyAlignment="1">
      <alignment vertical="center"/>
    </xf>
    <xf numFmtId="178" fontId="4" fillId="2" borderId="0" xfId="0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172" fontId="11" fillId="2" borderId="4" xfId="1" applyNumberFormat="1" applyFont="1" applyFill="1" applyBorder="1" applyAlignment="1">
      <alignment vertical="center"/>
    </xf>
    <xf numFmtId="172" fontId="11" fillId="2" borderId="0" xfId="1" applyNumberFormat="1" applyFont="1" applyFill="1" applyBorder="1" applyAlignment="1">
      <alignment vertical="center"/>
    </xf>
    <xf numFmtId="174" fontId="4" fillId="2" borderId="2" xfId="15" applyNumberFormat="1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/>
    </xf>
    <xf numFmtId="9" fontId="4" fillId="2" borderId="4" xfId="15" applyFont="1" applyFill="1" applyBorder="1" applyAlignment="1">
      <alignment vertical="center"/>
    </xf>
    <xf numFmtId="3" fontId="4" fillId="0" borderId="4" xfId="14" applyNumberFormat="1" applyFont="1" applyFill="1" applyBorder="1" applyAlignment="1">
      <alignment vertical="center"/>
    </xf>
    <xf numFmtId="10" fontId="4" fillId="2" borderId="2" xfId="15" applyNumberFormat="1" applyFont="1" applyFill="1" applyBorder="1" applyAlignment="1">
      <alignment vertical="center"/>
    </xf>
    <xf numFmtId="3" fontId="7" fillId="2" borderId="2" xfId="14" applyNumberFormat="1" applyFont="1" applyFill="1" applyBorder="1" applyAlignment="1">
      <alignment vertical="center" wrapText="1"/>
    </xf>
    <xf numFmtId="3" fontId="7" fillId="2" borderId="2" xfId="14" applyNumberFormat="1" applyFont="1" applyFill="1" applyBorder="1" applyAlignment="1">
      <alignment horizontal="center" vertical="center" wrapText="1"/>
    </xf>
    <xf numFmtId="0" fontId="9" fillId="2" borderId="1" xfId="14" applyFont="1" applyFill="1" applyBorder="1" applyAlignment="1">
      <alignment horizontal="center" vertical="center"/>
    </xf>
    <xf numFmtId="0" fontId="9" fillId="2" borderId="1" xfId="14" applyFont="1" applyFill="1" applyBorder="1" applyAlignment="1">
      <alignment vertical="center" wrapText="1"/>
    </xf>
    <xf numFmtId="3" fontId="9" fillId="2" borderId="1" xfId="14" applyNumberFormat="1" applyFont="1" applyFill="1" applyBorder="1" applyAlignment="1">
      <alignment vertical="center"/>
    </xf>
    <xf numFmtId="0" fontId="9" fillId="2" borderId="4" xfId="14" applyFont="1" applyFill="1" applyBorder="1" applyAlignment="1">
      <alignment horizontal="center" vertical="center"/>
    </xf>
    <xf numFmtId="0" fontId="9" fillId="2" borderId="4" xfId="14" applyFont="1" applyFill="1" applyBorder="1" applyAlignment="1">
      <alignment vertical="center"/>
    </xf>
    <xf numFmtId="3" fontId="9" fillId="2" borderId="4" xfId="14" applyNumberFormat="1" applyFont="1" applyFill="1" applyBorder="1" applyAlignment="1">
      <alignment vertical="center"/>
    </xf>
    <xf numFmtId="174" fontId="9" fillId="2" borderId="4" xfId="15" applyNumberFormat="1" applyFont="1" applyFill="1" applyBorder="1" applyAlignment="1">
      <alignment horizontal="center" vertical="center"/>
    </xf>
    <xf numFmtId="174" fontId="7" fillId="2" borderId="4" xfId="15" applyNumberFormat="1" applyFont="1" applyFill="1" applyBorder="1" applyAlignment="1">
      <alignment vertical="center"/>
    </xf>
    <xf numFmtId="38" fontId="11" fillId="2" borderId="4" xfId="0" applyNumberFormat="1" applyFont="1" applyFill="1" applyBorder="1" applyAlignment="1">
      <alignment vertical="center"/>
    </xf>
    <xf numFmtId="38" fontId="11" fillId="2" borderId="0" xfId="0" applyNumberFormat="1" applyFont="1" applyFill="1" applyBorder="1" applyAlignment="1">
      <alignment vertical="center"/>
    </xf>
    <xf numFmtId="0" fontId="10" fillId="2" borderId="4" xfId="14" applyFont="1" applyFill="1" applyBorder="1" applyAlignment="1">
      <alignment horizontal="center" vertical="center"/>
    </xf>
    <xf numFmtId="0" fontId="10" fillId="2" borderId="4" xfId="14" applyFont="1" applyFill="1" applyBorder="1" applyAlignment="1">
      <alignment vertical="center"/>
    </xf>
    <xf numFmtId="3" fontId="10" fillId="2" borderId="4" xfId="14" applyNumberFormat="1" applyFont="1" applyFill="1" applyBorder="1" applyAlignment="1">
      <alignment vertical="center"/>
    </xf>
    <xf numFmtId="10" fontId="10" fillId="2" borderId="4" xfId="15" applyNumberFormat="1" applyFont="1" applyFill="1" applyBorder="1" applyAlignment="1">
      <alignment vertical="center"/>
    </xf>
    <xf numFmtId="174" fontId="10" fillId="2" borderId="4" xfId="15" applyNumberFormat="1" applyFont="1" applyFill="1" applyBorder="1" applyAlignment="1">
      <alignment horizontal="center" vertical="center"/>
    </xf>
    <xf numFmtId="38" fontId="4" fillId="2" borderId="4" xfId="0" applyNumberFormat="1" applyFont="1" applyFill="1" applyBorder="1" applyAlignment="1">
      <alignment vertical="center"/>
    </xf>
    <xf numFmtId="38" fontId="4" fillId="2" borderId="0" xfId="0" applyNumberFormat="1" applyFont="1" applyFill="1" applyBorder="1" applyAlignment="1">
      <alignment vertical="center"/>
    </xf>
    <xf numFmtId="174" fontId="4" fillId="2" borderId="4" xfId="15" applyNumberFormat="1" applyFont="1" applyFill="1" applyBorder="1" applyAlignment="1">
      <alignment horizontal="center" vertical="center"/>
    </xf>
    <xf numFmtId="0" fontId="7" fillId="2" borderId="4" xfId="14" applyFont="1" applyFill="1" applyBorder="1" applyAlignment="1">
      <alignment horizontal="centerContinuous" vertical="center"/>
    </xf>
    <xf numFmtId="3" fontId="4" fillId="2" borderId="3" xfId="14" applyNumberFormat="1" applyFont="1" applyFill="1" applyBorder="1" applyAlignment="1">
      <alignment vertical="center"/>
    </xf>
    <xf numFmtId="174" fontId="4" fillId="2" borderId="3" xfId="15" applyNumberFormat="1" applyFont="1" applyFill="1" applyBorder="1" applyAlignment="1">
      <alignment horizontal="right" vertical="center"/>
    </xf>
    <xf numFmtId="174" fontId="4" fillId="2" borderId="3" xfId="15" applyNumberFormat="1" applyFont="1" applyFill="1" applyBorder="1" applyAlignment="1">
      <alignment horizontal="center" vertical="center"/>
    </xf>
    <xf numFmtId="10" fontId="4" fillId="2" borderId="5" xfId="0" applyNumberFormat="1" applyFont="1" applyFill="1" applyBorder="1" applyAlignment="1">
      <alignment vertical="center"/>
    </xf>
    <xf numFmtId="172" fontId="4" fillId="2" borderId="5" xfId="1" applyNumberFormat="1" applyFont="1" applyFill="1" applyBorder="1" applyAlignment="1">
      <alignment vertical="center"/>
    </xf>
    <xf numFmtId="3" fontId="4" fillId="2" borderId="3" xfId="14" applyNumberFormat="1" applyFont="1" applyFill="1" applyBorder="1" applyAlignment="1">
      <alignment vertical="center" wrapText="1"/>
    </xf>
    <xf numFmtId="0" fontId="17" fillId="2" borderId="0" xfId="0" applyFont="1" applyFill="1" applyAlignment="1">
      <alignment vertical="center"/>
    </xf>
    <xf numFmtId="1" fontId="4" fillId="2" borderId="0" xfId="0" applyNumberFormat="1" applyFont="1" applyFill="1" applyBorder="1" applyAlignment="1">
      <alignment vertical="center"/>
    </xf>
    <xf numFmtId="0" fontId="13" fillId="2" borderId="4" xfId="14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4" fillId="2" borderId="8" xfId="14" applyFont="1" applyFill="1" applyBorder="1" applyAlignment="1">
      <alignment vertical="center"/>
    </xf>
    <xf numFmtId="3" fontId="4" fillId="2" borderId="8" xfId="14" applyNumberFormat="1" applyFont="1" applyFill="1" applyBorder="1" applyAlignment="1">
      <alignment vertical="center"/>
    </xf>
    <xf numFmtId="1" fontId="17" fillId="2" borderId="0" xfId="15" applyNumberFormat="1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172" fontId="4" fillId="2" borderId="1" xfId="1" applyNumberFormat="1" applyFont="1" applyFill="1" applyBorder="1" applyAlignment="1">
      <alignment vertical="center"/>
    </xf>
    <xf numFmtId="175" fontId="7" fillId="2" borderId="0" xfId="0" applyNumberFormat="1" applyFont="1" applyFill="1" applyBorder="1" applyAlignment="1">
      <alignment vertical="center"/>
    </xf>
    <xf numFmtId="0" fontId="4" fillId="2" borderId="8" xfId="14" applyFont="1" applyFill="1" applyBorder="1" applyAlignment="1">
      <alignment horizontal="center" vertical="center"/>
    </xf>
    <xf numFmtId="174" fontId="4" fillId="2" borderId="8" xfId="14" applyNumberFormat="1" applyFont="1" applyFill="1" applyBorder="1" applyAlignment="1">
      <alignment horizontal="center" vertical="center"/>
    </xf>
    <xf numFmtId="0" fontId="4" fillId="2" borderId="8" xfId="14" applyFont="1" applyFill="1" applyBorder="1" applyAlignment="1">
      <alignment horizontal="left" vertical="center"/>
    </xf>
    <xf numFmtId="174" fontId="4" fillId="2" borderId="4" xfId="14" applyNumberFormat="1" applyFont="1" applyFill="1" applyBorder="1" applyAlignment="1">
      <alignment horizontal="center" vertical="center"/>
    </xf>
    <xf numFmtId="172" fontId="4" fillId="2" borderId="4" xfId="0" applyNumberFormat="1" applyFont="1" applyFill="1" applyBorder="1" applyAlignment="1">
      <alignment vertical="center"/>
    </xf>
    <xf numFmtId="9" fontId="4" fillId="2" borderId="4" xfId="14" applyNumberFormat="1" applyFont="1" applyFill="1" applyBorder="1" applyAlignment="1">
      <alignment horizontal="center" vertical="center"/>
    </xf>
    <xf numFmtId="172" fontId="11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3" fontId="4" fillId="0" borderId="0" xfId="0" applyNumberFormat="1" applyFont="1" applyFill="1" applyBorder="1" applyAlignment="1">
      <alignment vertical="center"/>
    </xf>
    <xf numFmtId="38" fontId="4" fillId="2" borderId="0" xfId="0" applyNumberFormat="1" applyFont="1" applyFill="1" applyAlignment="1">
      <alignment vertical="center"/>
    </xf>
    <xf numFmtId="38" fontId="4" fillId="2" borderId="1" xfId="0" applyNumberFormat="1" applyFont="1" applyFill="1" applyBorder="1" applyAlignment="1">
      <alignment vertical="center"/>
    </xf>
    <xf numFmtId="9" fontId="4" fillId="2" borderId="3" xfId="15" applyNumberFormat="1" applyFont="1" applyFill="1" applyBorder="1" applyAlignment="1">
      <alignment vertical="center"/>
    </xf>
    <xf numFmtId="181" fontId="11" fillId="2" borderId="4" xfId="0" applyNumberFormat="1" applyFont="1" applyFill="1" applyBorder="1" applyAlignment="1">
      <alignment vertical="center"/>
    </xf>
    <xf numFmtId="181" fontId="11" fillId="2" borderId="4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9" fontId="10" fillId="2" borderId="4" xfId="15" applyNumberFormat="1" applyFont="1" applyFill="1" applyBorder="1" applyAlignment="1">
      <alignment horizontal="right" vertical="center"/>
    </xf>
    <xf numFmtId="9" fontId="4" fillId="2" borderId="4" xfId="15" applyNumberFormat="1" applyFont="1" applyFill="1" applyBorder="1" applyAlignment="1">
      <alignment horizontal="right" vertical="center"/>
    </xf>
    <xf numFmtId="9" fontId="4" fillId="2" borderId="3" xfId="15" applyNumberFormat="1" applyFont="1" applyFill="1" applyBorder="1" applyAlignment="1">
      <alignment horizontal="right" vertical="center"/>
    </xf>
    <xf numFmtId="9" fontId="9" fillId="2" borderId="4" xfId="15" applyNumberFormat="1" applyFont="1" applyFill="1" applyBorder="1" applyAlignment="1">
      <alignment vertical="center"/>
    </xf>
    <xf numFmtId="3" fontId="7" fillId="2" borderId="4" xfId="1" applyNumberFormat="1" applyFont="1" applyFill="1" applyBorder="1" applyAlignment="1">
      <alignment horizontal="center" vertical="center"/>
    </xf>
    <xf numFmtId="172" fontId="4" fillId="2" borderId="0" xfId="0" applyNumberFormat="1" applyFont="1" applyFill="1" applyAlignment="1">
      <alignment vertical="center"/>
    </xf>
    <xf numFmtId="43" fontId="4" fillId="2" borderId="0" xfId="0" applyNumberFormat="1" applyFont="1" applyFill="1" applyAlignment="1">
      <alignment vertical="center"/>
    </xf>
    <xf numFmtId="0" fontId="7" fillId="2" borderId="3" xfId="14" applyFont="1" applyFill="1" applyBorder="1" applyAlignment="1">
      <alignment vertical="center"/>
    </xf>
    <xf numFmtId="172" fontId="7" fillId="2" borderId="3" xfId="1" applyNumberFormat="1" applyFont="1" applyFill="1" applyBorder="1" applyAlignment="1">
      <alignment vertical="center"/>
    </xf>
    <xf numFmtId="9" fontId="7" fillId="2" borderId="3" xfId="15" applyNumberFormat="1" applyFont="1" applyFill="1" applyBorder="1" applyAlignment="1">
      <alignment horizontal="right" vertical="center"/>
    </xf>
    <xf numFmtId="172" fontId="17" fillId="2" borderId="4" xfId="1" applyNumberFormat="1" applyFont="1" applyFill="1" applyBorder="1" applyAlignment="1">
      <alignment horizontal="right" vertical="center"/>
    </xf>
    <xf numFmtId="0" fontId="4" fillId="2" borderId="4" xfId="14" applyFont="1" applyFill="1" applyBorder="1" applyAlignment="1">
      <alignment horizontal="center" vertical="center" wrapText="1"/>
    </xf>
    <xf numFmtId="0" fontId="6" fillId="2" borderId="4" xfId="14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4" fillId="2" borderId="2" xfId="0" applyNumberFormat="1" applyFont="1" applyFill="1" applyBorder="1" applyAlignment="1">
      <alignment horizontal="center" vertical="center"/>
    </xf>
    <xf numFmtId="3" fontId="4" fillId="0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0" xfId="14" applyFont="1" applyFill="1" applyBorder="1" applyAlignment="1">
      <alignment horizontal="center" vertical="center"/>
    </xf>
    <xf numFmtId="0" fontId="4" fillId="2" borderId="10" xfId="14" applyFont="1" applyFill="1" applyBorder="1" applyAlignment="1">
      <alignment vertical="center"/>
    </xf>
    <xf numFmtId="0" fontId="7" fillId="2" borderId="10" xfId="14" applyFont="1" applyFill="1" applyBorder="1" applyAlignment="1">
      <alignment horizontal="center" vertical="center"/>
    </xf>
    <xf numFmtId="0" fontId="7" fillId="2" borderId="8" xfId="14" applyFont="1" applyFill="1" applyBorder="1" applyAlignment="1">
      <alignment horizontal="center" vertical="center"/>
    </xf>
    <xf numFmtId="0" fontId="7" fillId="2" borderId="8" xfId="14" applyFont="1" applyFill="1" applyBorder="1" applyAlignment="1">
      <alignment vertical="center"/>
    </xf>
    <xf numFmtId="9" fontId="7" fillId="2" borderId="4" xfId="14" applyNumberFormat="1" applyFont="1" applyFill="1" applyBorder="1" applyAlignment="1">
      <alignment horizontal="center" vertical="center"/>
    </xf>
    <xf numFmtId="172" fontId="4" fillId="2" borderId="4" xfId="1" applyNumberFormat="1" applyFont="1" applyFill="1" applyBorder="1" applyAlignment="1">
      <alignment horizontal="center" vertical="center"/>
    </xf>
    <xf numFmtId="174" fontId="7" fillId="2" borderId="4" xfId="14" applyNumberFormat="1" applyFont="1" applyFill="1" applyBorder="1" applyAlignment="1">
      <alignment horizontal="center" vertical="center"/>
    </xf>
    <xf numFmtId="38" fontId="5" fillId="2" borderId="4" xfId="1" applyNumberFormat="1" applyFont="1" applyFill="1" applyBorder="1" applyAlignment="1">
      <alignment horizontal="center" vertical="center"/>
    </xf>
    <xf numFmtId="9" fontId="4" fillId="2" borderId="4" xfId="15" applyFont="1" applyFill="1" applyBorder="1" applyAlignment="1">
      <alignment horizontal="center" vertical="center"/>
    </xf>
    <xf numFmtId="3" fontId="15" fillId="2" borderId="2" xfId="14" applyNumberFormat="1" applyFont="1" applyFill="1" applyBorder="1" applyAlignment="1">
      <alignment horizontal="center" vertical="center" wrapText="1"/>
    </xf>
    <xf numFmtId="172" fontId="9" fillId="2" borderId="1" xfId="1" applyNumberFormat="1" applyFont="1" applyFill="1" applyBorder="1" applyAlignment="1">
      <alignment horizontal="center" vertical="center"/>
    </xf>
    <xf numFmtId="0" fontId="21" fillId="2" borderId="4" xfId="14" applyFont="1" applyFill="1" applyBorder="1" applyAlignment="1">
      <alignment vertical="center"/>
    </xf>
    <xf numFmtId="0" fontId="7" fillId="2" borderId="4" xfId="14" applyFont="1" applyFill="1" applyBorder="1" applyAlignment="1">
      <alignment vertical="center" wrapText="1"/>
    </xf>
    <xf numFmtId="0" fontId="7" fillId="2" borderId="4" xfId="14" applyFont="1" applyFill="1" applyBorder="1" applyAlignment="1">
      <alignment horizontal="left" vertical="center"/>
    </xf>
    <xf numFmtId="0" fontId="20" fillId="0" borderId="0" xfId="9" applyFont="1" applyFill="1" applyAlignment="1">
      <alignment horizontal="centerContinuous" vertical="center"/>
    </xf>
    <xf numFmtId="0" fontId="23" fillId="0" borderId="0" xfId="9" applyFont="1" applyFill="1" applyAlignment="1">
      <alignment horizontal="centerContinuous" vertical="center"/>
    </xf>
    <xf numFmtId="3" fontId="23" fillId="0" borderId="0" xfId="9" applyNumberFormat="1" applyFont="1" applyFill="1" applyAlignment="1">
      <alignment horizontal="centerContinuous" vertical="center"/>
    </xf>
    <xf numFmtId="0" fontId="2" fillId="0" borderId="0" xfId="9" applyFont="1" applyFill="1" applyAlignment="1">
      <alignment horizontal="centerContinuous" vertical="center" wrapText="1"/>
    </xf>
    <xf numFmtId="0" fontId="23" fillId="0" borderId="0" xfId="9" applyFont="1" applyFill="1" applyAlignment="1">
      <alignment horizontal="center" vertical="center"/>
    </xf>
    <xf numFmtId="0" fontId="23" fillId="0" borderId="0" xfId="9" applyFont="1" applyFill="1" applyAlignment="1">
      <alignment vertical="center"/>
    </xf>
    <xf numFmtId="3" fontId="23" fillId="0" borderId="11" xfId="9" applyNumberFormat="1" applyFont="1" applyFill="1" applyBorder="1" applyAlignment="1">
      <alignment horizontal="center" vertical="center"/>
    </xf>
    <xf numFmtId="0" fontId="2" fillId="0" borderId="2" xfId="9" applyFont="1" applyFill="1" applyBorder="1" applyAlignment="1">
      <alignment horizontal="center" vertical="center"/>
    </xf>
    <xf numFmtId="3" fontId="2" fillId="0" borderId="2" xfId="9" applyNumberFormat="1" applyFont="1" applyFill="1" applyBorder="1" applyAlignment="1">
      <alignment horizontal="center" vertical="center"/>
    </xf>
    <xf numFmtId="0" fontId="23" fillId="0" borderId="2" xfId="9" applyFont="1" applyFill="1" applyBorder="1" applyAlignment="1">
      <alignment horizontal="center" vertical="center"/>
    </xf>
    <xf numFmtId="3" fontId="24" fillId="0" borderId="2" xfId="9" applyNumberFormat="1" applyFont="1" applyFill="1" applyBorder="1" applyAlignment="1">
      <alignment horizontal="right" vertical="center"/>
    </xf>
    <xf numFmtId="0" fontId="23" fillId="0" borderId="2" xfId="9" applyFont="1" applyFill="1" applyBorder="1" applyAlignment="1">
      <alignment horizontal="center" vertical="center" wrapText="1"/>
    </xf>
    <xf numFmtId="0" fontId="23" fillId="0" borderId="2" xfId="9" applyFont="1" applyFill="1" applyBorder="1" applyAlignment="1">
      <alignment vertical="center" wrapText="1"/>
    </xf>
    <xf numFmtId="3" fontId="23" fillId="0" borderId="2" xfId="9" applyNumberFormat="1" applyFont="1" applyFill="1" applyBorder="1" applyAlignment="1">
      <alignment horizontal="right" vertical="center" wrapText="1"/>
    </xf>
    <xf numFmtId="0" fontId="23" fillId="0" borderId="0" xfId="13" applyFont="1" applyFill="1" applyAlignment="1">
      <alignment vertical="center"/>
    </xf>
    <xf numFmtId="0" fontId="23" fillId="0" borderId="0" xfId="13" applyFont="1" applyFill="1" applyAlignment="1">
      <alignment horizontal="center" vertical="center"/>
    </xf>
    <xf numFmtId="37" fontId="2" fillId="0" borderId="2" xfId="13" applyNumberFormat="1" applyFont="1" applyFill="1" applyBorder="1" applyAlignment="1">
      <alignment horizontal="center" vertical="center"/>
    </xf>
    <xf numFmtId="0" fontId="23" fillId="0" borderId="2" xfId="13" applyFont="1" applyFill="1" applyBorder="1" applyAlignment="1">
      <alignment horizontal="center" vertical="center"/>
    </xf>
    <xf numFmtId="0" fontId="2" fillId="0" borderId="2" xfId="13" applyFont="1" applyFill="1" applyBorder="1" applyAlignment="1">
      <alignment vertical="center"/>
    </xf>
    <xf numFmtId="37" fontId="24" fillId="0" borderId="2" xfId="13" applyNumberFormat="1" applyFont="1" applyFill="1" applyBorder="1" applyAlignment="1">
      <alignment vertical="center"/>
    </xf>
    <xf numFmtId="37" fontId="23" fillId="0" borderId="2" xfId="13" applyNumberFormat="1" applyFont="1" applyFill="1" applyBorder="1" applyAlignment="1">
      <alignment vertical="center"/>
    </xf>
    <xf numFmtId="37" fontId="23" fillId="0" borderId="2" xfId="13" applyNumberFormat="1" applyFont="1" applyFill="1" applyBorder="1" applyAlignment="1">
      <alignment horizontal="center" vertical="center"/>
    </xf>
    <xf numFmtId="0" fontId="23" fillId="0" borderId="2" xfId="13" applyFont="1" applyFill="1" applyBorder="1" applyAlignment="1">
      <alignment vertical="center" wrapText="1"/>
    </xf>
    <xf numFmtId="0" fontId="27" fillId="0" borderId="2" xfId="13" applyFont="1" applyFill="1" applyBorder="1" applyAlignment="1">
      <alignment horizontal="center" vertical="center" wrapText="1"/>
    </xf>
    <xf numFmtId="0" fontId="23" fillId="0" borderId="2" xfId="13" applyFont="1" applyFill="1" applyBorder="1" applyAlignment="1">
      <alignment vertical="center"/>
    </xf>
    <xf numFmtId="0" fontId="5" fillId="0" borderId="7" xfId="9" applyFont="1" applyFill="1" applyBorder="1" applyAlignment="1">
      <alignment horizontal="center" vertical="center"/>
    </xf>
    <xf numFmtId="184" fontId="5" fillId="0" borderId="7" xfId="9" applyNumberFormat="1" applyFont="1" applyFill="1" applyBorder="1" applyAlignment="1">
      <alignment horizontal="center" vertical="center"/>
    </xf>
    <xf numFmtId="184" fontId="5" fillId="0" borderId="7" xfId="9" applyNumberFormat="1" applyFont="1" applyFill="1" applyBorder="1" applyAlignment="1">
      <alignment horizontal="center" vertical="center" wrapText="1"/>
    </xf>
    <xf numFmtId="0" fontId="20" fillId="0" borderId="1" xfId="9" applyFont="1" applyFill="1" applyBorder="1" applyAlignment="1">
      <alignment horizontal="center"/>
    </xf>
    <xf numFmtId="0" fontId="20" fillId="0" borderId="1" xfId="9" applyFont="1" applyFill="1" applyBorder="1"/>
    <xf numFmtId="0" fontId="28" fillId="0" borderId="1" xfId="9" applyFont="1" applyFill="1" applyBorder="1"/>
    <xf numFmtId="184" fontId="28" fillId="0" borderId="1" xfId="9" applyNumberFormat="1" applyFont="1" applyFill="1" applyBorder="1"/>
    <xf numFmtId="0" fontId="28" fillId="0" borderId="4" xfId="9" applyFont="1" applyFill="1" applyBorder="1" applyAlignment="1">
      <alignment horizontal="center"/>
    </xf>
    <xf numFmtId="0" fontId="28" fillId="0" borderId="4" xfId="9" applyFont="1" applyFill="1" applyBorder="1"/>
    <xf numFmtId="3" fontId="28" fillId="0" borderId="4" xfId="9" applyNumberFormat="1" applyFont="1" applyFill="1" applyBorder="1"/>
    <xf numFmtId="3" fontId="20" fillId="0" borderId="4" xfId="9" applyNumberFormat="1" applyFont="1" applyFill="1" applyBorder="1"/>
    <xf numFmtId="0" fontId="20" fillId="0" borderId="4" xfId="9" applyFont="1" applyFill="1" applyBorder="1"/>
    <xf numFmtId="0" fontId="20" fillId="0" borderId="4" xfId="9" applyFont="1" applyFill="1" applyBorder="1" applyAlignment="1">
      <alignment horizontal="center"/>
    </xf>
    <xf numFmtId="3" fontId="20" fillId="0" borderId="4" xfId="2" applyNumberFormat="1" applyFont="1" applyFill="1" applyBorder="1"/>
    <xf numFmtId="0" fontId="30" fillId="0" borderId="4" xfId="9" applyFont="1" applyFill="1" applyBorder="1"/>
    <xf numFmtId="3" fontId="30" fillId="0" borderId="4" xfId="9" applyNumberFormat="1" applyFont="1" applyFill="1" applyBorder="1"/>
    <xf numFmtId="3" fontId="31" fillId="0" borderId="4" xfId="9" applyNumberFormat="1" applyFont="1" applyFill="1" applyBorder="1"/>
    <xf numFmtId="0" fontId="20" fillId="0" borderId="4" xfId="9" applyFont="1" applyFill="1" applyBorder="1" applyAlignment="1">
      <alignment horizontal="left"/>
    </xf>
    <xf numFmtId="0" fontId="28" fillId="0" borderId="5" xfId="9" applyFont="1" applyFill="1" applyBorder="1" applyAlignment="1">
      <alignment horizontal="center"/>
    </xf>
    <xf numFmtId="0" fontId="29" fillId="0" borderId="5" xfId="9" applyFont="1" applyFill="1" applyBorder="1" applyAlignment="1">
      <alignment horizontal="center"/>
    </xf>
    <xf numFmtId="0" fontId="28" fillId="0" borderId="5" xfId="9" applyFont="1" applyFill="1" applyBorder="1"/>
    <xf numFmtId="3" fontId="28" fillId="0" borderId="5" xfId="9" applyNumberFormat="1" applyFont="1" applyFill="1" applyBorder="1"/>
    <xf numFmtId="175" fontId="28" fillId="0" borderId="5" xfId="9" applyNumberFormat="1" applyFont="1" applyFill="1" applyBorder="1"/>
    <xf numFmtId="3" fontId="31" fillId="0" borderId="5" xfId="9" applyNumberFormat="1" applyFont="1" applyFill="1" applyBorder="1"/>
    <xf numFmtId="0" fontId="20" fillId="0" borderId="4" xfId="10" applyFont="1" applyFill="1" applyBorder="1" applyAlignment="1">
      <alignment horizontal="center" vertical="center"/>
    </xf>
    <xf numFmtId="0" fontId="20" fillId="0" borderId="4" xfId="10" applyFont="1" applyFill="1" applyBorder="1" applyAlignment="1">
      <alignment vertical="center"/>
    </xf>
    <xf numFmtId="175" fontId="20" fillId="0" borderId="4" xfId="10" applyNumberFormat="1" applyFont="1" applyFill="1" applyBorder="1" applyAlignment="1">
      <alignment vertical="center"/>
    </xf>
    <xf numFmtId="186" fontId="20" fillId="0" borderId="4" xfId="10" applyNumberFormat="1" applyFont="1" applyFill="1" applyBorder="1" applyAlignment="1">
      <alignment vertical="center"/>
    </xf>
    <xf numFmtId="0" fontId="29" fillId="0" borderId="4" xfId="10" applyFont="1" applyFill="1" applyBorder="1" applyAlignment="1">
      <alignment horizontal="center" vertical="center"/>
    </xf>
    <xf numFmtId="0" fontId="29" fillId="0" borderId="4" xfId="10" applyFont="1" applyFill="1" applyBorder="1" applyAlignment="1">
      <alignment vertical="center"/>
    </xf>
    <xf numFmtId="3" fontId="29" fillId="0" borderId="4" xfId="10" applyNumberFormat="1" applyFont="1" applyFill="1" applyBorder="1" applyAlignment="1">
      <alignment vertical="center"/>
    </xf>
    <xf numFmtId="186" fontId="29" fillId="0" borderId="4" xfId="10" applyNumberFormat="1" applyFont="1" applyFill="1" applyBorder="1" applyAlignment="1">
      <alignment vertical="center"/>
    </xf>
    <xf numFmtId="175" fontId="29" fillId="0" borderId="4" xfId="10" applyNumberFormat="1" applyFont="1" applyFill="1" applyBorder="1" applyAlignment="1">
      <alignment vertical="center"/>
    </xf>
    <xf numFmtId="0" fontId="28" fillId="0" borderId="4" xfId="10" applyFont="1" applyFill="1" applyBorder="1" applyAlignment="1">
      <alignment horizontal="center" vertical="center"/>
    </xf>
    <xf numFmtId="0" fontId="28" fillId="0" borderId="4" xfId="10" applyFont="1" applyFill="1" applyBorder="1" applyAlignment="1">
      <alignment vertical="center"/>
    </xf>
    <xf numFmtId="3" fontId="28" fillId="0" borderId="4" xfId="10" applyNumberFormat="1" applyFont="1" applyFill="1" applyBorder="1" applyAlignment="1">
      <alignment vertical="center"/>
    </xf>
    <xf numFmtId="10" fontId="28" fillId="0" borderId="4" xfId="16" applyNumberFormat="1" applyFont="1" applyFill="1" applyBorder="1" applyAlignment="1">
      <alignment vertical="center"/>
    </xf>
    <xf numFmtId="175" fontId="28" fillId="0" borderId="4" xfId="10" applyNumberFormat="1" applyFont="1" applyFill="1" applyBorder="1" applyAlignment="1">
      <alignment vertical="center"/>
    </xf>
    <xf numFmtId="10" fontId="29" fillId="0" borderId="4" xfId="16" applyNumberFormat="1" applyFont="1" applyFill="1" applyBorder="1" applyAlignment="1">
      <alignment vertical="center"/>
    </xf>
    <xf numFmtId="3" fontId="30" fillId="0" borderId="4" xfId="10" applyNumberFormat="1" applyFont="1" applyFill="1" applyBorder="1" applyAlignment="1">
      <alignment vertical="center"/>
    </xf>
    <xf numFmtId="10" fontId="30" fillId="0" borderId="4" xfId="16" applyNumberFormat="1" applyFont="1" applyFill="1" applyBorder="1" applyAlignment="1">
      <alignment vertical="center"/>
    </xf>
    <xf numFmtId="180" fontId="28" fillId="0" borderId="4" xfId="7" applyNumberFormat="1" applyFont="1" applyFill="1" applyBorder="1" applyAlignment="1">
      <alignment vertical="center"/>
    </xf>
    <xf numFmtId="188" fontId="30" fillId="0" borderId="4" xfId="7" applyNumberFormat="1" applyFont="1" applyFill="1" applyBorder="1" applyAlignment="1">
      <alignment horizontal="right" vertical="center"/>
    </xf>
    <xf numFmtId="3" fontId="32" fillId="0" borderId="4" xfId="10" applyNumberFormat="1" applyFont="1" applyFill="1" applyBorder="1" applyAlignment="1">
      <alignment vertical="center"/>
    </xf>
    <xf numFmtId="189" fontId="30" fillId="0" borderId="4" xfId="7" applyNumberFormat="1" applyFont="1" applyFill="1" applyBorder="1" applyAlignment="1">
      <alignment horizontal="right" vertical="center"/>
    </xf>
    <xf numFmtId="3" fontId="20" fillId="0" borderId="4" xfId="10" applyNumberFormat="1" applyFont="1" applyFill="1" applyBorder="1" applyAlignment="1">
      <alignment vertical="center"/>
    </xf>
    <xf numFmtId="0" fontId="33" fillId="0" borderId="5" xfId="10" applyFont="1" applyFill="1" applyBorder="1" applyAlignment="1">
      <alignment horizontal="center" vertical="center"/>
    </xf>
    <xf numFmtId="0" fontId="20" fillId="0" borderId="5" xfId="10" applyFont="1" applyFill="1" applyBorder="1" applyAlignment="1">
      <alignment vertical="center"/>
    </xf>
    <xf numFmtId="175" fontId="33" fillId="0" borderId="5" xfId="10" applyNumberFormat="1" applyFont="1" applyFill="1" applyBorder="1" applyAlignment="1">
      <alignment vertical="center"/>
    </xf>
    <xf numFmtId="186" fontId="33" fillId="0" borderId="5" xfId="10" applyNumberFormat="1" applyFont="1" applyFill="1" applyBorder="1" applyAlignment="1">
      <alignment vertical="center"/>
    </xf>
    <xf numFmtId="186" fontId="34" fillId="0" borderId="5" xfId="10" applyNumberFormat="1" applyFont="1" applyFill="1" applyBorder="1" applyAlignment="1">
      <alignment vertical="center"/>
    </xf>
    <xf numFmtId="175" fontId="20" fillId="0" borderId="5" xfId="10" applyNumberFormat="1" applyFont="1" applyFill="1" applyBorder="1" applyAlignment="1">
      <alignment vertical="center"/>
    </xf>
    <xf numFmtId="0" fontId="23" fillId="0" borderId="0" xfId="9" applyFont="1" applyFill="1" applyAlignment="1">
      <alignment horizontal="center" vertical="center" wrapText="1"/>
    </xf>
    <xf numFmtId="0" fontId="23" fillId="0" borderId="0" xfId="9" applyFont="1" applyFill="1" applyAlignment="1">
      <alignment vertical="center" wrapText="1"/>
    </xf>
    <xf numFmtId="3" fontId="23" fillId="0" borderId="0" xfId="9" applyNumberFormat="1" applyFont="1" applyFill="1" applyAlignment="1">
      <alignment horizontal="left" vertical="center"/>
    </xf>
    <xf numFmtId="3" fontId="23" fillId="0" borderId="0" xfId="9" applyNumberFormat="1" applyFont="1" applyFill="1" applyAlignment="1">
      <alignment vertical="center" wrapText="1"/>
    </xf>
    <xf numFmtId="0" fontId="9" fillId="2" borderId="2" xfId="14" applyFont="1" applyFill="1" applyBorder="1" applyAlignment="1">
      <alignment vertical="center" wrapText="1"/>
    </xf>
    <xf numFmtId="0" fontId="7" fillId="2" borderId="10" xfId="14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3" fontId="4" fillId="0" borderId="2" xfId="0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172" fontId="0" fillId="0" borderId="0" xfId="0" applyNumberFormat="1"/>
    <xf numFmtId="172" fontId="0" fillId="0" borderId="0" xfId="1" applyNumberFormat="1" applyFont="1"/>
    <xf numFmtId="3" fontId="4" fillId="2" borderId="4" xfId="15" applyNumberFormat="1" applyFont="1" applyFill="1" applyBorder="1" applyAlignment="1">
      <alignment horizontal="right" vertical="center"/>
    </xf>
    <xf numFmtId="9" fontId="4" fillId="2" borderId="4" xfId="1" applyNumberFormat="1" applyFont="1" applyFill="1" applyBorder="1" applyAlignment="1">
      <alignment vertical="center"/>
    </xf>
    <xf numFmtId="0" fontId="6" fillId="0" borderId="0" xfId="10" applyFont="1" applyFill="1" applyAlignment="1">
      <alignment vertical="center"/>
    </xf>
    <xf numFmtId="0" fontId="6" fillId="0" borderId="0" xfId="10" applyFont="1" applyAlignment="1">
      <alignment vertical="center"/>
    </xf>
    <xf numFmtId="0" fontId="5" fillId="0" borderId="2" xfId="10" applyFont="1" applyFill="1" applyBorder="1" applyAlignment="1">
      <alignment horizontal="center" vertical="center" wrapText="1"/>
    </xf>
    <xf numFmtId="0" fontId="5" fillId="0" borderId="2" xfId="10" applyFont="1" applyBorder="1" applyAlignment="1">
      <alignment horizontal="center" vertical="center" wrapText="1"/>
    </xf>
    <xf numFmtId="0" fontId="6" fillId="0" borderId="2" xfId="10" applyFont="1" applyFill="1" applyBorder="1" applyAlignment="1">
      <alignment horizontal="center" vertical="center"/>
    </xf>
    <xf numFmtId="0" fontId="6" fillId="0" borderId="2" xfId="10" applyFont="1" applyBorder="1" applyAlignment="1">
      <alignment vertical="center"/>
    </xf>
    <xf numFmtId="0" fontId="6" fillId="0" borderId="2" xfId="10" applyFont="1" applyFill="1" applyBorder="1" applyAlignment="1">
      <alignment vertical="center"/>
    </xf>
    <xf numFmtId="3" fontId="6" fillId="0" borderId="2" xfId="10" applyNumberFormat="1" applyFont="1" applyBorder="1" applyAlignment="1">
      <alignment vertical="center"/>
    </xf>
    <xf numFmtId="3" fontId="6" fillId="0" borderId="2" xfId="10" applyNumberFormat="1" applyFont="1" applyFill="1" applyBorder="1" applyAlignment="1">
      <alignment vertical="center"/>
    </xf>
    <xf numFmtId="0" fontId="5" fillId="0" borderId="2" xfId="10" applyFont="1" applyBorder="1" applyAlignment="1">
      <alignment vertical="center"/>
    </xf>
    <xf numFmtId="9" fontId="5" fillId="0" borderId="2" xfId="10" applyNumberFormat="1" applyFont="1" applyBorder="1" applyAlignment="1">
      <alignment vertical="center"/>
    </xf>
    <xf numFmtId="180" fontId="6" fillId="0" borderId="2" xfId="5" applyNumberFormat="1" applyFont="1" applyFill="1" applyBorder="1" applyAlignment="1">
      <alignment horizontal="right" vertical="center"/>
    </xf>
    <xf numFmtId="0" fontId="5" fillId="0" borderId="2" xfId="10" applyFont="1" applyFill="1" applyBorder="1" applyAlignment="1">
      <alignment vertical="center"/>
    </xf>
    <xf numFmtId="3" fontId="5" fillId="0" borderId="2" xfId="10" applyNumberFormat="1" applyFont="1" applyBorder="1" applyAlignment="1">
      <alignment vertical="center"/>
    </xf>
    <xf numFmtId="180" fontId="5" fillId="0" borderId="2" xfId="5" applyNumberFormat="1" applyFont="1" applyBorder="1" applyAlignment="1">
      <alignment horizontal="right" vertical="center"/>
    </xf>
    <xf numFmtId="9" fontId="5" fillId="0" borderId="2" xfId="16" applyFont="1" applyBorder="1" applyAlignment="1">
      <alignment vertical="center"/>
    </xf>
    <xf numFmtId="180" fontId="5" fillId="0" borderId="2" xfId="5" applyNumberFormat="1" applyFont="1" applyFill="1" applyBorder="1" applyAlignment="1">
      <alignment horizontal="right" vertical="center"/>
    </xf>
    <xf numFmtId="0" fontId="37" fillId="0" borderId="2" xfId="0" applyFont="1" applyBorder="1" applyAlignment="1">
      <alignment vertical="center" wrapText="1"/>
    </xf>
    <xf numFmtId="10" fontId="37" fillId="0" borderId="2" xfId="0" applyNumberFormat="1" applyFont="1" applyBorder="1" applyAlignment="1">
      <alignment horizontal="right" vertical="center" wrapText="1"/>
    </xf>
    <xf numFmtId="3" fontId="37" fillId="0" borderId="2" xfId="0" applyNumberFormat="1" applyFont="1" applyBorder="1" applyAlignment="1">
      <alignment horizontal="right" vertical="center" wrapText="1"/>
    </xf>
    <xf numFmtId="3" fontId="0" fillId="0" borderId="0" xfId="0" applyNumberFormat="1"/>
    <xf numFmtId="9" fontId="0" fillId="0" borderId="0" xfId="0" applyNumberFormat="1" applyAlignment="1">
      <alignment vertical="center"/>
    </xf>
    <xf numFmtId="0" fontId="6" fillId="0" borderId="0" xfId="10" applyFont="1" applyBorder="1" applyAlignment="1">
      <alignment horizontal="center" vertical="center"/>
    </xf>
    <xf numFmtId="9" fontId="0" fillId="0" borderId="2" xfId="0" applyNumberFormat="1" applyBorder="1" applyAlignment="1">
      <alignment vertical="center"/>
    </xf>
    <xf numFmtId="172" fontId="36" fillId="0" borderId="2" xfId="0" applyNumberFormat="1" applyFont="1" applyBorder="1" applyAlignment="1">
      <alignment vertical="center"/>
    </xf>
    <xf numFmtId="172" fontId="0" fillId="0" borderId="2" xfId="0" applyNumberFormat="1" applyBorder="1" applyAlignment="1">
      <alignment vertical="center"/>
    </xf>
    <xf numFmtId="3" fontId="0" fillId="0" borderId="2" xfId="0" applyNumberFormat="1" applyBorder="1" applyAlignment="1">
      <alignment vertical="center"/>
    </xf>
    <xf numFmtId="10" fontId="7" fillId="2" borderId="4" xfId="15" applyNumberFormat="1" applyFont="1" applyFill="1" applyBorder="1" applyAlignment="1">
      <alignment horizontal="center" vertical="center"/>
    </xf>
    <xf numFmtId="172" fontId="17" fillId="2" borderId="0" xfId="0" applyNumberFormat="1" applyFont="1" applyFill="1" applyAlignment="1">
      <alignment vertical="center"/>
    </xf>
    <xf numFmtId="3" fontId="4" fillId="2" borderId="4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3" fontId="4" fillId="2" borderId="4" xfId="1" applyNumberFormat="1" applyFont="1" applyFill="1" applyBorder="1" applyAlignment="1">
      <alignment vertical="center"/>
    </xf>
    <xf numFmtId="3" fontId="11" fillId="2" borderId="4" xfId="0" applyNumberFormat="1" applyFont="1" applyFill="1" applyBorder="1" applyAlignment="1">
      <alignment vertical="center"/>
    </xf>
    <xf numFmtId="3" fontId="4" fillId="2" borderId="5" xfId="1" applyNumberFormat="1" applyFont="1" applyFill="1" applyBorder="1" applyAlignment="1">
      <alignment vertical="center"/>
    </xf>
    <xf numFmtId="9" fontId="4" fillId="2" borderId="5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9" fontId="6" fillId="0" borderId="2" xfId="15" applyFont="1" applyBorder="1" applyAlignment="1">
      <alignment vertical="center"/>
    </xf>
    <xf numFmtId="175" fontId="4" fillId="2" borderId="2" xfId="0" applyNumberFormat="1" applyFont="1" applyFill="1" applyBorder="1" applyAlignment="1">
      <alignment horizontal="center" vertical="center" wrapText="1"/>
    </xf>
    <xf numFmtId="175" fontId="7" fillId="2" borderId="6" xfId="1" applyNumberFormat="1" applyFont="1" applyFill="1" applyBorder="1" applyAlignment="1">
      <alignment horizontal="center" vertical="center"/>
    </xf>
    <xf numFmtId="175" fontId="7" fillId="2" borderId="6" xfId="0" applyNumberFormat="1" applyFont="1" applyFill="1" applyBorder="1" applyAlignment="1">
      <alignment horizontal="center" vertical="center"/>
    </xf>
    <xf numFmtId="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7" fillId="2" borderId="2" xfId="0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vertical="center"/>
    </xf>
    <xf numFmtId="0" fontId="5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horizontal="right" vertical="center" wrapText="1"/>
    </xf>
    <xf numFmtId="9" fontId="6" fillId="0" borderId="2" xfId="0" applyNumberFormat="1" applyFont="1" applyBorder="1" applyAlignment="1">
      <alignment horizontal="right" vertical="center" wrapText="1"/>
    </xf>
    <xf numFmtId="0" fontId="3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horizontal="right" vertical="center" wrapText="1"/>
    </xf>
    <xf numFmtId="9" fontId="5" fillId="0" borderId="2" xfId="0" applyNumberFormat="1" applyFont="1" applyBorder="1" applyAlignment="1">
      <alignment horizontal="right" vertical="center" wrapText="1"/>
    </xf>
    <xf numFmtId="10" fontId="4" fillId="2" borderId="8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3" fontId="4" fillId="2" borderId="8" xfId="1" applyNumberFormat="1" applyFont="1" applyFill="1" applyBorder="1" applyAlignment="1">
      <alignment vertical="center"/>
    </xf>
    <xf numFmtId="37" fontId="11" fillId="2" borderId="4" xfId="1" applyNumberFormat="1" applyFont="1" applyFill="1" applyBorder="1" applyAlignment="1">
      <alignment vertical="center"/>
    </xf>
    <xf numFmtId="10" fontId="4" fillId="2" borderId="0" xfId="0" applyNumberFormat="1" applyFont="1" applyFill="1" applyAlignment="1">
      <alignment vertical="center"/>
    </xf>
    <xf numFmtId="0" fontId="35" fillId="0" borderId="0" xfId="0" applyFont="1"/>
    <xf numFmtId="0" fontId="5" fillId="2" borderId="12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0" borderId="2" xfId="10" applyFont="1" applyBorder="1" applyAlignment="1">
      <alignment vertical="center" wrapText="1"/>
    </xf>
    <xf numFmtId="172" fontId="35" fillId="0" borderId="2" xfId="1" applyNumberFormat="1" applyFont="1" applyBorder="1" applyAlignment="1">
      <alignment vertical="center"/>
    </xf>
    <xf numFmtId="172" fontId="35" fillId="0" borderId="2" xfId="0" applyNumberFormat="1" applyFont="1" applyBorder="1" applyAlignment="1">
      <alignment vertical="center"/>
    </xf>
    <xf numFmtId="1" fontId="4" fillId="2" borderId="4" xfId="0" applyNumberFormat="1" applyFont="1" applyFill="1" applyBorder="1" applyAlignment="1">
      <alignment horizontal="center" vertical="center"/>
    </xf>
    <xf numFmtId="193" fontId="4" fillId="2" borderId="2" xfId="15" applyNumberFormat="1" applyFont="1" applyFill="1" applyBorder="1" applyAlignment="1">
      <alignment vertical="center"/>
    </xf>
    <xf numFmtId="0" fontId="20" fillId="2" borderId="0" xfId="14" applyFont="1" applyFill="1" applyAlignment="1">
      <alignment vertical="center"/>
    </xf>
    <xf numFmtId="3" fontId="56" fillId="3" borderId="4" xfId="14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vertical="center"/>
    </xf>
    <xf numFmtId="9" fontId="0" fillId="0" borderId="0" xfId="0" applyNumberFormat="1"/>
    <xf numFmtId="172" fontId="35" fillId="0" borderId="0" xfId="1" applyNumberFormat="1" applyFont="1"/>
    <xf numFmtId="172" fontId="35" fillId="0" borderId="0" xfId="0" applyNumberFormat="1" applyFont="1"/>
    <xf numFmtId="10" fontId="4" fillId="2" borderId="3" xfId="0" applyNumberFormat="1" applyFont="1" applyFill="1" applyBorder="1" applyAlignment="1">
      <alignment vertical="center"/>
    </xf>
    <xf numFmtId="0" fontId="20" fillId="0" borderId="2" xfId="9" applyFont="1" applyFill="1" applyBorder="1" applyAlignment="1">
      <alignment horizontal="center" vertical="center" wrapText="1"/>
    </xf>
    <xf numFmtId="3" fontId="20" fillId="0" borderId="2" xfId="9" applyNumberFormat="1" applyFont="1" applyFill="1" applyBorder="1" applyAlignment="1">
      <alignment horizontal="center" vertical="center" wrapText="1"/>
    </xf>
    <xf numFmtId="0" fontId="28" fillId="0" borderId="2" xfId="9" applyFont="1" applyFill="1" applyBorder="1" applyAlignment="1">
      <alignment horizontal="center" vertical="center" wrapText="1"/>
    </xf>
    <xf numFmtId="0" fontId="28" fillId="0" borderId="2" xfId="9" applyFont="1" applyFill="1" applyBorder="1" applyAlignment="1">
      <alignment vertical="center" wrapText="1"/>
    </xf>
    <xf numFmtId="0" fontId="28" fillId="0" borderId="2" xfId="9" applyFont="1" applyFill="1" applyBorder="1" applyAlignment="1">
      <alignment horizontal="right" vertical="center" wrapText="1"/>
    </xf>
    <xf numFmtId="3" fontId="28" fillId="0" borderId="2" xfId="9" applyNumberFormat="1" applyFont="1" applyFill="1" applyBorder="1" applyAlignment="1">
      <alignment horizontal="right" vertical="center" wrapText="1"/>
    </xf>
    <xf numFmtId="3" fontId="28" fillId="0" borderId="2" xfId="9" applyNumberFormat="1" applyFont="1" applyFill="1" applyBorder="1" applyAlignment="1">
      <alignment horizontal="center" vertical="center" wrapText="1"/>
    </xf>
    <xf numFmtId="3" fontId="28" fillId="0" borderId="2" xfId="9" applyNumberFormat="1" applyFont="1" applyFill="1" applyBorder="1" applyAlignment="1">
      <alignment horizontal="center" vertical="center"/>
    </xf>
    <xf numFmtId="0" fontId="28" fillId="0" borderId="2" xfId="9" applyFont="1" applyFill="1" applyBorder="1" applyAlignment="1">
      <alignment horizontal="right" vertical="center"/>
    </xf>
    <xf numFmtId="3" fontId="28" fillId="0" borderId="2" xfId="9" applyNumberFormat="1" applyFont="1" applyFill="1" applyBorder="1" applyAlignment="1">
      <alignment horizontal="right" vertical="center"/>
    </xf>
    <xf numFmtId="175" fontId="28" fillId="0" borderId="2" xfId="9" applyNumberFormat="1" applyFont="1" applyFill="1" applyBorder="1" applyAlignment="1">
      <alignment horizontal="right" vertical="center"/>
    </xf>
    <xf numFmtId="4" fontId="28" fillId="0" borderId="2" xfId="9" applyNumberFormat="1" applyFont="1" applyFill="1" applyBorder="1" applyAlignment="1">
      <alignment horizontal="right" vertical="center"/>
    </xf>
    <xf numFmtId="3" fontId="31" fillId="0" borderId="2" xfId="9" applyNumberFormat="1" applyFont="1" applyFill="1" applyBorder="1" applyAlignment="1">
      <alignment vertical="center" wrapText="1"/>
    </xf>
    <xf numFmtId="0" fontId="20" fillId="0" borderId="2" xfId="10" applyFont="1" applyFill="1" applyBorder="1" applyAlignment="1">
      <alignment horizontal="center" vertical="center"/>
    </xf>
    <xf numFmtId="0" fontId="20" fillId="0" borderId="2" xfId="10" applyFont="1" applyFill="1" applyBorder="1" applyAlignment="1">
      <alignment horizontal="center" vertical="center" wrapText="1"/>
    </xf>
    <xf numFmtId="187" fontId="28" fillId="0" borderId="4" xfId="1" applyNumberFormat="1" applyFont="1" applyFill="1" applyBorder="1" applyAlignment="1">
      <alignment vertical="center"/>
    </xf>
    <xf numFmtId="175" fontId="39" fillId="0" borderId="4" xfId="10" applyNumberFormat="1" applyFont="1" applyFill="1" applyBorder="1" applyAlignment="1">
      <alignment vertical="center"/>
    </xf>
    <xf numFmtId="187" fontId="29" fillId="0" borderId="4" xfId="1" applyNumberFormat="1" applyFont="1" applyFill="1" applyBorder="1" applyAlignment="1">
      <alignment vertical="center"/>
    </xf>
    <xf numFmtId="187" fontId="28" fillId="0" borderId="4" xfId="16" applyNumberFormat="1" applyFont="1" applyFill="1" applyBorder="1" applyAlignment="1">
      <alignment horizontal="right" vertical="center"/>
    </xf>
    <xf numFmtId="186" fontId="28" fillId="0" borderId="4" xfId="10" applyNumberFormat="1" applyFont="1" applyFill="1" applyBorder="1" applyAlignment="1">
      <alignment vertical="center"/>
    </xf>
    <xf numFmtId="187" fontId="29" fillId="0" borderId="4" xfId="16" applyNumberFormat="1" applyFont="1" applyFill="1" applyBorder="1" applyAlignment="1">
      <alignment vertical="center"/>
    </xf>
    <xf numFmtId="43" fontId="29" fillId="0" borderId="4" xfId="6" applyNumberFormat="1" applyFont="1" applyFill="1" applyBorder="1" applyAlignment="1">
      <alignment vertical="center"/>
    </xf>
    <xf numFmtId="180" fontId="28" fillId="0" borderId="4" xfId="6" applyNumberFormat="1" applyFont="1" applyFill="1" applyBorder="1" applyAlignment="1">
      <alignment vertical="center"/>
    </xf>
    <xf numFmtId="187" fontId="30" fillId="0" borderId="4" xfId="6" applyNumberFormat="1" applyFont="1" applyFill="1" applyBorder="1" applyAlignment="1">
      <alignment horizontal="right" vertical="center"/>
    </xf>
    <xf numFmtId="43" fontId="28" fillId="0" borderId="4" xfId="6" applyNumberFormat="1" applyFont="1" applyFill="1" applyBorder="1" applyAlignment="1">
      <alignment vertical="center"/>
    </xf>
    <xf numFmtId="187" fontId="30" fillId="0" borderId="4" xfId="10" applyNumberFormat="1" applyFont="1" applyFill="1" applyBorder="1" applyAlignment="1">
      <alignment horizontal="right" vertical="center"/>
    </xf>
    <xf numFmtId="187" fontId="29" fillId="0" borderId="4" xfId="10" applyNumberFormat="1" applyFont="1" applyFill="1" applyBorder="1" applyAlignment="1">
      <alignment vertical="center"/>
    </xf>
    <xf numFmtId="0" fontId="20" fillId="0" borderId="5" xfId="10" applyFont="1" applyFill="1" applyBorder="1" applyAlignment="1">
      <alignment horizontal="center" vertical="center"/>
    </xf>
    <xf numFmtId="3" fontId="33" fillId="0" borderId="5" xfId="10" applyNumberFormat="1" applyFont="1" applyFill="1" applyBorder="1" applyAlignment="1">
      <alignment vertical="center"/>
    </xf>
    <xf numFmtId="0" fontId="28" fillId="0" borderId="0" xfId="10" applyFont="1" applyFill="1" applyAlignment="1">
      <alignment horizontal="center" vertical="center"/>
    </xf>
    <xf numFmtId="0" fontId="28" fillId="0" borderId="0" xfId="10" applyFont="1" applyFill="1" applyAlignment="1">
      <alignment vertical="center"/>
    </xf>
    <xf numFmtId="0" fontId="4" fillId="0" borderId="0" xfId="0" applyFont="1"/>
    <xf numFmtId="9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174" fontId="4" fillId="2" borderId="2" xfId="0" applyNumberFormat="1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20" fillId="0" borderId="3" xfId="10" applyFont="1" applyFill="1" applyBorder="1" applyAlignment="1">
      <alignment horizontal="center" vertical="center"/>
    </xf>
    <xf numFmtId="0" fontId="20" fillId="0" borderId="3" xfId="10" applyFont="1" applyFill="1" applyBorder="1" applyAlignment="1">
      <alignment vertical="center"/>
    </xf>
    <xf numFmtId="3" fontId="20" fillId="0" borderId="3" xfId="10" applyNumberFormat="1" applyFont="1" applyFill="1" applyBorder="1" applyAlignment="1">
      <alignment vertical="center"/>
    </xf>
    <xf numFmtId="186" fontId="20" fillId="0" borderId="3" xfId="10" applyNumberFormat="1" applyFont="1" applyFill="1" applyBorder="1" applyAlignment="1">
      <alignment vertical="center"/>
    </xf>
    <xf numFmtId="175" fontId="20" fillId="0" borderId="3" xfId="10" applyNumberFormat="1" applyFont="1" applyFill="1" applyBorder="1" applyAlignment="1">
      <alignment vertical="center"/>
    </xf>
    <xf numFmtId="2" fontId="4" fillId="2" borderId="0" xfId="0" applyNumberFormat="1" applyFont="1" applyFill="1" applyAlignment="1">
      <alignment vertical="center"/>
    </xf>
    <xf numFmtId="9" fontId="6" fillId="0" borderId="4" xfId="15" applyFont="1" applyBorder="1" applyAlignment="1">
      <alignment horizontal="center"/>
    </xf>
    <xf numFmtId="9" fontId="6" fillId="0" borderId="5" xfId="15" applyFont="1" applyBorder="1" applyAlignment="1">
      <alignment horizontal="center"/>
    </xf>
    <xf numFmtId="0" fontId="20" fillId="0" borderId="8" xfId="10" applyFont="1" applyFill="1" applyBorder="1" applyAlignment="1">
      <alignment horizontal="center" vertical="center"/>
    </xf>
    <xf numFmtId="0" fontId="20" fillId="0" borderId="8" xfId="10" applyFont="1" applyFill="1" applyBorder="1" applyAlignment="1">
      <alignment vertical="center"/>
    </xf>
    <xf numFmtId="175" fontId="20" fillId="0" borderId="8" xfId="10" applyNumberFormat="1" applyFont="1" applyFill="1" applyBorder="1" applyAlignment="1">
      <alignment vertical="center"/>
    </xf>
    <xf numFmtId="186" fontId="20" fillId="0" borderId="8" xfId="10" applyNumberFormat="1" applyFont="1" applyFill="1" applyBorder="1" applyAlignment="1">
      <alignment vertical="center"/>
    </xf>
    <xf numFmtId="9" fontId="6" fillId="0" borderId="8" xfId="15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2" xfId="10" applyFont="1" applyFill="1" applyBorder="1" applyAlignment="1">
      <alignment horizontal="center" vertical="center"/>
    </xf>
    <xf numFmtId="175" fontId="4" fillId="0" borderId="2" xfId="0" applyNumberFormat="1" applyFont="1" applyBorder="1" applyAlignment="1">
      <alignment vertical="center"/>
    </xf>
    <xf numFmtId="10" fontId="4" fillId="0" borderId="2" xfId="15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175" fontId="7" fillId="0" borderId="2" xfId="0" applyNumberFormat="1" applyFont="1" applyBorder="1" applyAlignment="1">
      <alignment vertical="center"/>
    </xf>
    <xf numFmtId="10" fontId="7" fillId="0" borderId="2" xfId="15" applyNumberFormat="1" applyFont="1" applyBorder="1" applyAlignment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/>
    </xf>
    <xf numFmtId="190" fontId="4" fillId="2" borderId="2" xfId="15" applyNumberFormat="1" applyFont="1" applyFill="1" applyBorder="1" applyAlignment="1">
      <alignment vertical="center"/>
    </xf>
    <xf numFmtId="10" fontId="7" fillId="2" borderId="2" xfId="0" applyNumberFormat="1" applyFont="1" applyFill="1" applyBorder="1" applyAlignment="1">
      <alignment horizontal="center" vertical="center"/>
    </xf>
    <xf numFmtId="172" fontId="56" fillId="3" borderId="2" xfId="1" applyNumberFormat="1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/>
    </xf>
    <xf numFmtId="0" fontId="40" fillId="0" borderId="2" xfId="0" applyFont="1" applyBorder="1"/>
    <xf numFmtId="0" fontId="28" fillId="0" borderId="2" xfId="0" applyFont="1" applyBorder="1" applyAlignment="1">
      <alignment horizontal="right" vertical="center"/>
    </xf>
    <xf numFmtId="3" fontId="28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vertical="center"/>
    </xf>
    <xf numFmtId="3" fontId="20" fillId="2" borderId="8" xfId="0" applyNumberFormat="1" applyFont="1" applyFill="1" applyBorder="1" applyAlignment="1">
      <alignment vertical="center"/>
    </xf>
    <xf numFmtId="0" fontId="28" fillId="2" borderId="4" xfId="0" applyFont="1" applyFill="1" applyBorder="1" applyAlignment="1">
      <alignment vertical="center"/>
    </xf>
    <xf numFmtId="3" fontId="28" fillId="2" borderId="4" xfId="0" applyNumberFormat="1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3" fontId="28" fillId="2" borderId="6" xfId="0" applyNumberFormat="1" applyFont="1" applyFill="1" applyBorder="1" applyAlignment="1">
      <alignment vertical="center"/>
    </xf>
    <xf numFmtId="0" fontId="20" fillId="2" borderId="1" xfId="0" applyFont="1" applyFill="1" applyBorder="1" applyAlignment="1">
      <alignment vertical="center"/>
    </xf>
    <xf numFmtId="3" fontId="28" fillId="2" borderId="1" xfId="0" applyNumberFormat="1" applyFont="1" applyFill="1" applyBorder="1" applyAlignment="1">
      <alignment vertical="center"/>
    </xf>
    <xf numFmtId="0" fontId="28" fillId="2" borderId="5" xfId="0" applyFont="1" applyFill="1" applyBorder="1" applyAlignment="1">
      <alignment vertical="center"/>
    </xf>
    <xf numFmtId="3" fontId="28" fillId="2" borderId="5" xfId="0" applyNumberFormat="1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3" fontId="28" fillId="2" borderId="2" xfId="0" applyNumberFormat="1" applyFont="1" applyFill="1" applyBorder="1" applyAlignment="1">
      <alignment vertical="center"/>
    </xf>
    <xf numFmtId="0" fontId="28" fillId="2" borderId="1" xfId="0" applyFont="1" applyFill="1" applyBorder="1" applyAlignment="1">
      <alignment vertical="center"/>
    </xf>
    <xf numFmtId="37" fontId="20" fillId="2" borderId="1" xfId="0" applyNumberFormat="1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vertical="center"/>
    </xf>
    <xf numFmtId="0" fontId="28" fillId="2" borderId="16" xfId="0" applyFont="1" applyFill="1" applyBorder="1" applyAlignment="1">
      <alignment vertical="center"/>
    </xf>
    <xf numFmtId="0" fontId="28" fillId="2" borderId="17" xfId="0" applyFont="1" applyFill="1" applyBorder="1" applyAlignment="1">
      <alignment vertical="center"/>
    </xf>
    <xf numFmtId="37" fontId="20" fillId="2" borderId="5" xfId="0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191" fontId="20" fillId="2" borderId="2" xfId="1" applyNumberFormat="1" applyFont="1" applyFill="1" applyBorder="1" applyAlignment="1">
      <alignment horizontal="center" vertical="center"/>
    </xf>
    <xf numFmtId="1" fontId="20" fillId="2" borderId="2" xfId="1" applyNumberFormat="1" applyFont="1" applyFill="1" applyBorder="1" applyAlignment="1">
      <alignment horizontal="center" vertical="center"/>
    </xf>
    <xf numFmtId="172" fontId="20" fillId="2" borderId="2" xfId="1" applyNumberFormat="1" applyFont="1" applyFill="1" applyBorder="1" applyAlignment="1">
      <alignment vertical="center"/>
    </xf>
    <xf numFmtId="172" fontId="28" fillId="2" borderId="2" xfId="1" applyNumberFormat="1" applyFont="1" applyFill="1" applyBorder="1" applyAlignment="1">
      <alignment vertical="center"/>
    </xf>
    <xf numFmtId="1" fontId="28" fillId="2" borderId="2" xfId="1" applyNumberFormat="1" applyFont="1" applyFill="1" applyBorder="1" applyAlignment="1">
      <alignment horizontal="center" vertical="center"/>
    </xf>
    <xf numFmtId="180" fontId="20" fillId="2" borderId="2" xfId="1" applyNumberFormat="1" applyFont="1" applyFill="1" applyBorder="1" applyAlignment="1">
      <alignment vertical="center"/>
    </xf>
    <xf numFmtId="172" fontId="39" fillId="2" borderId="2" xfId="1" applyNumberFormat="1" applyFont="1" applyFill="1" applyBorder="1" applyAlignment="1">
      <alignment vertical="center"/>
    </xf>
    <xf numFmtId="180" fontId="28" fillId="2" borderId="2" xfId="1" applyNumberFormat="1" applyFont="1" applyFill="1" applyBorder="1" applyAlignment="1">
      <alignment vertical="center"/>
    </xf>
    <xf numFmtId="172" fontId="39" fillId="2" borderId="2" xfId="1" applyNumberFormat="1" applyFont="1" applyFill="1" applyBorder="1" applyAlignment="1">
      <alignment horizontal="center" vertical="center"/>
    </xf>
    <xf numFmtId="49" fontId="39" fillId="2" borderId="2" xfId="1" applyNumberFormat="1" applyFont="1" applyFill="1" applyBorder="1" applyAlignment="1">
      <alignment vertical="center" wrapText="1"/>
    </xf>
    <xf numFmtId="171" fontId="39" fillId="2" borderId="2" xfId="1" applyNumberFormat="1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vertical="center"/>
    </xf>
    <xf numFmtId="37" fontId="28" fillId="2" borderId="2" xfId="1" applyNumberFormat="1" applyFont="1" applyFill="1" applyBorder="1" applyAlignment="1">
      <alignment vertical="center"/>
    </xf>
    <xf numFmtId="37" fontId="20" fillId="2" borderId="2" xfId="1" applyNumberFormat="1" applyFont="1" applyFill="1" applyBorder="1" applyAlignment="1">
      <alignment vertical="center"/>
    </xf>
    <xf numFmtId="3" fontId="56" fillId="2" borderId="4" xfId="1" applyNumberFormat="1" applyFont="1" applyFill="1" applyBorder="1" applyAlignment="1">
      <alignment horizontal="right" vertical="center"/>
    </xf>
    <xf numFmtId="3" fontId="56" fillId="2" borderId="4" xfId="14" applyNumberFormat="1" applyFont="1" applyFill="1" applyBorder="1" applyAlignment="1">
      <alignment horizontal="right" vertical="center"/>
    </xf>
    <xf numFmtId="174" fontId="9" fillId="2" borderId="1" xfId="15" applyNumberFormat="1" applyFont="1" applyFill="1" applyBorder="1" applyAlignment="1">
      <alignment horizontal="right" vertical="center"/>
    </xf>
    <xf numFmtId="174" fontId="9" fillId="2" borderId="4" xfId="15" applyNumberFormat="1" applyFont="1" applyFill="1" applyBorder="1" applyAlignment="1">
      <alignment horizontal="right" vertical="center"/>
    </xf>
    <xf numFmtId="49" fontId="41" fillId="0" borderId="0" xfId="0" applyNumberFormat="1" applyFont="1" applyBorder="1" applyAlignment="1">
      <alignment horizontal="center" vertical="center"/>
    </xf>
    <xf numFmtId="0" fontId="41" fillId="0" borderId="0" xfId="0" applyFont="1" applyBorder="1" applyAlignment="1">
      <alignment vertical="center"/>
    </xf>
    <xf numFmtId="172" fontId="42" fillId="0" borderId="0" xfId="1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center"/>
    </xf>
    <xf numFmtId="49" fontId="55" fillId="0" borderId="2" xfId="0" applyNumberFormat="1" applyFont="1" applyBorder="1" applyAlignment="1">
      <alignment horizontal="center" vertical="center" wrapText="1"/>
    </xf>
    <xf numFmtId="0" fontId="55" fillId="0" borderId="2" xfId="0" applyFont="1" applyBorder="1" applyAlignment="1">
      <alignment horizontal="left" vertical="center" wrapText="1"/>
    </xf>
    <xf numFmtId="172" fontId="43" fillId="0" borderId="2" xfId="1" applyNumberFormat="1" applyFont="1" applyBorder="1" applyAlignment="1">
      <alignment vertical="center"/>
    </xf>
    <xf numFmtId="49" fontId="57" fillId="0" borderId="2" xfId="0" applyNumberFormat="1" applyFont="1" applyBorder="1" applyAlignment="1">
      <alignment horizontal="center" vertical="center" wrapText="1"/>
    </xf>
    <xf numFmtId="0" fontId="57" fillId="0" borderId="2" xfId="0" applyFont="1" applyBorder="1" applyAlignment="1">
      <alignment vertical="center" wrapText="1"/>
    </xf>
    <xf numFmtId="172" fontId="44" fillId="0" borderId="2" xfId="1" applyNumberFormat="1" applyFont="1" applyBorder="1" applyAlignment="1">
      <alignment vertical="center"/>
    </xf>
    <xf numFmtId="49" fontId="58" fillId="0" borderId="2" xfId="0" applyNumberFormat="1" applyFont="1" applyBorder="1" applyAlignment="1">
      <alignment horizontal="center" vertical="center" wrapText="1"/>
    </xf>
    <xf numFmtId="0" fontId="58" fillId="0" borderId="2" xfId="0" applyFont="1" applyBorder="1" applyAlignment="1">
      <alignment horizontal="left" vertical="center" indent="1"/>
    </xf>
    <xf numFmtId="172" fontId="45" fillId="0" borderId="2" xfId="1" applyNumberFormat="1" applyFont="1" applyBorder="1" applyAlignment="1">
      <alignment vertical="center"/>
    </xf>
    <xf numFmtId="49" fontId="58" fillId="0" borderId="2" xfId="0" applyNumberFormat="1" applyFont="1" applyBorder="1" applyAlignment="1">
      <alignment horizontal="center" vertical="center"/>
    </xf>
    <xf numFmtId="49" fontId="57" fillId="4" borderId="2" xfId="0" applyNumberFormat="1" applyFont="1" applyFill="1" applyBorder="1" applyAlignment="1">
      <alignment horizontal="center" vertical="center"/>
    </xf>
    <xf numFmtId="49" fontId="58" fillId="4" borderId="2" xfId="0" applyNumberFormat="1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left" vertical="center" indent="1"/>
    </xf>
    <xf numFmtId="0" fontId="58" fillId="4" borderId="2" xfId="0" applyFont="1" applyFill="1" applyBorder="1" applyAlignment="1">
      <alignment horizontal="left" vertical="center" wrapText="1" indent="1"/>
    </xf>
    <xf numFmtId="0" fontId="55" fillId="0" borderId="2" xfId="0" applyFont="1" applyBorder="1" applyAlignment="1">
      <alignment vertical="center" wrapText="1"/>
    </xf>
    <xf numFmtId="49" fontId="59" fillId="0" borderId="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172" fontId="6" fillId="0" borderId="0" xfId="1" applyNumberFormat="1" applyFont="1" applyAlignment="1">
      <alignment vertical="center"/>
    </xf>
    <xf numFmtId="0" fontId="46" fillId="0" borderId="0" xfId="0" applyFont="1" applyAlignment="1">
      <alignment vertical="center"/>
    </xf>
    <xf numFmtId="49" fontId="6" fillId="0" borderId="2" xfId="0" applyNumberFormat="1" applyFont="1" applyBorder="1" applyAlignment="1">
      <alignment horizontal="center" vertical="center"/>
    </xf>
    <xf numFmtId="172" fontId="6" fillId="0" borderId="2" xfId="1" applyNumberFormat="1" applyFont="1" applyBorder="1" applyAlignment="1">
      <alignment vertical="center"/>
    </xf>
    <xf numFmtId="172" fontId="5" fillId="0" borderId="2" xfId="1" applyNumberFormat="1" applyFont="1" applyBorder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72" fontId="5" fillId="0" borderId="0" xfId="1" applyNumberFormat="1" applyFont="1" applyAlignment="1">
      <alignment horizontal="left" vertical="center"/>
    </xf>
    <xf numFmtId="172" fontId="6" fillId="0" borderId="2" xfId="1" applyNumberFormat="1" applyFont="1" applyFill="1" applyBorder="1" applyAlignment="1">
      <alignment vertical="center"/>
    </xf>
    <xf numFmtId="172" fontId="5" fillId="0" borderId="2" xfId="1" applyNumberFormat="1" applyFont="1" applyFill="1" applyBorder="1" applyAlignment="1">
      <alignment vertical="center"/>
    </xf>
    <xf numFmtId="172" fontId="43" fillId="0" borderId="0" xfId="1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172" fontId="46" fillId="0" borderId="0" xfId="1" applyNumberFormat="1" applyFont="1" applyBorder="1" applyAlignment="1">
      <alignment vertical="center"/>
    </xf>
    <xf numFmtId="3" fontId="41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172" fontId="43" fillId="0" borderId="0" xfId="1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3" fontId="5" fillId="0" borderId="0" xfId="0" applyNumberFormat="1" applyFont="1" applyBorder="1" applyAlignment="1">
      <alignment vertical="center"/>
    </xf>
    <xf numFmtId="172" fontId="44" fillId="0" borderId="0" xfId="1" applyNumberFormat="1" applyFont="1" applyBorder="1" applyAlignment="1">
      <alignment vertical="center"/>
    </xf>
    <xf numFmtId="0" fontId="47" fillId="0" borderId="0" xfId="0" applyFont="1" applyBorder="1" applyAlignment="1">
      <alignment vertical="center"/>
    </xf>
    <xf numFmtId="3" fontId="47" fillId="0" borderId="0" xfId="0" applyNumberFormat="1" applyFont="1" applyBorder="1" applyAlignment="1">
      <alignment vertical="center"/>
    </xf>
    <xf numFmtId="172" fontId="45" fillId="0" borderId="0" xfId="1" applyNumberFormat="1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3" fontId="42" fillId="0" borderId="0" xfId="0" applyNumberFormat="1" applyFont="1" applyBorder="1" applyAlignment="1">
      <alignment vertical="center"/>
    </xf>
    <xf numFmtId="172" fontId="45" fillId="0" borderId="0" xfId="1" applyNumberFormat="1" applyFont="1" applyAlignment="1">
      <alignment vertical="center"/>
    </xf>
    <xf numFmtId="0" fontId="42" fillId="0" borderId="0" xfId="0" applyFont="1" applyAlignment="1">
      <alignment vertical="center"/>
    </xf>
    <xf numFmtId="3" fontId="42" fillId="0" borderId="0" xfId="0" applyNumberFormat="1" applyFont="1" applyAlignment="1">
      <alignment vertical="center"/>
    </xf>
    <xf numFmtId="172" fontId="44" fillId="0" borderId="0" xfId="1" applyNumberFormat="1" applyFont="1" applyAlignment="1">
      <alignment vertical="center"/>
    </xf>
    <xf numFmtId="0" fontId="47" fillId="0" borderId="0" xfId="0" applyFont="1" applyAlignment="1">
      <alignment vertical="center"/>
    </xf>
    <xf numFmtId="3" fontId="47" fillId="0" borderId="0" xfId="0" applyNumberFormat="1" applyFont="1" applyAlignment="1">
      <alignment vertical="center"/>
    </xf>
    <xf numFmtId="172" fontId="46" fillId="0" borderId="0" xfId="1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72" fontId="5" fillId="0" borderId="0" xfId="0" applyNumberFormat="1" applyFont="1" applyAlignment="1">
      <alignment vertical="center"/>
    </xf>
    <xf numFmtId="10" fontId="5" fillId="0" borderId="0" xfId="15" applyNumberFormat="1" applyFont="1" applyAlignment="1">
      <alignment vertical="center"/>
    </xf>
    <xf numFmtId="0" fontId="49" fillId="0" borderId="0" xfId="11" applyFont="1"/>
    <xf numFmtId="0" fontId="50" fillId="0" borderId="0" xfId="11" applyFont="1" applyAlignment="1">
      <alignment horizontal="center"/>
    </xf>
    <xf numFmtId="10" fontId="51" fillId="0" borderId="0" xfId="11" applyNumberFormat="1" applyFont="1"/>
    <xf numFmtId="0" fontId="51" fillId="0" borderId="0" xfId="11" applyFont="1"/>
    <xf numFmtId="0" fontId="52" fillId="0" borderId="0" xfId="11" applyFont="1" applyFill="1" applyAlignment="1">
      <alignment horizontal="right"/>
    </xf>
    <xf numFmtId="0" fontId="20" fillId="0" borderId="2" xfId="11" applyFont="1" applyFill="1" applyBorder="1" applyAlignment="1">
      <alignment horizontal="center" vertical="center"/>
    </xf>
    <xf numFmtId="0" fontId="5" fillId="0" borderId="2" xfId="11" applyFont="1" applyFill="1" applyBorder="1" applyAlignment="1">
      <alignment horizontal="center" vertical="center"/>
    </xf>
    <xf numFmtId="0" fontId="2" fillId="0" borderId="0" xfId="11" applyFont="1" applyFill="1" applyBorder="1" applyAlignment="1">
      <alignment vertical="center"/>
    </xf>
    <xf numFmtId="0" fontId="28" fillId="0" borderId="0" xfId="11" applyFill="1" applyAlignment="1">
      <alignment vertical="center"/>
    </xf>
    <xf numFmtId="0" fontId="20" fillId="0" borderId="0" xfId="11" applyFont="1" applyFill="1" applyAlignment="1">
      <alignment vertical="center"/>
    </xf>
    <xf numFmtId="10" fontId="2" fillId="0" borderId="2" xfId="11" applyNumberFormat="1" applyFont="1" applyFill="1" applyBorder="1" applyAlignment="1">
      <alignment horizontal="left" vertical="center"/>
    </xf>
    <xf numFmtId="9" fontId="5" fillId="0" borderId="2" xfId="15" applyFont="1" applyFill="1" applyBorder="1" applyAlignment="1">
      <alignment vertical="center"/>
    </xf>
    <xf numFmtId="172" fontId="20" fillId="0" borderId="0" xfId="11" applyNumberFormat="1" applyFont="1" applyFill="1" applyAlignment="1">
      <alignment vertical="center"/>
    </xf>
    <xf numFmtId="0" fontId="28" fillId="0" borderId="2" xfId="11" applyFont="1" applyFill="1" applyBorder="1" applyAlignment="1">
      <alignment horizontal="center" vertical="center"/>
    </xf>
    <xf numFmtId="0" fontId="28" fillId="0" borderId="2" xfId="11" applyFont="1" applyFill="1" applyBorder="1" applyAlignment="1">
      <alignment horizontal="left" vertical="center"/>
    </xf>
    <xf numFmtId="172" fontId="28" fillId="0" borderId="2" xfId="1" applyNumberFormat="1" applyFont="1" applyFill="1" applyBorder="1" applyAlignment="1">
      <alignment vertical="center"/>
    </xf>
    <xf numFmtId="172" fontId="28" fillId="0" borderId="2" xfId="1" applyNumberFormat="1" applyFont="1" applyFill="1" applyBorder="1" applyAlignment="1">
      <alignment horizontal="center" vertical="center"/>
    </xf>
    <xf numFmtId="0" fontId="28" fillId="0" borderId="0" xfId="11" applyFont="1" applyFill="1" applyAlignment="1">
      <alignment vertical="center"/>
    </xf>
    <xf numFmtId="0" fontId="20" fillId="3" borderId="2" xfId="11" applyFont="1" applyFill="1" applyBorder="1" applyAlignment="1">
      <alignment horizontal="center" vertical="center"/>
    </xf>
    <xf numFmtId="172" fontId="20" fillId="3" borderId="2" xfId="1" applyNumberFormat="1" applyFont="1" applyFill="1" applyBorder="1"/>
    <xf numFmtId="172" fontId="20" fillId="3" borderId="2" xfId="1" applyNumberFormat="1" applyFont="1" applyFill="1" applyBorder="1" applyAlignment="1">
      <alignment vertical="center"/>
    </xf>
    <xf numFmtId="172" fontId="20" fillId="3" borderId="2" xfId="1" applyNumberFormat="1" applyFont="1" applyFill="1" applyBorder="1" applyAlignment="1">
      <alignment horizontal="center" vertical="center"/>
    </xf>
    <xf numFmtId="172" fontId="20" fillId="3" borderId="0" xfId="11" applyNumberFormat="1" applyFont="1" applyFill="1"/>
    <xf numFmtId="0" fontId="20" fillId="3" borderId="0" xfId="11" applyFont="1" applyFill="1" applyAlignment="1">
      <alignment vertical="center"/>
    </xf>
    <xf numFmtId="0" fontId="53" fillId="0" borderId="0" xfId="11" applyFont="1"/>
    <xf numFmtId="172" fontId="51" fillId="0" borderId="0" xfId="11" applyNumberFormat="1" applyFont="1"/>
    <xf numFmtId="172" fontId="50" fillId="0" borderId="0" xfId="11" applyNumberFormat="1" applyFont="1" applyFill="1"/>
    <xf numFmtId="0" fontId="50" fillId="0" borderId="0" xfId="11" applyFont="1"/>
    <xf numFmtId="49" fontId="50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172" fontId="50" fillId="0" borderId="0" xfId="1" applyNumberFormat="1" applyFont="1" applyAlignment="1">
      <alignment horizontal="left" vertical="center"/>
    </xf>
    <xf numFmtId="0" fontId="20" fillId="0" borderId="0" xfId="11" applyFont="1" applyAlignment="1">
      <alignment horizontal="center"/>
    </xf>
    <xf numFmtId="0" fontId="28" fillId="0" borderId="0" xfId="11"/>
    <xf numFmtId="9" fontId="6" fillId="0" borderId="2" xfId="15" applyFont="1" applyFill="1" applyBorder="1" applyAlignment="1">
      <alignment vertical="center"/>
    </xf>
    <xf numFmtId="0" fontId="5" fillId="2" borderId="18" xfId="0" applyFont="1" applyFill="1" applyBorder="1" applyAlignment="1">
      <alignment horizontal="center" vertical="center" wrapText="1"/>
    </xf>
    <xf numFmtId="10" fontId="6" fillId="0" borderId="2" xfId="12" applyNumberFormat="1" applyFont="1" applyBorder="1" applyAlignment="1">
      <alignment horizontal="center"/>
    </xf>
    <xf numFmtId="3" fontId="5" fillId="2" borderId="8" xfId="0" applyNumberFormat="1" applyFont="1" applyFill="1" applyBorder="1" applyAlignment="1">
      <alignment vertical="center"/>
    </xf>
    <xf numFmtId="3" fontId="5" fillId="2" borderId="4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6" fillId="2" borderId="4" xfId="0" applyNumberFormat="1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vertical="center"/>
    </xf>
    <xf numFmtId="3" fontId="6" fillId="2" borderId="5" xfId="0" applyNumberFormat="1" applyFont="1" applyFill="1" applyBorder="1" applyAlignment="1">
      <alignment vertical="center"/>
    </xf>
    <xf numFmtId="178" fontId="6" fillId="2" borderId="5" xfId="0" applyNumberFormat="1" applyFont="1" applyFill="1" applyBorder="1" applyAlignment="1">
      <alignment vertical="center"/>
    </xf>
    <xf numFmtId="178" fontId="6" fillId="2" borderId="1" xfId="0" applyNumberFormat="1" applyFont="1" applyFill="1" applyBorder="1" applyAlignment="1">
      <alignment vertical="center"/>
    </xf>
    <xf numFmtId="178" fontId="6" fillId="2" borderId="0" xfId="0" applyNumberFormat="1" applyFont="1" applyFill="1" applyBorder="1" applyAlignment="1">
      <alignment vertical="center"/>
    </xf>
    <xf numFmtId="178" fontId="60" fillId="2" borderId="1" xfId="0" applyNumberFormat="1" applyFont="1" applyFill="1" applyBorder="1" applyAlignment="1">
      <alignment vertical="center"/>
    </xf>
    <xf numFmtId="178" fontId="61" fillId="2" borderId="1" xfId="0" applyNumberFormat="1" applyFont="1" applyFill="1" applyBorder="1" applyAlignment="1">
      <alignment vertical="center"/>
    </xf>
    <xf numFmtId="175" fontId="6" fillId="2" borderId="0" xfId="0" applyNumberFormat="1" applyFont="1" applyFill="1" applyBorder="1" applyAlignment="1">
      <alignment vertical="center"/>
    </xf>
    <xf numFmtId="3" fontId="6" fillId="2" borderId="3" xfId="0" applyNumberFormat="1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9" fontId="28" fillId="2" borderId="2" xfId="15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72" fontId="4" fillId="0" borderId="2" xfId="1" applyNumberFormat="1" applyFont="1" applyFill="1" applyBorder="1" applyAlignment="1">
      <alignment vertical="center"/>
    </xf>
    <xf numFmtId="172" fontId="56" fillId="0" borderId="2" xfId="1" applyNumberFormat="1" applyFont="1" applyFill="1" applyBorder="1" applyAlignment="1">
      <alignment vertical="center"/>
    </xf>
    <xf numFmtId="10" fontId="4" fillId="0" borderId="2" xfId="15" applyNumberFormat="1" applyFont="1" applyFill="1" applyBorder="1" applyAlignment="1">
      <alignment vertical="center"/>
    </xf>
    <xf numFmtId="0" fontId="62" fillId="0" borderId="0" xfId="0" applyFont="1" applyAlignment="1">
      <alignment horizontal="center" vertical="center"/>
    </xf>
    <xf numFmtId="172" fontId="63" fillId="0" borderId="0" xfId="1" applyNumberFormat="1" applyFont="1" applyAlignment="1">
      <alignment vertical="center"/>
    </xf>
    <xf numFmtId="171" fontId="63" fillId="0" borderId="0" xfId="1" applyNumberFormat="1" applyFont="1" applyAlignment="1">
      <alignment vertical="center"/>
    </xf>
    <xf numFmtId="172" fontId="60" fillId="0" borderId="0" xfId="1" applyNumberFormat="1" applyFont="1" applyBorder="1" applyAlignment="1">
      <alignment horizontal="right" vertical="center"/>
    </xf>
    <xf numFmtId="172" fontId="60" fillId="0" borderId="0" xfId="1" applyNumberFormat="1" applyFont="1" applyBorder="1" applyAlignment="1">
      <alignment vertical="center"/>
    </xf>
    <xf numFmtId="171" fontId="60" fillId="0" borderId="0" xfId="1" applyNumberFormat="1" applyFont="1" applyBorder="1" applyAlignment="1">
      <alignment vertical="center"/>
    </xf>
    <xf numFmtId="0" fontId="60" fillId="0" borderId="0" xfId="0" applyFont="1" applyBorder="1" applyAlignment="1">
      <alignment horizontal="center" vertical="center" wrapText="1"/>
    </xf>
    <xf numFmtId="172" fontId="63" fillId="0" borderId="0" xfId="1" applyNumberFormat="1" applyFont="1" applyBorder="1" applyAlignment="1">
      <alignment horizontal="right" vertical="top" wrapText="1"/>
    </xf>
    <xf numFmtId="171" fontId="63" fillId="0" borderId="0" xfId="1" applyNumberFormat="1" applyFont="1" applyBorder="1" applyAlignment="1">
      <alignment vertical="center"/>
    </xf>
    <xf numFmtId="172" fontId="64" fillId="0" borderId="0" xfId="1" applyNumberFormat="1" applyFont="1" applyBorder="1" applyAlignment="1">
      <alignment horizontal="right" vertical="top" wrapText="1"/>
    </xf>
    <xf numFmtId="171" fontId="64" fillId="0" borderId="0" xfId="1" applyNumberFormat="1" applyFont="1" applyBorder="1" applyAlignment="1">
      <alignment vertical="center"/>
    </xf>
    <xf numFmtId="172" fontId="65" fillId="3" borderId="0" xfId="1" applyNumberFormat="1" applyFont="1" applyFill="1" applyBorder="1" applyAlignment="1">
      <alignment horizontal="right" vertical="top"/>
    </xf>
    <xf numFmtId="172" fontId="65" fillId="0" borderId="0" xfId="1" applyNumberFormat="1" applyFont="1" applyBorder="1" applyAlignment="1">
      <alignment vertical="center"/>
    </xf>
    <xf numFmtId="171" fontId="65" fillId="0" borderId="0" xfId="1" applyNumberFormat="1" applyFont="1" applyBorder="1" applyAlignment="1">
      <alignment vertical="center"/>
    </xf>
    <xf numFmtId="172" fontId="65" fillId="0" borderId="0" xfId="1" applyNumberFormat="1" applyFont="1" applyBorder="1" applyAlignment="1">
      <alignment horizontal="right" vertical="top"/>
    </xf>
    <xf numFmtId="172" fontId="64" fillId="4" borderId="0" xfId="1" applyNumberFormat="1" applyFont="1" applyFill="1" applyBorder="1" applyAlignment="1">
      <alignment horizontal="right" vertical="top"/>
    </xf>
    <xf numFmtId="172" fontId="64" fillId="0" borderId="0" xfId="1" applyNumberFormat="1" applyFont="1" applyBorder="1" applyAlignment="1">
      <alignment vertical="center"/>
    </xf>
    <xf numFmtId="172" fontId="65" fillId="4" borderId="0" xfId="1" applyNumberFormat="1" applyFont="1" applyFill="1" applyBorder="1" applyAlignment="1">
      <alignment horizontal="right" vertical="top"/>
    </xf>
    <xf numFmtId="172" fontId="65" fillId="0" borderId="0" xfId="1" applyNumberFormat="1" applyFont="1" applyAlignment="1">
      <alignment vertical="center"/>
    </xf>
    <xf numFmtId="172" fontId="63" fillId="4" borderId="0" xfId="1" applyNumberFormat="1" applyFont="1" applyFill="1" applyBorder="1" applyAlignment="1">
      <alignment horizontal="right" vertical="top"/>
    </xf>
    <xf numFmtId="3" fontId="60" fillId="0" borderId="0" xfId="0" applyNumberFormat="1" applyFont="1" applyBorder="1" applyAlignment="1">
      <alignment vertical="top"/>
    </xf>
    <xf numFmtId="171" fontId="60" fillId="0" borderId="0" xfId="1" applyNumberFormat="1" applyFont="1" applyAlignment="1">
      <alignment vertical="center"/>
    </xf>
    <xf numFmtId="172" fontId="60" fillId="0" borderId="0" xfId="1" applyNumberFormat="1" applyFont="1" applyAlignment="1">
      <alignment vertical="center"/>
    </xf>
    <xf numFmtId="0" fontId="0" fillId="0" borderId="0" xfId="0" applyNumberFormat="1"/>
    <xf numFmtId="0" fontId="28" fillId="0" borderId="0" xfId="0" applyFont="1"/>
    <xf numFmtId="0" fontId="42" fillId="0" borderId="0" xfId="0" applyFont="1"/>
    <xf numFmtId="0" fontId="28" fillId="0" borderId="2" xfId="0" applyFont="1" applyBorder="1"/>
    <xf numFmtId="172" fontId="28" fillId="0" borderId="2" xfId="1" applyNumberFormat="1" applyFont="1" applyBorder="1"/>
    <xf numFmtId="0" fontId="28" fillId="0" borderId="2" xfId="0" quotePrefix="1" applyFont="1" applyBorder="1"/>
    <xf numFmtId="9" fontId="28" fillId="0" borderId="2" xfId="0" applyNumberFormat="1" applyFont="1" applyBorder="1"/>
    <xf numFmtId="172" fontId="28" fillId="0" borderId="2" xfId="0" applyNumberFormat="1" applyFont="1" applyBorder="1"/>
    <xf numFmtId="190" fontId="28" fillId="0" borderId="2" xfId="15" applyNumberFormat="1" applyFont="1" applyBorder="1"/>
    <xf numFmtId="0" fontId="20" fillId="0" borderId="2" xfId="0" applyFont="1" applyBorder="1"/>
    <xf numFmtId="0" fontId="20" fillId="0" borderId="2" xfId="0" applyFont="1" applyBorder="1" applyAlignment="1">
      <alignment vertical="center"/>
    </xf>
    <xf numFmtId="172" fontId="20" fillId="0" borderId="2" xfId="1" applyNumberFormat="1" applyFont="1" applyBorder="1"/>
    <xf numFmtId="0" fontId="7" fillId="2" borderId="0" xfId="14" applyFont="1" applyFill="1" applyBorder="1" applyAlignment="1">
      <alignment horizontal="center" vertical="center"/>
    </xf>
    <xf numFmtId="0" fontId="8" fillId="2" borderId="0" xfId="14" applyFont="1" applyFill="1" applyBorder="1" applyAlignment="1">
      <alignment horizontal="left" vertical="center"/>
    </xf>
    <xf numFmtId="0" fontId="8" fillId="2" borderId="0" xfId="14" applyFont="1" applyFill="1" applyBorder="1" applyAlignment="1">
      <alignment horizontal="center" vertical="center"/>
    </xf>
    <xf numFmtId="0" fontId="4" fillId="2" borderId="0" xfId="14" applyFont="1" applyFill="1" applyBorder="1" applyAlignment="1">
      <alignment horizontal="center" vertical="center"/>
    </xf>
    <xf numFmtId="0" fontId="4" fillId="2" borderId="0" xfId="14" applyFont="1" applyFill="1" applyBorder="1" applyAlignment="1">
      <alignment vertical="center"/>
    </xf>
    <xf numFmtId="174" fontId="7" fillId="2" borderId="0" xfId="14" applyNumberFormat="1" applyFont="1" applyFill="1" applyBorder="1" applyAlignment="1">
      <alignment horizontal="right" vertical="center"/>
    </xf>
    <xf numFmtId="174" fontId="4" fillId="2" borderId="3" xfId="14" applyNumberFormat="1" applyFont="1" applyFill="1" applyBorder="1" applyAlignment="1">
      <alignment horizontal="center" vertical="center"/>
    </xf>
    <xf numFmtId="0" fontId="4" fillId="2" borderId="3" xfId="14" applyFont="1" applyFill="1" applyBorder="1" applyAlignment="1">
      <alignment horizontal="left" vertical="center"/>
    </xf>
    <xf numFmtId="0" fontId="7" fillId="2" borderId="3" xfId="14" applyFont="1" applyFill="1" applyBorder="1" applyAlignment="1">
      <alignment horizontal="centerContinuous" vertical="center"/>
    </xf>
    <xf numFmtId="0" fontId="4" fillId="2" borderId="19" xfId="0" applyFont="1" applyFill="1" applyBorder="1" applyAlignment="1">
      <alignment vertical="center"/>
    </xf>
    <xf numFmtId="3" fontId="4" fillId="2" borderId="3" xfId="0" applyNumberFormat="1" applyFont="1" applyFill="1" applyBorder="1" applyAlignment="1">
      <alignment horizontal="center" vertical="center"/>
    </xf>
    <xf numFmtId="9" fontId="4" fillId="2" borderId="0" xfId="14" applyNumberFormat="1" applyFont="1" applyFill="1" applyBorder="1" applyAlignment="1">
      <alignment horizontal="center" vertical="center"/>
    </xf>
    <xf numFmtId="9" fontId="4" fillId="2" borderId="0" xfId="14" applyNumberFormat="1" applyFont="1" applyFill="1" applyBorder="1" applyAlignment="1">
      <alignment horizontal="right" vertical="center"/>
    </xf>
    <xf numFmtId="0" fontId="4" fillId="2" borderId="0" xfId="14" applyFont="1" applyFill="1" applyBorder="1" applyAlignment="1">
      <alignment horizontal="left" vertical="center"/>
    </xf>
    <xf numFmtId="179" fontId="4" fillId="2" borderId="0" xfId="14" applyNumberFormat="1" applyFont="1" applyFill="1" applyBorder="1" applyAlignment="1">
      <alignment vertical="center"/>
    </xf>
    <xf numFmtId="9" fontId="4" fillId="2" borderId="0" xfId="14" applyNumberFormat="1" applyFont="1" applyFill="1" applyBorder="1" applyAlignment="1">
      <alignment vertical="center"/>
    </xf>
    <xf numFmtId="0" fontId="13" fillId="2" borderId="8" xfId="14" applyFont="1" applyFill="1" applyBorder="1" applyAlignment="1">
      <alignment vertical="center"/>
    </xf>
    <xf numFmtId="0" fontId="4" fillId="2" borderId="7" xfId="14" applyFont="1" applyFill="1" applyBorder="1" applyAlignment="1">
      <alignment horizontal="center" vertical="center"/>
    </xf>
    <xf numFmtId="0" fontId="4" fillId="2" borderId="7" xfId="14" applyFont="1" applyFill="1" applyBorder="1" applyAlignment="1">
      <alignment vertical="center"/>
    </xf>
    <xf numFmtId="3" fontId="4" fillId="2" borderId="7" xfId="14" applyNumberFormat="1" applyFont="1" applyFill="1" applyBorder="1" applyAlignment="1">
      <alignment vertical="center"/>
    </xf>
    <xf numFmtId="174" fontId="4" fillId="2" borderId="7" xfId="14" applyNumberFormat="1" applyFont="1" applyFill="1" applyBorder="1" applyAlignment="1">
      <alignment vertical="center"/>
    </xf>
    <xf numFmtId="0" fontId="4" fillId="2" borderId="6" xfId="14" applyFont="1" applyFill="1" applyBorder="1" applyAlignment="1">
      <alignment vertical="center"/>
    </xf>
    <xf numFmtId="3" fontId="4" fillId="2" borderId="6" xfId="14" applyNumberFormat="1" applyFont="1" applyFill="1" applyBorder="1" applyAlignment="1">
      <alignment vertical="center"/>
    </xf>
    <xf numFmtId="174" fontId="4" fillId="2" borderId="6" xfId="14" applyNumberFormat="1" applyFont="1" applyFill="1" applyBorder="1" applyAlignment="1">
      <alignment vertical="center"/>
    </xf>
    <xf numFmtId="49" fontId="59" fillId="0" borderId="0" xfId="0" applyNumberFormat="1" applyFont="1" applyBorder="1" applyAlignment="1">
      <alignment horizontal="center" vertical="center" wrapText="1"/>
    </xf>
    <xf numFmtId="0" fontId="55" fillId="0" borderId="0" xfId="0" applyFont="1" applyBorder="1" applyAlignment="1">
      <alignment horizontal="center" vertical="center" wrapText="1"/>
    </xf>
    <xf numFmtId="0" fontId="2" fillId="0" borderId="12" xfId="11" applyFont="1" applyFill="1" applyBorder="1" applyAlignment="1">
      <alignment vertical="center"/>
    </xf>
    <xf numFmtId="0" fontId="2" fillId="0" borderId="9" xfId="1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22" xfId="14" applyFont="1" applyFill="1" applyBorder="1" applyAlignment="1">
      <alignment horizontal="left" vertical="center" wrapText="1"/>
    </xf>
    <xf numFmtId="0" fontId="7" fillId="2" borderId="12" xfId="14" applyFont="1" applyFill="1" applyBorder="1" applyAlignment="1">
      <alignment horizontal="left" vertical="center" wrapText="1"/>
    </xf>
    <xf numFmtId="0" fontId="7" fillId="2" borderId="9" xfId="14" applyFont="1" applyFill="1" applyBorder="1" applyAlignment="1">
      <alignment horizontal="left" vertical="center" wrapText="1"/>
    </xf>
    <xf numFmtId="0" fontId="4" fillId="2" borderId="20" xfId="14" applyFont="1" applyFill="1" applyBorder="1" applyAlignment="1">
      <alignment horizontal="left" vertical="center"/>
    </xf>
    <xf numFmtId="0" fontId="4" fillId="2" borderId="21" xfId="14" applyFont="1" applyFill="1" applyBorder="1" applyAlignment="1">
      <alignment horizontal="left" vertical="center"/>
    </xf>
    <xf numFmtId="172" fontId="7" fillId="2" borderId="22" xfId="1" applyNumberFormat="1" applyFont="1" applyFill="1" applyBorder="1" applyAlignment="1">
      <alignment horizontal="center" vertical="center"/>
    </xf>
    <xf numFmtId="172" fontId="7" fillId="2" borderId="9" xfId="1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4" fillId="2" borderId="23" xfId="14" applyFont="1" applyFill="1" applyBorder="1" applyAlignment="1">
      <alignment horizontal="left" vertical="center"/>
    </xf>
    <xf numFmtId="0" fontId="7" fillId="2" borderId="20" xfId="14" applyFont="1" applyFill="1" applyBorder="1" applyAlignment="1">
      <alignment horizontal="center" vertical="center"/>
    </xf>
    <xf numFmtId="0" fontId="7" fillId="2" borderId="23" xfId="14" applyFont="1" applyFill="1" applyBorder="1" applyAlignment="1">
      <alignment horizontal="center" vertical="center"/>
    </xf>
    <xf numFmtId="0" fontId="7" fillId="2" borderId="21" xfId="14" applyFont="1" applyFill="1" applyBorder="1" applyAlignment="1">
      <alignment horizontal="center" vertical="center"/>
    </xf>
    <xf numFmtId="0" fontId="13" fillId="2" borderId="20" xfId="14" applyFont="1" applyFill="1" applyBorder="1" applyAlignment="1">
      <alignment horizontal="left" vertical="center"/>
    </xf>
    <xf numFmtId="0" fontId="13" fillId="2" borderId="21" xfId="14" applyFont="1" applyFill="1" applyBorder="1" applyAlignment="1">
      <alignment horizontal="left" vertical="center"/>
    </xf>
    <xf numFmtId="0" fontId="20" fillId="2" borderId="11" xfId="14" applyFont="1" applyFill="1" applyBorder="1" applyAlignment="1">
      <alignment horizontal="center" vertical="center"/>
    </xf>
    <xf numFmtId="0" fontId="8" fillId="2" borderId="2" xfId="14" applyFont="1" applyFill="1" applyBorder="1" applyAlignment="1">
      <alignment horizontal="center" vertical="center"/>
    </xf>
    <xf numFmtId="0" fontId="4" fillId="2" borderId="20" xfId="14" applyFont="1" applyFill="1" applyBorder="1" applyAlignment="1">
      <alignment horizontal="center" vertical="center"/>
    </xf>
    <xf numFmtId="0" fontId="4" fillId="2" borderId="21" xfId="14" applyFont="1" applyFill="1" applyBorder="1" applyAlignment="1">
      <alignment horizontal="center" vertical="center"/>
    </xf>
    <xf numFmtId="0" fontId="8" fillId="2" borderId="22" xfId="14" applyFont="1" applyFill="1" applyBorder="1" applyAlignment="1">
      <alignment horizontal="center" vertical="center"/>
    </xf>
    <xf numFmtId="0" fontId="8" fillId="2" borderId="12" xfId="14" applyFont="1" applyFill="1" applyBorder="1" applyAlignment="1">
      <alignment horizontal="center" vertical="center"/>
    </xf>
    <xf numFmtId="0" fontId="8" fillId="2" borderId="9" xfId="14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0" fillId="0" borderId="2" xfId="11" applyFont="1" applyFill="1" applyBorder="1" applyAlignment="1">
      <alignment horizontal="center" vertical="center"/>
    </xf>
    <xf numFmtId="0" fontId="5" fillId="0" borderId="2" xfId="11" applyFont="1" applyFill="1" applyBorder="1" applyAlignment="1">
      <alignment horizontal="center" vertical="center"/>
    </xf>
    <xf numFmtId="0" fontId="2" fillId="0" borderId="2" xfId="11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2" fillId="0" borderId="22" xfId="11" applyFont="1" applyFill="1" applyBorder="1" applyAlignment="1">
      <alignment horizontal="center" vertical="center"/>
    </xf>
    <xf numFmtId="0" fontId="2" fillId="0" borderId="12" xfId="1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8" fillId="2" borderId="24" xfId="0" applyFont="1" applyFill="1" applyBorder="1" applyAlignment="1">
      <alignment horizontal="left" vertical="center"/>
    </xf>
    <xf numFmtId="0" fontId="28" fillId="2" borderId="25" xfId="0" applyFont="1" applyFill="1" applyBorder="1" applyAlignment="1">
      <alignment horizontal="left" vertical="center"/>
    </xf>
    <xf numFmtId="0" fontId="28" fillId="2" borderId="26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center" vertical="center"/>
    </xf>
    <xf numFmtId="3" fontId="5" fillId="2" borderId="1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0" borderId="0" xfId="9" applyFont="1" applyFill="1" applyAlignment="1">
      <alignment horizontal="center" vertical="center" wrapText="1"/>
    </xf>
    <xf numFmtId="0" fontId="2" fillId="0" borderId="0" xfId="13" applyFont="1" applyFill="1" applyAlignment="1">
      <alignment horizontal="center" vertical="center"/>
    </xf>
    <xf numFmtId="0" fontId="26" fillId="0" borderId="11" xfId="13" applyFont="1" applyFill="1" applyBorder="1" applyAlignment="1">
      <alignment horizontal="right"/>
    </xf>
    <xf numFmtId="0" fontId="2" fillId="0" borderId="0" xfId="9" applyFont="1" applyFill="1" applyAlignment="1">
      <alignment horizontal="center"/>
    </xf>
    <xf numFmtId="0" fontId="20" fillId="0" borderId="0" xfId="10" applyFont="1" applyFill="1" applyAlignment="1">
      <alignment horizontal="center" vertical="center"/>
    </xf>
    <xf numFmtId="3" fontId="5" fillId="0" borderId="2" xfId="10" applyNumberFormat="1" applyFont="1" applyBorder="1" applyAlignment="1">
      <alignment horizontal="center" vertical="center"/>
    </xf>
    <xf numFmtId="0" fontId="2" fillId="0" borderId="0" xfId="1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0" fillId="0" borderId="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</cellXfs>
  <cellStyles count="17">
    <cellStyle name="Comma" xfId="1" builtinId="3"/>
    <cellStyle name="Comma 10" xfId="2"/>
    <cellStyle name="Comma 2" xfId="3"/>
    <cellStyle name="Comma 3" xfId="4"/>
    <cellStyle name="Comma 6" xfId="5"/>
    <cellStyle name="Comma 8" xfId="6"/>
    <cellStyle name="Comma 9" xfId="7"/>
    <cellStyle name="Normal" xfId="0" builtinId="0"/>
    <cellStyle name="Normal 2" xfId="8"/>
    <cellStyle name="Normal 3" xfId="9"/>
    <cellStyle name="Normal 4" xfId="10"/>
    <cellStyle name="Normal_DA KS tinh chau giang (version 1) sua" xfId="11"/>
    <cellStyle name="Normal_Du án đầu tư mỏ đá Thịnh Trường" xfId="12"/>
    <cellStyle name="Normal_monthly budget" xfId="13"/>
    <cellStyle name="Normal_Sheet1" xfId="14"/>
    <cellStyle name="Percent" xfId="15" builtinId="5"/>
    <cellStyle name="Percent 3" xfId="1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u%20bieu%20APC/Tin%20dung/1225%20Huong%20dan%20quy%20che%20cho%20vay/Phap%20nhan/Tham%20khao%20BCTD/PA%20Agribank%2014.9.2016%20(1)%20(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CFG%20Ninh%20Binh/Ho%20so%20vay%20von/HIEU%20QUA%20TAI%20CHINH%202%20CHUYEN%20NINH%20BINH%20MO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au%20bieu%20APC/Tin%20dung/1225%20Huong%20dan%20quy%20che%20cho%20vay/Phap%20nhan/Tham%20khao%20BCTD/PA%20Kinh%20noi%20Ninh%20Binh%2070.30%20truoc%20VAT%20SUA%20(2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Tong%20Thu%20Huyen/Desktop/Trong/Thanh%20Hoa/Cty%20Binh%20Minh/Thanh%20Hoa%20gui/Du%20an%20Nha%20may%20Nuoc%20GD%202%20chuan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ON CTHU"/>
      <sheetName val="TMDT"/>
      <sheetName val="KHSDV"/>
      <sheetName val="PK1"/>
      <sheetName val="PK2"/>
      <sheetName val="gia ban"/>
      <sheetName val="Doanh thu"/>
      <sheetName val="NPV, IRR"/>
      <sheetName val="CP SXC"/>
      <sheetName val="CPSX"/>
      <sheetName val="CP kinh trang"/>
      <sheetName val="CP Kinh mau"/>
      <sheetName val="Quy luong"/>
      <sheetName val="CP QL"/>
      <sheetName val="CP ban hang"/>
      <sheetName val="VON LUU DONG"/>
      <sheetName val="khau hao"/>
      <sheetName val="KE HOACH TRA NO"/>
      <sheetName val="THUE TNDN"/>
    </sheetNames>
    <sheetDataSet>
      <sheetData sheetId="0"/>
      <sheetData sheetId="1"/>
      <sheetData sheetId="2"/>
      <sheetData sheetId="3"/>
      <sheetData sheetId="4"/>
      <sheetData sheetId="5">
        <row r="25">
          <cell r="G25">
            <v>367200</v>
          </cell>
        </row>
      </sheetData>
      <sheetData sheetId="6">
        <row r="10">
          <cell r="B10">
            <v>8136.5126105263162</v>
          </cell>
        </row>
      </sheetData>
      <sheetData sheetId="7"/>
      <sheetData sheetId="8">
        <row r="16">
          <cell r="G16">
            <v>86172623.969268173</v>
          </cell>
        </row>
      </sheetData>
      <sheetData sheetId="9"/>
      <sheetData sheetId="10"/>
      <sheetData sheetId="11"/>
      <sheetData sheetId="12">
        <row r="5">
          <cell r="F5">
            <v>2987727430.5852633</v>
          </cell>
        </row>
        <row r="17">
          <cell r="H17">
            <v>12690432</v>
          </cell>
        </row>
        <row r="18">
          <cell r="H18">
            <v>5768378.1818181816</v>
          </cell>
        </row>
        <row r="19">
          <cell r="H19">
            <v>10383080.727272727</v>
          </cell>
        </row>
        <row r="21">
          <cell r="H21">
            <v>121135941.81818181</v>
          </cell>
        </row>
      </sheetData>
      <sheetData sheetId="13">
        <row r="17">
          <cell r="D17">
            <v>42730114.189090908</v>
          </cell>
        </row>
      </sheetData>
      <sheetData sheetId="14">
        <row r="15">
          <cell r="D15">
            <v>243234460.07048422</v>
          </cell>
        </row>
      </sheetData>
      <sheetData sheetId="15"/>
      <sheetData sheetId="16">
        <row r="13">
          <cell r="E13">
            <v>946351703</v>
          </cell>
        </row>
        <row r="18">
          <cell r="E18">
            <v>1126689312</v>
          </cell>
          <cell r="G18">
            <v>571000000</v>
          </cell>
        </row>
        <row r="25">
          <cell r="E25">
            <v>217503563.745</v>
          </cell>
        </row>
      </sheetData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hông số"/>
      <sheetName val="QL,TV,K"/>
      <sheetName val="Tong muc DT"/>
      <sheetName val="TM - GĐ đầu (2)"/>
      <sheetName val="PK 1"/>
      <sheetName val="PK 2"/>
      <sheetName val="pky du phong"/>
      <sheetName val="lãi vay XD"/>
      <sheetName val="Von ban dau"/>
      <sheetName val="Lai vay dau tu"/>
      <sheetName val="TM GĐ 2018"/>
      <sheetName val="PK-2018"/>
      <sheetName val="PK2-2018"/>
      <sheetName val="lãi vay xd-2018"/>
      <sheetName val="TM GĐ 2020"/>
      <sheetName val="PK1-2020"/>
      <sheetName val="PK2-2020"/>
      <sheetName val="lãi vay XD - 2020"/>
      <sheetName val="TM GĐ 2030"/>
      <sheetName val="PK1-2030"/>
      <sheetName val="PK2-2030"/>
      <sheetName val="lãi vay XD-2030"/>
      <sheetName val="Sheet1"/>
      <sheetName val="DT - 1"/>
      <sheetName val="DT - 2"/>
      <sheetName val="XD - 1"/>
      <sheetName val="XD - 2"/>
      <sheetName val="XD - 3"/>
      <sheetName val="LK - 1"/>
      <sheetName val=" LK - 2"/>
      <sheetName val="Gia ban"/>
      <sheetName val="Von luu dong"/>
      <sheetName val="Doanh thu"/>
      <sheetName val="Z kinh trang"/>
      <sheetName val="Z kinh mau"/>
      <sheetName val="Quy luong"/>
      <sheetName val="Chi phi chung"/>
      <sheetName val="Chi phi QL"/>
      <sheetName val="Chi phi ban hang"/>
      <sheetName val="Khau hao"/>
      <sheetName val="trả lãi"/>
      <sheetName val="can doi tra no"/>
      <sheetName val="CP SXKD"/>
      <sheetName val="THUE TNDN"/>
      <sheetName val="NPV,IRR,BCR"/>
      <sheetName val="tong ho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7">
          <cell r="D7">
            <v>420</v>
          </cell>
          <cell r="E7">
            <v>0.57299999999999995</v>
          </cell>
        </row>
        <row r="8">
          <cell r="D8">
            <v>608</v>
          </cell>
          <cell r="E8">
            <v>3.5999999999999997E-2</v>
          </cell>
        </row>
        <row r="9">
          <cell r="D9">
            <v>360</v>
          </cell>
          <cell r="E9">
            <v>0.14499999999999999</v>
          </cell>
        </row>
        <row r="10">
          <cell r="D10">
            <v>340</v>
          </cell>
          <cell r="E10">
            <v>4.2000000000000003E-2</v>
          </cell>
        </row>
        <row r="11">
          <cell r="D11">
            <v>4000</v>
          </cell>
          <cell r="E11">
            <v>6.9999999999999999E-4</v>
          </cell>
        </row>
        <row r="12">
          <cell r="D12">
            <v>2500</v>
          </cell>
          <cell r="E12">
            <v>8.2566666666666663E-2</v>
          </cell>
        </row>
        <row r="14">
          <cell r="D14">
            <v>5200</v>
          </cell>
          <cell r="E14">
            <v>0.19400000000000001</v>
          </cell>
        </row>
        <row r="15">
          <cell r="D15">
            <v>2800</v>
          </cell>
          <cell r="E15">
            <v>8.0000000000000002E-3</v>
          </cell>
        </row>
        <row r="18">
          <cell r="E18">
            <v>0</v>
          </cell>
        </row>
        <row r="20">
          <cell r="E20">
            <v>130</v>
          </cell>
        </row>
        <row r="22">
          <cell r="D22">
            <v>402.3</v>
          </cell>
          <cell r="E22">
            <v>2.5000000000000001E-3</v>
          </cell>
        </row>
        <row r="23">
          <cell r="E23">
            <v>0.5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ON CTHU"/>
      <sheetName val="TMDT"/>
      <sheetName val="KHSDV"/>
      <sheetName val="PK1"/>
      <sheetName val="PK2"/>
      <sheetName val="gia ban"/>
      <sheetName val="Doanh thu"/>
      <sheetName val="NPV, IRR"/>
      <sheetName val="CP SXC"/>
      <sheetName val="CPSX"/>
      <sheetName val="CP kinh trang"/>
      <sheetName val="CP Kinh mau"/>
      <sheetName val="Quy luong"/>
      <sheetName val="CP QL"/>
      <sheetName val="CP ban hang"/>
      <sheetName val="VON LUU DONG"/>
      <sheetName val="khau hao"/>
      <sheetName val="KE HOACH TRA NO"/>
      <sheetName val="THUE TNDN"/>
    </sheetNames>
    <sheetDataSet>
      <sheetData sheetId="0"/>
      <sheetData sheetId="1">
        <row r="22">
          <cell r="C22">
            <v>1200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 thong so"/>
      <sheetName val="2 Nguonvon"/>
      <sheetName val="3 KHTS"/>
      <sheetName val="4 DT CP LN"/>
      <sheetName val="5 KH tra no"/>
      <sheetName val="6 Hieu qua"/>
      <sheetName val="7 Nguon tra no"/>
      <sheetName val="8 Do nhay cua du an"/>
      <sheetName val="TSCĐ"/>
      <sheetName val="dinh muc"/>
      <sheetName val="NMN GD1"/>
    </sheetNames>
    <sheetDataSet>
      <sheetData sheetId="0">
        <row r="46">
          <cell r="B46" t="str">
            <v>Hạng mục xây dựng</v>
          </cell>
          <cell r="C46">
            <v>84702.942060998699</v>
          </cell>
        </row>
        <row r="47">
          <cell r="B47" t="str">
            <v>Hạng mục công nghệ</v>
          </cell>
          <cell r="C47">
            <v>294303.96028177877</v>
          </cell>
        </row>
        <row r="48">
          <cell r="B48" t="str">
            <v>Hạng mục thiết bị và điện</v>
          </cell>
          <cell r="C48">
            <v>46828.783345404343</v>
          </cell>
        </row>
      </sheetData>
      <sheetData sheetId="1" refreshError="1"/>
      <sheetData sheetId="2" refreshError="1"/>
      <sheetData sheetId="3">
        <row r="2">
          <cell r="AB2" t="str">
            <v>Đơn vị tính: triệu đồng</v>
          </cell>
        </row>
        <row r="6">
          <cell r="B6" t="str">
            <v>Hệ số khai thác</v>
          </cell>
          <cell r="D6">
            <v>0.4</v>
          </cell>
          <cell r="E6">
            <v>0.4</v>
          </cell>
          <cell r="F6">
            <v>0.45</v>
          </cell>
          <cell r="G6">
            <v>0.45</v>
          </cell>
          <cell r="H6">
            <v>0.5</v>
          </cell>
          <cell r="I6">
            <v>0.5</v>
          </cell>
          <cell r="J6">
            <v>0.55000000000000004</v>
          </cell>
          <cell r="K6">
            <v>0.55000000000000004</v>
          </cell>
          <cell r="L6">
            <v>0.6</v>
          </cell>
          <cell r="M6">
            <v>0.6</v>
          </cell>
          <cell r="N6">
            <v>0.65</v>
          </cell>
          <cell r="O6">
            <v>0.7</v>
          </cell>
          <cell r="P6">
            <v>0.75</v>
          </cell>
          <cell r="Q6">
            <v>0.8</v>
          </cell>
          <cell r="R6">
            <v>0.85</v>
          </cell>
          <cell r="S6">
            <v>0.9</v>
          </cell>
          <cell r="T6">
            <v>0.95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</row>
        <row r="7">
          <cell r="B7" t="str">
            <v>Công suất hệ thống cấp nước</v>
          </cell>
          <cell r="D7">
            <v>24000</v>
          </cell>
          <cell r="E7">
            <v>24000</v>
          </cell>
          <cell r="F7">
            <v>27000</v>
          </cell>
          <cell r="G7">
            <v>27000</v>
          </cell>
          <cell r="H7">
            <v>30000</v>
          </cell>
          <cell r="I7">
            <v>30000</v>
          </cell>
          <cell r="J7">
            <v>33000</v>
          </cell>
          <cell r="K7">
            <v>33000</v>
          </cell>
          <cell r="L7">
            <v>36000</v>
          </cell>
          <cell r="M7">
            <v>36000</v>
          </cell>
          <cell r="N7">
            <v>39000</v>
          </cell>
          <cell r="O7">
            <v>42000</v>
          </cell>
          <cell r="P7">
            <v>45000</v>
          </cell>
          <cell r="Q7">
            <v>48000</v>
          </cell>
          <cell r="R7">
            <v>51000</v>
          </cell>
          <cell r="S7">
            <v>54000</v>
          </cell>
          <cell r="T7">
            <v>57000</v>
          </cell>
          <cell r="U7">
            <v>60000</v>
          </cell>
          <cell r="V7">
            <v>60000</v>
          </cell>
          <cell r="W7">
            <v>60000</v>
          </cell>
          <cell r="X7">
            <v>60000</v>
          </cell>
          <cell r="Y7">
            <v>60000</v>
          </cell>
          <cell r="Z7">
            <v>60000</v>
          </cell>
          <cell r="AA7">
            <v>60000</v>
          </cell>
          <cell r="AB7">
            <v>60000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showGridLines="0" tabSelected="1" zoomScaleSheetLayoutView="100" workbookViewId="0">
      <selection activeCell="A3" sqref="A3:F3"/>
    </sheetView>
  </sheetViews>
  <sheetFormatPr defaultColWidth="11.42578125" defaultRowHeight="12.75"/>
  <cols>
    <col min="1" max="1" width="4.7109375" style="1" customWidth="1"/>
    <col min="2" max="2" width="36.28515625" style="1" customWidth="1"/>
    <col min="3" max="3" width="10.7109375" style="1" customWidth="1"/>
    <col min="4" max="4" width="10.5703125" style="1" customWidth="1"/>
    <col min="5" max="5" width="9.28515625" style="1" customWidth="1"/>
    <col min="6" max="6" width="12.5703125" style="1" customWidth="1"/>
    <col min="7" max="7" width="3.42578125" style="1" customWidth="1"/>
    <col min="8" max="8" width="29" style="1" customWidth="1"/>
    <col min="9" max="9" width="7.85546875" style="1" customWidth="1"/>
    <col min="10" max="10" width="20.85546875" style="1" customWidth="1"/>
    <col min="11" max="11" width="4.140625" style="1" customWidth="1"/>
    <col min="12" max="12" width="11.42578125" style="1" customWidth="1"/>
    <col min="13" max="13" width="17.140625" style="1" customWidth="1"/>
    <col min="14" max="14" width="10.42578125" style="136" customWidth="1"/>
    <col min="15" max="15" width="10.140625" style="136" customWidth="1"/>
    <col min="16" max="16" width="11.42578125" style="1" customWidth="1"/>
    <col min="17" max="17" width="10.42578125" style="1" customWidth="1"/>
    <col min="18" max="18" width="11.42578125" style="1" customWidth="1"/>
    <col min="19" max="19" width="14" style="136" customWidth="1"/>
    <col min="20" max="20" width="9.7109375" style="1" customWidth="1"/>
    <col min="21" max="21" width="11.42578125" style="1" customWidth="1"/>
    <col min="22" max="22" width="9.85546875" style="1" bestFit="1" customWidth="1"/>
    <col min="23" max="23" width="10.28515625" style="1" customWidth="1"/>
    <col min="24" max="24" width="10.42578125" style="1" bestFit="1" customWidth="1"/>
    <col min="25" max="16384" width="11.42578125" style="1"/>
  </cols>
  <sheetData>
    <row r="1" spans="1:25" ht="15" customHeight="1">
      <c r="A1" s="318"/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</row>
    <row r="2" spans="1:25" ht="27.75" customHeight="1">
      <c r="A2" s="640" t="s">
        <v>0</v>
      </c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S2" s="623" t="s">
        <v>347</v>
      </c>
      <c r="T2" s="623"/>
      <c r="U2" s="623"/>
      <c r="V2" s="623"/>
      <c r="W2" s="623"/>
      <c r="X2" s="623"/>
    </row>
    <row r="3" spans="1:25" ht="15" customHeight="1">
      <c r="A3" s="644" t="s">
        <v>132</v>
      </c>
      <c r="B3" s="645"/>
      <c r="C3" s="645"/>
      <c r="D3" s="645"/>
      <c r="E3" s="645"/>
      <c r="F3" s="646"/>
      <c r="G3" s="641" t="s">
        <v>1</v>
      </c>
      <c r="H3" s="641"/>
      <c r="I3" s="641"/>
      <c r="J3" s="641"/>
      <c r="K3" s="641" t="s">
        <v>2</v>
      </c>
      <c r="L3" s="641"/>
      <c r="M3" s="641"/>
      <c r="N3" s="641"/>
      <c r="O3" s="641"/>
      <c r="Q3" s="7"/>
      <c r="S3" s="618" t="s">
        <v>49</v>
      </c>
      <c r="T3" s="619"/>
      <c r="U3" s="619"/>
      <c r="V3" s="619"/>
      <c r="W3" s="619"/>
      <c r="X3" s="619"/>
    </row>
    <row r="4" spans="1:25" ht="15" customHeight="1">
      <c r="A4" s="140"/>
      <c r="B4" s="141"/>
      <c r="C4" s="142" t="s">
        <v>11</v>
      </c>
      <c r="D4" s="142" t="s">
        <v>12</v>
      </c>
      <c r="E4" s="142" t="s">
        <v>13</v>
      </c>
      <c r="F4" s="142" t="s">
        <v>14</v>
      </c>
      <c r="G4" s="98"/>
      <c r="H4" s="237" t="s">
        <v>15</v>
      </c>
      <c r="I4" s="629" t="s">
        <v>537</v>
      </c>
      <c r="J4" s="630"/>
      <c r="K4" s="143" t="s">
        <v>16</v>
      </c>
      <c r="L4" s="144" t="s">
        <v>17</v>
      </c>
      <c r="M4" s="98"/>
      <c r="N4" s="104"/>
      <c r="O4" s="104"/>
      <c r="Q4" s="16"/>
      <c r="S4" s="291" t="s">
        <v>407</v>
      </c>
      <c r="T4" s="43">
        <v>0</v>
      </c>
      <c r="U4" s="35">
        <v>0.05</v>
      </c>
      <c r="V4" s="61">
        <v>7.0000000000000007E-2</v>
      </c>
      <c r="W4" s="61">
        <v>0.1</v>
      </c>
      <c r="X4" s="61">
        <v>0.15</v>
      </c>
    </row>
    <row r="5" spans="1:25" ht="21" customHeight="1">
      <c r="A5" s="17" t="s">
        <v>20</v>
      </c>
      <c r="B5" s="18" t="s">
        <v>21</v>
      </c>
      <c r="C5" s="19">
        <f>(C6+C14)</f>
        <v>425835</v>
      </c>
      <c r="D5" s="19">
        <f>D6+D14</f>
        <v>40105.80000000001</v>
      </c>
      <c r="E5" s="19">
        <f>E6+E14</f>
        <v>465940.8</v>
      </c>
      <c r="F5" s="20">
        <f>C5/C5</f>
        <v>1</v>
      </c>
      <c r="G5" s="11"/>
      <c r="H5" s="624" t="s">
        <v>414</v>
      </c>
      <c r="I5" s="625"/>
      <c r="J5" s="626"/>
      <c r="K5" s="33">
        <v>1</v>
      </c>
      <c r="L5" s="14" t="s">
        <v>26</v>
      </c>
      <c r="M5" s="11"/>
      <c r="N5" s="124">
        <f>N6+N7</f>
        <v>14.5</v>
      </c>
      <c r="O5" s="33"/>
      <c r="Q5" s="27"/>
      <c r="S5" s="291" t="s">
        <v>33</v>
      </c>
      <c r="T5" s="62">
        <f>'NPV (Tong dau tu) -Bảng 7'!C19</f>
        <v>103242.42684807809</v>
      </c>
      <c r="U5" s="62">
        <f t="dataTable" ref="U5:X6" dt2D="0" dtr="1" r1="N27"/>
        <v>82607.186732959934</v>
      </c>
      <c r="V5" s="62">
        <v>74777.6126735055</v>
      </c>
      <c r="W5" s="62">
        <v>63483.103400405933</v>
      </c>
      <c r="X5" s="62">
        <v>45773.203125212603</v>
      </c>
    </row>
    <row r="6" spans="1:25" ht="18.75" customHeight="1">
      <c r="A6" s="29"/>
      <c r="B6" s="30" t="s">
        <v>25</v>
      </c>
      <c r="C6" s="31">
        <f>SUM(C7:C13)</f>
        <v>401058</v>
      </c>
      <c r="D6" s="31">
        <f>SUM(D7:D13)</f>
        <v>40105.80000000001</v>
      </c>
      <c r="E6" s="31">
        <f>SUM(E7:E13)</f>
        <v>441163.8</v>
      </c>
      <c r="F6" s="32">
        <f>C6/C5</f>
        <v>0.94181549191588287</v>
      </c>
      <c r="G6" s="11"/>
      <c r="H6" s="236" t="s">
        <v>5</v>
      </c>
      <c r="I6" s="236">
        <v>2</v>
      </c>
      <c r="J6" s="236" t="s">
        <v>27</v>
      </c>
      <c r="K6" s="33">
        <v>2</v>
      </c>
      <c r="L6" s="11" t="s">
        <v>35</v>
      </c>
      <c r="M6" s="11"/>
      <c r="N6" s="319">
        <f>'KH trả nợ-Bảng 5'!B17</f>
        <v>13</v>
      </c>
      <c r="O6" s="33" t="s">
        <v>27</v>
      </c>
      <c r="Q6" s="41"/>
      <c r="S6" s="291" t="s">
        <v>39</v>
      </c>
      <c r="T6" s="65">
        <f>'NPV (Tong dau tu) -Bảng 7'!C20</f>
        <v>0.11932042910681263</v>
      </c>
      <c r="U6" s="65">
        <v>0.11981136708850015</v>
      </c>
      <c r="V6" s="65">
        <v>0.12000844543688677</v>
      </c>
      <c r="W6" s="65">
        <v>0.1203115496189117</v>
      </c>
      <c r="X6" s="65">
        <v>0.1208317337551813</v>
      </c>
      <c r="Y6" s="42"/>
    </row>
    <row r="7" spans="1:25" ht="15" customHeight="1">
      <c r="A7" s="606">
        <v>1</v>
      </c>
      <c r="B7" s="607" t="s">
        <v>22</v>
      </c>
      <c r="C7" s="608">
        <f>304728*(1+N25)</f>
        <v>304728</v>
      </c>
      <c r="D7" s="608">
        <f>C7*10%</f>
        <v>30472.800000000003</v>
      </c>
      <c r="E7" s="608">
        <f>C7+D7</f>
        <v>335200.8</v>
      </c>
      <c r="F7" s="609">
        <f>C7/C5</f>
        <v>0.71560111310718943</v>
      </c>
      <c r="G7" s="13" t="s">
        <v>16</v>
      </c>
      <c r="H7" s="144" t="s">
        <v>34</v>
      </c>
      <c r="I7" s="98"/>
      <c r="J7" s="98"/>
      <c r="K7" s="33">
        <v>3</v>
      </c>
      <c r="L7" s="11" t="s">
        <v>41</v>
      </c>
      <c r="M7" s="11"/>
      <c r="N7" s="319">
        <f>N8</f>
        <v>1.5</v>
      </c>
      <c r="O7" s="33" t="s">
        <v>27</v>
      </c>
      <c r="Q7" s="41"/>
    </row>
    <row r="8" spans="1:25" ht="15" customHeight="1">
      <c r="A8" s="33">
        <v>2</v>
      </c>
      <c r="B8" s="11" t="s">
        <v>36</v>
      </c>
      <c r="C8" s="45">
        <f>27877*(1+N25)</f>
        <v>27877</v>
      </c>
      <c r="D8" s="45">
        <f t="shared" ref="D8:D13" si="0">C8*10%</f>
        <v>2787.7000000000003</v>
      </c>
      <c r="E8" s="45">
        <f t="shared" ref="E8:E14" si="1">C8+D8</f>
        <v>30664.7</v>
      </c>
      <c r="F8" s="46">
        <f>C8/C5</f>
        <v>6.5464323035917663E-2</v>
      </c>
      <c r="G8" s="33">
        <v>1</v>
      </c>
      <c r="H8" s="11" t="s">
        <v>40</v>
      </c>
      <c r="I8" s="45">
        <f>60000*(1-$N$29)</f>
        <v>60000</v>
      </c>
      <c r="J8" s="11" t="s">
        <v>415</v>
      </c>
      <c r="K8" s="33">
        <v>4</v>
      </c>
      <c r="L8" s="14" t="s">
        <v>5</v>
      </c>
      <c r="M8" s="14"/>
      <c r="N8" s="319">
        <v>1.5</v>
      </c>
      <c r="O8" s="33" t="s">
        <v>27</v>
      </c>
      <c r="Q8" s="48"/>
      <c r="S8" s="618" t="s">
        <v>77</v>
      </c>
      <c r="T8" s="619"/>
      <c r="U8" s="619"/>
      <c r="V8" s="619"/>
      <c r="W8" s="619"/>
      <c r="X8" s="619"/>
    </row>
    <row r="9" spans="1:25" ht="15" customHeight="1">
      <c r="A9" s="33">
        <v>3</v>
      </c>
      <c r="B9" s="11" t="s">
        <v>272</v>
      </c>
      <c r="C9" s="45">
        <f>3453*(1+N25)</f>
        <v>3453</v>
      </c>
      <c r="D9" s="45">
        <f t="shared" si="0"/>
        <v>345.3</v>
      </c>
      <c r="E9" s="45">
        <f t="shared" si="1"/>
        <v>3798.3</v>
      </c>
      <c r="F9" s="46">
        <f t="shared" ref="F9:F14" si="2">C9/$C$5</f>
        <v>8.1087745253443227E-3</v>
      </c>
      <c r="G9" s="33"/>
      <c r="H9" s="11" t="s">
        <v>416</v>
      </c>
      <c r="I9" s="49">
        <v>0.4</v>
      </c>
      <c r="J9" s="11" t="s">
        <v>44</v>
      </c>
      <c r="K9" s="33">
        <v>5</v>
      </c>
      <c r="L9" s="627" t="s">
        <v>340</v>
      </c>
      <c r="M9" s="634"/>
      <c r="N9" s="634"/>
      <c r="O9" s="628"/>
      <c r="Q9" s="4"/>
      <c r="S9" s="291" t="s">
        <v>407</v>
      </c>
      <c r="T9" s="43">
        <v>0</v>
      </c>
      <c r="U9" s="61">
        <v>0.01</v>
      </c>
      <c r="V9" s="61">
        <v>0.02</v>
      </c>
      <c r="W9" s="61">
        <v>0.03</v>
      </c>
      <c r="X9" s="317">
        <v>0.04</v>
      </c>
    </row>
    <row r="10" spans="1:25" ht="15" customHeight="1">
      <c r="A10" s="33">
        <v>4</v>
      </c>
      <c r="B10" s="11" t="s">
        <v>50</v>
      </c>
      <c r="C10" s="45">
        <f>7273*(1+N25)</f>
        <v>7273</v>
      </c>
      <c r="D10" s="45">
        <f t="shared" si="0"/>
        <v>727.30000000000007</v>
      </c>
      <c r="E10" s="45">
        <f t="shared" si="1"/>
        <v>8000.3</v>
      </c>
      <c r="F10" s="46">
        <f t="shared" si="2"/>
        <v>1.7079385207885683E-2</v>
      </c>
      <c r="G10" s="33"/>
      <c r="H10" s="11" t="s">
        <v>417</v>
      </c>
      <c r="I10" s="53">
        <v>0.45</v>
      </c>
      <c r="J10" s="11" t="s">
        <v>44</v>
      </c>
      <c r="K10" s="33">
        <v>6</v>
      </c>
      <c r="L10" s="627" t="s">
        <v>23</v>
      </c>
      <c r="M10" s="628"/>
      <c r="N10" s="33"/>
      <c r="O10" s="33"/>
      <c r="Q10" s="60"/>
      <c r="S10" s="291" t="s">
        <v>33</v>
      </c>
      <c r="T10" s="62">
        <f>'NPV (Tong dau tu) -Bảng 7'!C19</f>
        <v>103242.42684807809</v>
      </c>
      <c r="U10" s="62">
        <f t="dataTable" ref="U10:X11" dt2D="0" dtr="1" r1="N26" ca="1"/>
        <v>94343.158931366779</v>
      </c>
      <c r="V10" s="62">
        <v>85392.324049425777</v>
      </c>
      <c r="W10" s="62">
        <v>76441.489167484862</v>
      </c>
      <c r="X10" s="62">
        <v>67490.654285544035</v>
      </c>
    </row>
    <row r="11" spans="1:25" ht="15" customHeight="1">
      <c r="A11" s="33">
        <v>5</v>
      </c>
      <c r="B11" s="11" t="s">
        <v>339</v>
      </c>
      <c r="C11" s="45">
        <f>10325*(1+N25)</f>
        <v>10325</v>
      </c>
      <c r="D11" s="45">
        <f t="shared" si="0"/>
        <v>1032.5</v>
      </c>
      <c r="E11" s="45">
        <f t="shared" si="1"/>
        <v>11357.5</v>
      </c>
      <c r="F11" s="46">
        <f t="shared" si="2"/>
        <v>2.4246480444303546E-2</v>
      </c>
      <c r="G11" s="33"/>
      <c r="H11" s="11" t="s">
        <v>418</v>
      </c>
      <c r="I11" s="63">
        <v>0.9</v>
      </c>
      <c r="J11" s="11" t="s">
        <v>44</v>
      </c>
      <c r="K11" s="33" t="s">
        <v>28</v>
      </c>
      <c r="L11" s="627" t="s">
        <v>56</v>
      </c>
      <c r="M11" s="628"/>
      <c r="N11" s="145">
        <v>0.8</v>
      </c>
      <c r="O11" s="33" t="s">
        <v>56</v>
      </c>
      <c r="Q11" s="4"/>
      <c r="S11" s="291" t="s">
        <v>39</v>
      </c>
      <c r="T11" s="65">
        <f>'NPV (Tong dau tu) -Bảng 7'!C20</f>
        <v>0.11932042910681263</v>
      </c>
      <c r="U11" s="65">
        <v>0.11727028995900662</v>
      </c>
      <c r="V11" s="65">
        <v>0.11518702615173515</v>
      </c>
      <c r="W11" s="65">
        <v>0.11308520737440829</v>
      </c>
      <c r="X11" s="65">
        <v>0.11096401048165262</v>
      </c>
    </row>
    <row r="12" spans="1:25" ht="15" customHeight="1">
      <c r="A12" s="33">
        <v>6</v>
      </c>
      <c r="B12" s="11" t="s">
        <v>115</v>
      </c>
      <c r="C12" s="45">
        <f>2018*(1+N25)</f>
        <v>2018</v>
      </c>
      <c r="D12" s="45">
        <f t="shared" si="0"/>
        <v>201.8</v>
      </c>
      <c r="E12" s="45">
        <f t="shared" si="1"/>
        <v>2219.8000000000002</v>
      </c>
      <c r="F12" s="46">
        <f t="shared" si="2"/>
        <v>4.7389247008817973E-3</v>
      </c>
      <c r="G12" s="33"/>
      <c r="H12" s="11" t="s">
        <v>419</v>
      </c>
      <c r="I12" s="63">
        <v>0.95</v>
      </c>
      <c r="J12" s="11" t="s">
        <v>44</v>
      </c>
      <c r="K12" s="33" t="s">
        <v>28</v>
      </c>
      <c r="L12" s="11" t="s">
        <v>59</v>
      </c>
      <c r="M12" s="11"/>
      <c r="N12" s="145">
        <f>D17</f>
        <v>0.69275495730750802</v>
      </c>
      <c r="O12" s="33" t="s">
        <v>60</v>
      </c>
      <c r="Q12" s="41"/>
    </row>
    <row r="13" spans="1:25" ht="15" customHeight="1">
      <c r="A13" s="33">
        <v>7</v>
      </c>
      <c r="B13" s="11" t="s">
        <v>63</v>
      </c>
      <c r="C13" s="64">
        <f>45384*(1+N25)</f>
        <v>45384</v>
      </c>
      <c r="D13" s="45">
        <f t="shared" si="0"/>
        <v>4538.4000000000005</v>
      </c>
      <c r="E13" s="45">
        <f t="shared" si="1"/>
        <v>49922.400000000001</v>
      </c>
      <c r="F13" s="46">
        <f t="shared" si="2"/>
        <v>0.1065764908943605</v>
      </c>
      <c r="G13" s="33"/>
      <c r="H13" s="11" t="s">
        <v>420</v>
      </c>
      <c r="I13" s="63">
        <v>1</v>
      </c>
      <c r="J13" s="11" t="s">
        <v>44</v>
      </c>
      <c r="K13" s="33" t="s">
        <v>28</v>
      </c>
      <c r="L13" s="11" t="s">
        <v>64</v>
      </c>
      <c r="M13" s="11"/>
      <c r="N13" s="146">
        <v>0</v>
      </c>
      <c r="O13" s="33" t="s">
        <v>65</v>
      </c>
      <c r="Q13" s="48"/>
      <c r="U13" s="309"/>
      <c r="V13" s="309"/>
      <c r="W13" s="309"/>
      <c r="X13" s="309"/>
    </row>
    <row r="14" spans="1:25" ht="15" customHeight="1">
      <c r="A14" s="104">
        <v>8</v>
      </c>
      <c r="B14" s="610" t="s">
        <v>68</v>
      </c>
      <c r="C14" s="611">
        <f>24777*(1+N25)</f>
        <v>24777</v>
      </c>
      <c r="D14" s="611"/>
      <c r="E14" s="99">
        <f t="shared" si="1"/>
        <v>24777</v>
      </c>
      <c r="F14" s="612">
        <f t="shared" si="2"/>
        <v>5.8184508084117084E-2</v>
      </c>
      <c r="G14" s="33">
        <v>2</v>
      </c>
      <c r="H14" s="153" t="s">
        <v>421</v>
      </c>
      <c r="I14" s="12"/>
      <c r="J14" s="11"/>
      <c r="K14" s="13" t="s">
        <v>79</v>
      </c>
      <c r="L14" s="11" t="s">
        <v>71</v>
      </c>
      <c r="M14" s="11"/>
      <c r="N14" s="147">
        <f>7%*(1+N27)</f>
        <v>7.0000000000000007E-2</v>
      </c>
      <c r="O14" s="33" t="s">
        <v>27</v>
      </c>
      <c r="Q14" s="48"/>
      <c r="S14" s="618" t="s">
        <v>99</v>
      </c>
      <c r="T14" s="619"/>
      <c r="U14" s="619"/>
      <c r="V14" s="619"/>
      <c r="W14" s="619"/>
      <c r="X14" s="619"/>
    </row>
    <row r="15" spans="1:25" ht="15" customHeight="1">
      <c r="A15" s="17" t="s">
        <v>73</v>
      </c>
      <c r="B15" s="18" t="s">
        <v>74</v>
      </c>
      <c r="C15" s="66">
        <f>C16+C17+C22</f>
        <v>425836</v>
      </c>
      <c r="D15" s="67" t="s">
        <v>137</v>
      </c>
      <c r="E15" s="150"/>
      <c r="F15" s="67"/>
      <c r="G15" s="33"/>
      <c r="H15" s="152" t="s">
        <v>536</v>
      </c>
      <c r="I15" s="245"/>
      <c r="J15" s="11"/>
      <c r="K15" s="13" t="s">
        <v>45</v>
      </c>
      <c r="L15" s="11" t="s">
        <v>75</v>
      </c>
      <c r="M15" s="11"/>
      <c r="N15" s="33"/>
      <c r="O15" s="33"/>
      <c r="Q15" s="48"/>
      <c r="S15" s="291" t="s">
        <v>407</v>
      </c>
      <c r="T15" s="43">
        <v>0</v>
      </c>
      <c r="U15" s="61">
        <v>0.02</v>
      </c>
      <c r="V15" s="61">
        <v>0.03</v>
      </c>
      <c r="W15" s="61">
        <v>0.05</v>
      </c>
      <c r="X15" s="391">
        <v>0.06</v>
      </c>
    </row>
    <row r="16" spans="1:25" ht="19.5" customHeight="1">
      <c r="A16" s="68">
        <v>1</v>
      </c>
      <c r="B16" s="69" t="s">
        <v>136</v>
      </c>
      <c r="C16" s="70">
        <v>130836</v>
      </c>
      <c r="D16" s="437">
        <f>C16/C15</f>
        <v>0.30724504269249192</v>
      </c>
      <c r="E16" s="70"/>
      <c r="F16" s="151"/>
      <c r="G16" s="13">
        <v>3</v>
      </c>
      <c r="H16" s="14" t="s">
        <v>331</v>
      </c>
      <c r="I16" s="75"/>
      <c r="J16" s="14"/>
      <c r="K16" s="33">
        <v>1</v>
      </c>
      <c r="L16" s="11" t="s">
        <v>131</v>
      </c>
      <c r="M16" s="11"/>
      <c r="N16" s="147">
        <f>10.5%*(1+N27)</f>
        <v>0.105</v>
      </c>
      <c r="O16" s="33" t="s">
        <v>27</v>
      </c>
      <c r="Q16" s="48"/>
      <c r="S16" s="291" t="s">
        <v>33</v>
      </c>
      <c r="T16" s="62">
        <f>'NPV (Tong dau tu) -Bảng 7'!C19</f>
        <v>103242.42684807809</v>
      </c>
      <c r="U16" s="62">
        <f t="dataTable" ref="U16:X17" dt2D="0" dtr="1" r1="N30" ca="1"/>
        <v>95778.24943199777</v>
      </c>
      <c r="V16" s="62">
        <v>92020.377241342794</v>
      </c>
      <c r="W16" s="62">
        <v>84504.632860032812</v>
      </c>
      <c r="X16" s="62">
        <v>80746.760669377836</v>
      </c>
    </row>
    <row r="17" spans="1:24" ht="18" customHeight="1">
      <c r="A17" s="71">
        <v>2</v>
      </c>
      <c r="B17" s="72" t="s">
        <v>129</v>
      </c>
      <c r="C17" s="73">
        <v>295000</v>
      </c>
      <c r="D17" s="438">
        <f>C17/C15</f>
        <v>0.69275495730750802</v>
      </c>
      <c r="E17" s="123"/>
      <c r="F17" s="74"/>
      <c r="G17" s="13"/>
      <c r="H17" s="152" t="s">
        <v>426</v>
      </c>
      <c r="I17" s="12">
        <f>9500*(1-$N$26)</f>
        <v>9500</v>
      </c>
      <c r="J17" s="11" t="s">
        <v>430</v>
      </c>
      <c r="K17" s="33">
        <v>2</v>
      </c>
      <c r="L17" s="627" t="s">
        <v>271</v>
      </c>
      <c r="M17" s="628"/>
      <c r="N17" s="147"/>
      <c r="O17" s="33"/>
      <c r="Q17" s="77"/>
      <c r="S17" s="291" t="s">
        <v>39</v>
      </c>
      <c r="T17" s="65">
        <f>'NPV (Tong dau tu) -Bảng 7'!C20</f>
        <v>0.11932042910681263</v>
      </c>
      <c r="U17" s="65">
        <v>0.11760175660587839</v>
      </c>
      <c r="V17" s="65">
        <v>0.11673015322494745</v>
      </c>
      <c r="W17" s="65">
        <v>0.11497748011105223</v>
      </c>
      <c r="X17" s="65">
        <v>0.11409629494490788</v>
      </c>
    </row>
    <row r="18" spans="1:24" ht="15" customHeight="1">
      <c r="A18" s="78" t="s">
        <v>82</v>
      </c>
      <c r="B18" s="152" t="s">
        <v>83</v>
      </c>
      <c r="C18" s="80">
        <f>C17</f>
        <v>295000</v>
      </c>
      <c r="D18" s="120"/>
      <c r="E18" s="81"/>
      <c r="F18" s="82"/>
      <c r="G18" s="13"/>
      <c r="H18" s="152" t="s">
        <v>427</v>
      </c>
      <c r="I18" s="12">
        <f>12000*(1-$N$26)</f>
        <v>12000</v>
      </c>
      <c r="J18" s="11" t="s">
        <v>430</v>
      </c>
      <c r="K18" s="13" t="s">
        <v>51</v>
      </c>
      <c r="L18" s="11" t="s">
        <v>87</v>
      </c>
      <c r="M18" s="11"/>
      <c r="N18" s="273">
        <f>(D16+D22)*N14+D17*N16</f>
        <v>9.4246423505762789E-2</v>
      </c>
      <c r="O18" s="33" t="s">
        <v>27</v>
      </c>
      <c r="Q18" s="84"/>
    </row>
    <row r="19" spans="1:24" ht="15" customHeight="1">
      <c r="A19" s="33" t="s">
        <v>69</v>
      </c>
      <c r="B19" s="11" t="s">
        <v>85</v>
      </c>
      <c r="C19" s="45">
        <f>C18-C20</f>
        <v>270223</v>
      </c>
      <c r="D19" s="121"/>
      <c r="E19" s="45"/>
      <c r="F19" s="85"/>
      <c r="G19" s="13"/>
      <c r="H19" s="152" t="s">
        <v>428</v>
      </c>
      <c r="I19" s="12">
        <f>12000*(1-$N$26)</f>
        <v>12000</v>
      </c>
      <c r="J19" s="11" t="s">
        <v>430</v>
      </c>
      <c r="K19" s="13"/>
      <c r="L19" s="11"/>
      <c r="M19" s="11"/>
      <c r="N19" s="147"/>
      <c r="O19" s="33"/>
      <c r="Q19" s="4"/>
      <c r="R19" s="549" t="s">
        <v>33</v>
      </c>
      <c r="S19" s="291"/>
      <c r="T19" s="617" t="s">
        <v>338</v>
      </c>
      <c r="U19" s="617"/>
      <c r="V19" s="617"/>
      <c r="W19" s="617"/>
      <c r="X19" s="617"/>
    </row>
    <row r="20" spans="1:24" ht="15" customHeight="1">
      <c r="A20" s="33" t="s">
        <v>69</v>
      </c>
      <c r="B20" s="9" t="s">
        <v>90</v>
      </c>
      <c r="C20" s="87">
        <f>C14</f>
        <v>24777</v>
      </c>
      <c r="D20" s="122"/>
      <c r="E20" s="87"/>
      <c r="F20" s="89"/>
      <c r="G20" s="86"/>
      <c r="H20" s="152" t="s">
        <v>429</v>
      </c>
      <c r="I20" s="12">
        <f>10000*(1-$N$26)</f>
        <v>10000</v>
      </c>
      <c r="J20" s="11" t="s">
        <v>430</v>
      </c>
      <c r="K20" s="33" t="s">
        <v>70</v>
      </c>
      <c r="L20" s="11" t="s">
        <v>309</v>
      </c>
      <c r="M20" s="11"/>
      <c r="N20" s="147">
        <v>0.08</v>
      </c>
      <c r="O20" s="131"/>
      <c r="Q20" s="4"/>
      <c r="R20" s="550"/>
      <c r="S20" s="292">
        <f>'NPV (Tong dau tu) -Bảng 7'!C19</f>
        <v>103242.42684807809</v>
      </c>
      <c r="T20" s="43">
        <v>0</v>
      </c>
      <c r="U20" s="35">
        <v>0.03</v>
      </c>
      <c r="V20" s="61">
        <v>0.05</v>
      </c>
      <c r="W20" s="61">
        <v>7.0000000000000007E-2</v>
      </c>
      <c r="X20" s="61">
        <v>0.08</v>
      </c>
    </row>
    <row r="21" spans="1:24" ht="15" customHeight="1">
      <c r="A21" s="8" t="s">
        <v>91</v>
      </c>
      <c r="B21" s="9" t="s">
        <v>135</v>
      </c>
      <c r="C21" s="87">
        <f>C17</f>
        <v>295000</v>
      </c>
      <c r="D21" s="122"/>
      <c r="E21" s="92"/>
      <c r="F21" s="89"/>
      <c r="G21" s="13" t="s">
        <v>79</v>
      </c>
      <c r="H21" s="14" t="s">
        <v>52</v>
      </c>
      <c r="I21" s="130"/>
      <c r="J21" s="11"/>
      <c r="K21" s="33" t="s">
        <v>28</v>
      </c>
      <c r="L21" s="11"/>
      <c r="M21" s="11"/>
      <c r="N21" s="145"/>
      <c r="O21" s="33" t="s">
        <v>27</v>
      </c>
      <c r="R21" s="620" t="s">
        <v>101</v>
      </c>
      <c r="S21" s="290">
        <v>0</v>
      </c>
      <c r="T21" s="34">
        <f t="dataTable" ref="T21:X26" dt2D="1" dtr="0" r1="N29" r2="N26" ca="1"/>
        <v>103242.42684807809</v>
      </c>
      <c r="U21" s="34">
        <v>90347.310449667537</v>
      </c>
      <c r="V21" s="34">
        <v>81716.188207240746</v>
      </c>
      <c r="W21" s="34">
        <v>73085.065964814014</v>
      </c>
      <c r="X21" s="34">
        <v>68769.504843600618</v>
      </c>
    </row>
    <row r="22" spans="1:24" ht="15" customHeight="1">
      <c r="A22" s="10"/>
      <c r="B22" s="127"/>
      <c r="C22" s="128"/>
      <c r="D22" s="129"/>
      <c r="E22" s="116"/>
      <c r="F22" s="89"/>
      <c r="G22" s="13">
        <v>1</v>
      </c>
      <c r="H22" s="14" t="s">
        <v>138</v>
      </c>
      <c r="I22" s="130"/>
      <c r="J22" s="11"/>
      <c r="K22" s="33"/>
      <c r="L22" s="11" t="s">
        <v>5</v>
      </c>
      <c r="M22" s="11"/>
      <c r="N22" s="316">
        <v>1.5</v>
      </c>
      <c r="O22" s="33" t="s">
        <v>27</v>
      </c>
      <c r="R22" s="621"/>
      <c r="S22" s="290">
        <v>0.01</v>
      </c>
      <c r="T22" s="34">
        <v>94343.158931366779</v>
      </c>
      <c r="U22" s="34">
        <v>81665.000614184857</v>
      </c>
      <c r="V22" s="34">
        <v>73212.89506939688</v>
      </c>
      <c r="W22" s="34">
        <v>64760.789524608874</v>
      </c>
      <c r="X22" s="34">
        <v>60519.69468919505</v>
      </c>
    </row>
    <row r="23" spans="1:24" ht="15" customHeight="1">
      <c r="A23" s="641" t="s">
        <v>102</v>
      </c>
      <c r="B23" s="641"/>
      <c r="C23" s="641"/>
      <c r="D23" s="641"/>
      <c r="E23" s="641"/>
      <c r="F23" s="641"/>
      <c r="G23" s="13"/>
      <c r="H23" s="152" t="s">
        <v>431</v>
      </c>
      <c r="I23" s="45">
        <f>(1+$N$30)*1100</f>
        <v>1100</v>
      </c>
      <c r="J23" s="11" t="s">
        <v>430</v>
      </c>
      <c r="K23" s="33"/>
      <c r="L23" s="642"/>
      <c r="M23" s="643"/>
      <c r="N23" s="133"/>
      <c r="O23" s="33"/>
      <c r="R23" s="621"/>
      <c r="S23" s="290">
        <v>0.02</v>
      </c>
      <c r="T23" s="34">
        <v>85392.324049425777</v>
      </c>
      <c r="U23" s="34">
        <v>72982.690778702236</v>
      </c>
      <c r="V23" s="34">
        <v>64709.601931553014</v>
      </c>
      <c r="W23" s="393">
        <v>56372.830032077327</v>
      </c>
      <c r="X23" s="393">
        <v>52155.106236581138</v>
      </c>
    </row>
    <row r="24" spans="1:24" ht="15" customHeight="1">
      <c r="A24" s="98">
        <v>1</v>
      </c>
      <c r="B24" s="98" t="s">
        <v>103</v>
      </c>
      <c r="C24" s="305">
        <v>0.01</v>
      </c>
      <c r="D24" s="98" t="s">
        <v>86</v>
      </c>
      <c r="E24" s="99"/>
      <c r="F24" s="98"/>
      <c r="G24" s="13"/>
      <c r="H24" s="152" t="s">
        <v>378</v>
      </c>
      <c r="I24" s="45">
        <f>(1+$N$30)*403</f>
        <v>403</v>
      </c>
      <c r="J24" s="11" t="s">
        <v>430</v>
      </c>
      <c r="K24" s="635" t="s">
        <v>98</v>
      </c>
      <c r="L24" s="636"/>
      <c r="M24" s="637"/>
      <c r="N24" s="148"/>
      <c r="O24" s="13"/>
      <c r="Q24" s="7"/>
      <c r="R24" s="621"/>
      <c r="S24" s="290">
        <v>0.03</v>
      </c>
      <c r="T24" s="551">
        <v>76441.489167484862</v>
      </c>
      <c r="U24" s="551">
        <v>64300.380943219556</v>
      </c>
      <c r="V24" s="552">
        <v>56137.339919497492</v>
      </c>
      <c r="W24" s="552">
        <v>47865.018929882004</v>
      </c>
      <c r="X24" s="552">
        <v>43724.389191943454</v>
      </c>
    </row>
    <row r="25" spans="1:24" ht="15" customHeight="1">
      <c r="A25" s="11">
        <v>2</v>
      </c>
      <c r="B25" s="11" t="s">
        <v>105</v>
      </c>
      <c r="C25" s="306">
        <v>0.01</v>
      </c>
      <c r="D25" s="11" t="s">
        <v>106</v>
      </c>
      <c r="E25" s="45"/>
      <c r="F25" s="11"/>
      <c r="G25" s="13"/>
      <c r="H25" s="152" t="s">
        <v>432</v>
      </c>
      <c r="I25" s="45">
        <f>(1+$N$30)*366</f>
        <v>366</v>
      </c>
      <c r="J25" s="11" t="s">
        <v>430</v>
      </c>
      <c r="K25" s="36"/>
      <c r="L25" s="95" t="s">
        <v>100</v>
      </c>
      <c r="M25" s="95"/>
      <c r="N25" s="149">
        <v>0</v>
      </c>
      <c r="O25" s="132"/>
      <c r="Q25" s="16"/>
      <c r="R25" s="621"/>
      <c r="S25" s="290">
        <v>0.04</v>
      </c>
      <c r="T25" s="552">
        <v>67490.654285544035</v>
      </c>
      <c r="U25" s="551">
        <v>55538.62969326842</v>
      </c>
      <c r="V25" s="551">
        <v>47440.646674883319</v>
      </c>
      <c r="W25" s="551">
        <v>39342.663656498335</v>
      </c>
      <c r="X25" s="551">
        <v>35293.672147305857</v>
      </c>
    </row>
    <row r="26" spans="1:24" ht="15" customHeight="1">
      <c r="A26" s="11">
        <v>3</v>
      </c>
      <c r="B26" s="11" t="s">
        <v>107</v>
      </c>
      <c r="C26" s="306">
        <v>0.01</v>
      </c>
      <c r="D26" s="11" t="s">
        <v>86</v>
      </c>
      <c r="E26" s="11"/>
      <c r="F26" s="11"/>
      <c r="G26" s="13"/>
      <c r="H26" s="152" t="s">
        <v>433</v>
      </c>
      <c r="I26" s="45">
        <f>(1+$N$30)*1500</f>
        <v>1500</v>
      </c>
      <c r="J26" s="11" t="s">
        <v>430</v>
      </c>
      <c r="K26" s="36"/>
      <c r="L26" s="638" t="s">
        <v>101</v>
      </c>
      <c r="M26" s="639"/>
      <c r="N26" s="149">
        <v>0</v>
      </c>
      <c r="O26" s="132"/>
      <c r="Q26" s="4"/>
      <c r="R26" s="622"/>
      <c r="S26" s="290">
        <v>0.05</v>
      </c>
      <c r="T26" s="551">
        <v>58491.230076854903</v>
      </c>
      <c r="U26" s="551">
        <v>46649.721504900488</v>
      </c>
      <c r="V26" s="551">
        <v>38735.014944007504</v>
      </c>
      <c r="W26" s="551">
        <v>30820.308383114694</v>
      </c>
      <c r="X26" s="551">
        <v>26821.059871455014</v>
      </c>
    </row>
    <row r="27" spans="1:24" ht="15" customHeight="1">
      <c r="A27" s="11">
        <v>4</v>
      </c>
      <c r="B27" s="11" t="s">
        <v>125</v>
      </c>
      <c r="C27" s="275">
        <v>3</v>
      </c>
      <c r="D27" s="11" t="s">
        <v>109</v>
      </c>
      <c r="E27" s="11"/>
      <c r="F27" s="11"/>
      <c r="G27" s="13">
        <v>2</v>
      </c>
      <c r="H27" s="14" t="s">
        <v>139</v>
      </c>
      <c r="I27" s="435">
        <f>83</f>
        <v>83</v>
      </c>
      <c r="J27" s="11" t="s">
        <v>430</v>
      </c>
      <c r="K27" s="36"/>
      <c r="L27" s="638" t="s">
        <v>332</v>
      </c>
      <c r="M27" s="639"/>
      <c r="N27" s="109">
        <v>0</v>
      </c>
      <c r="O27" s="132"/>
      <c r="Q27" s="48"/>
    </row>
    <row r="28" spans="1:24" ht="15" customHeight="1">
      <c r="A28" s="9">
        <v>5</v>
      </c>
      <c r="B28" s="11" t="s">
        <v>121</v>
      </c>
      <c r="C28" s="149">
        <v>0.9</v>
      </c>
      <c r="D28" s="11" t="s">
        <v>122</v>
      </c>
      <c r="E28" s="9"/>
      <c r="F28" s="9"/>
      <c r="G28" s="13">
        <v>3</v>
      </c>
      <c r="H28" s="14" t="s">
        <v>128</v>
      </c>
      <c r="I28" s="435">
        <f>222</f>
        <v>222</v>
      </c>
      <c r="J28" s="11" t="s">
        <v>430</v>
      </c>
      <c r="K28" s="36"/>
      <c r="L28" s="95"/>
      <c r="M28" s="95"/>
      <c r="N28" s="109"/>
      <c r="O28" s="132"/>
      <c r="Q28" s="48"/>
      <c r="R28" s="620" t="s">
        <v>39</v>
      </c>
      <c r="S28" s="291"/>
      <c r="T28" s="617" t="s">
        <v>338</v>
      </c>
      <c r="U28" s="617"/>
      <c r="V28" s="617"/>
      <c r="W28" s="617"/>
      <c r="X28" s="617"/>
    </row>
    <row r="29" spans="1:24" ht="15" customHeight="1">
      <c r="A29" s="9">
        <v>6</v>
      </c>
      <c r="B29" s="11" t="s">
        <v>108</v>
      </c>
      <c r="C29" s="275">
        <v>2</v>
      </c>
      <c r="D29" s="11" t="s">
        <v>109</v>
      </c>
      <c r="E29" s="9"/>
      <c r="F29" s="9"/>
      <c r="G29" s="13">
        <v>4</v>
      </c>
      <c r="H29" s="14" t="s">
        <v>140</v>
      </c>
      <c r="I29" s="436">
        <f>258</f>
        <v>258</v>
      </c>
      <c r="J29" s="11" t="s">
        <v>430</v>
      </c>
      <c r="K29" s="36"/>
      <c r="L29" s="95" t="s">
        <v>120</v>
      </c>
      <c r="M29" s="95"/>
      <c r="N29" s="109">
        <v>0</v>
      </c>
      <c r="O29" s="132"/>
      <c r="Q29" s="48"/>
      <c r="R29" s="622"/>
      <c r="S29" s="392">
        <f>'NPV (Tong dau tu) -Bảng 7'!C20</f>
        <v>0.11932042910681263</v>
      </c>
      <c r="T29" s="43">
        <v>0</v>
      </c>
      <c r="U29" s="43">
        <v>0.03</v>
      </c>
      <c r="V29" s="43">
        <f>V20</f>
        <v>0.05</v>
      </c>
      <c r="W29" s="43">
        <f>W20</f>
        <v>7.0000000000000007E-2</v>
      </c>
      <c r="X29" s="363">
        <f>X20</f>
        <v>0.08</v>
      </c>
    </row>
    <row r="30" spans="1:24" ht="15" customHeight="1">
      <c r="A30" s="641" t="s">
        <v>110</v>
      </c>
      <c r="B30" s="641"/>
      <c r="C30" s="641"/>
      <c r="D30" s="641"/>
      <c r="E30" s="641"/>
      <c r="F30" s="641"/>
      <c r="G30" s="13">
        <v>5</v>
      </c>
      <c r="H30" s="14" t="s">
        <v>141</v>
      </c>
      <c r="I30" s="244">
        <f>219</f>
        <v>219</v>
      </c>
      <c r="J30" s="11" t="s">
        <v>430</v>
      </c>
      <c r="K30" s="36"/>
      <c r="L30" s="95" t="s">
        <v>333</v>
      </c>
      <c r="M30" s="95"/>
      <c r="N30" s="109">
        <v>0</v>
      </c>
      <c r="O30" s="132"/>
      <c r="Q30" s="4"/>
      <c r="R30" s="620" t="s">
        <v>101</v>
      </c>
      <c r="S30" s="290">
        <v>0</v>
      </c>
      <c r="T30" s="65">
        <f t="dataTable" ref="T30:X35" dt2D="1" dtr="0" r1="N29" r2="N26" ca="1"/>
        <v>0.11932042910681263</v>
      </c>
      <c r="U30" s="65">
        <v>0.11634386253958111</v>
      </c>
      <c r="V30" s="65">
        <v>0.11432814008374957</v>
      </c>
      <c r="W30" s="65">
        <v>0.1122946948388004</v>
      </c>
      <c r="X30" s="65">
        <v>0.11127109050692434</v>
      </c>
    </row>
    <row r="31" spans="1:24" ht="15" customHeight="1">
      <c r="A31" s="104">
        <v>1</v>
      </c>
      <c r="B31" s="98" t="s">
        <v>95</v>
      </c>
      <c r="C31" s="105">
        <v>0.2</v>
      </c>
      <c r="D31" s="98"/>
      <c r="E31" s="106"/>
      <c r="F31" s="98"/>
      <c r="G31" s="13" t="s">
        <v>45</v>
      </c>
      <c r="H31" s="154" t="s">
        <v>270</v>
      </c>
      <c r="I31" s="13"/>
      <c r="J31" s="13"/>
      <c r="K31" s="605"/>
      <c r="L31" s="605"/>
      <c r="M31" s="605"/>
      <c r="N31" s="132"/>
      <c r="O31" s="132"/>
      <c r="Q31" s="4"/>
      <c r="R31" s="621"/>
      <c r="S31" s="290">
        <v>0.01</v>
      </c>
      <c r="T31" s="65">
        <v>0.11727028995900662</v>
      </c>
      <c r="U31" s="65">
        <v>0.11431531057250502</v>
      </c>
      <c r="V31" s="65">
        <v>0.11232421427580769</v>
      </c>
      <c r="W31" s="65">
        <v>0.11031540358801811</v>
      </c>
      <c r="X31" s="65">
        <v>0.1092999755032356</v>
      </c>
    </row>
    <row r="32" spans="1:24" ht="15" customHeight="1">
      <c r="A32" s="33" t="s">
        <v>28</v>
      </c>
      <c r="B32" s="11"/>
      <c r="C32" s="107"/>
      <c r="D32" s="11"/>
      <c r="E32" s="54"/>
      <c r="F32" s="11"/>
      <c r="G32" s="13"/>
      <c r="H32" s="11" t="s">
        <v>434</v>
      </c>
      <c r="I32" s="45">
        <v>25</v>
      </c>
      <c r="J32" s="11" t="s">
        <v>27</v>
      </c>
      <c r="K32" s="631" t="s">
        <v>124</v>
      </c>
      <c r="L32" s="632"/>
      <c r="M32" s="633"/>
      <c r="N32" s="133"/>
      <c r="O32" s="133"/>
      <c r="Q32" s="77"/>
      <c r="R32" s="621"/>
      <c r="S32" s="290">
        <v>0.02</v>
      </c>
      <c r="T32" s="553">
        <v>0.11518702615173515</v>
      </c>
      <c r="U32" s="553">
        <v>0.11226898147233509</v>
      </c>
      <c r="V32" s="553">
        <v>0.11030251780242556</v>
      </c>
      <c r="W32" s="553">
        <v>0.10830087462305572</v>
      </c>
      <c r="X32" s="553">
        <v>0.10727998601949761</v>
      </c>
    </row>
    <row r="33" spans="1:24" ht="15" customHeight="1">
      <c r="A33" s="33" t="s">
        <v>28</v>
      </c>
      <c r="B33" s="11"/>
      <c r="C33" s="107"/>
      <c r="D33" s="11"/>
      <c r="E33" s="54"/>
      <c r="F33" s="11"/>
      <c r="G33" s="33"/>
      <c r="H33" s="11" t="s">
        <v>435</v>
      </c>
      <c r="I33" s="45">
        <v>25</v>
      </c>
      <c r="J33" s="11" t="s">
        <v>27</v>
      </c>
      <c r="K33" s="36"/>
      <c r="L33" s="36" t="s">
        <v>33</v>
      </c>
      <c r="M33" s="36"/>
      <c r="N33" s="12">
        <f>'NPV (Tong dau tu) -Bảng 7'!C19</f>
        <v>103242.42684807809</v>
      </c>
      <c r="O33" s="133"/>
      <c r="Q33" s="4"/>
      <c r="R33" s="621"/>
      <c r="S33" s="290">
        <v>0.03</v>
      </c>
      <c r="T33" s="553">
        <v>0.11308520737440829</v>
      </c>
      <c r="U33" s="553">
        <v>0.11020410586250796</v>
      </c>
      <c r="V33" s="553">
        <v>0.10824336274505783</v>
      </c>
      <c r="W33" s="553">
        <v>0.10623592655820975</v>
      </c>
      <c r="X33" s="553">
        <v>0.10522441331719093</v>
      </c>
    </row>
    <row r="34" spans="1:24" ht="15" customHeight="1">
      <c r="A34" s="8"/>
      <c r="B34" s="9"/>
      <c r="C34" s="595"/>
      <c r="D34" s="9"/>
      <c r="E34" s="596"/>
      <c r="F34" s="597"/>
      <c r="G34" s="13"/>
      <c r="H34" s="11" t="s">
        <v>436</v>
      </c>
      <c r="I34" s="45">
        <v>15</v>
      </c>
      <c r="J34" s="11" t="s">
        <v>27</v>
      </c>
      <c r="K34" s="119"/>
      <c r="L34" s="36" t="s">
        <v>39</v>
      </c>
      <c r="M34" s="36"/>
      <c r="N34" s="324">
        <f>'NPV (Tong dau tu) -Bảng 7'!C20</f>
        <v>0.11932042910681263</v>
      </c>
      <c r="O34" s="134"/>
      <c r="Q34" s="4"/>
      <c r="R34" s="621"/>
      <c r="S34" s="290">
        <v>0.04</v>
      </c>
      <c r="T34" s="553">
        <v>0.11096401048165262</v>
      </c>
      <c r="U34" s="553">
        <v>0.10809809124913038</v>
      </c>
      <c r="V34" s="553">
        <v>0.10613179773052622</v>
      </c>
      <c r="W34" s="553">
        <v>0.10414853076355519</v>
      </c>
      <c r="X34" s="553">
        <v>0.10315030549626943</v>
      </c>
    </row>
    <row r="35" spans="1:24" ht="15" customHeight="1">
      <c r="A35" s="592"/>
      <c r="B35" s="593"/>
      <c r="C35" s="600"/>
      <c r="D35" s="601"/>
      <c r="E35" s="602"/>
      <c r="F35" s="593"/>
      <c r="G35" s="10"/>
      <c r="H35" s="9" t="s">
        <v>104</v>
      </c>
      <c r="I35" s="87">
        <v>50</v>
      </c>
      <c r="J35" s="9" t="s">
        <v>27</v>
      </c>
      <c r="K35" s="598"/>
      <c r="L35" s="119" t="s">
        <v>96</v>
      </c>
      <c r="M35" s="119"/>
      <c r="N35" s="599">
        <f>'NPV (Tong dau tu) -Bảng 7'!C23</f>
        <v>17</v>
      </c>
      <c r="O35" s="134"/>
      <c r="Q35" s="48"/>
      <c r="R35" s="622"/>
      <c r="S35" s="290">
        <v>0.05</v>
      </c>
      <c r="T35" s="553">
        <v>0.1088092000663661</v>
      </c>
      <c r="U35" s="553">
        <v>0.10593817003156678</v>
      </c>
      <c r="V35" s="553">
        <v>0.10399844695082729</v>
      </c>
      <c r="W35" s="553">
        <v>0.10204175551845371</v>
      </c>
      <c r="X35" s="553">
        <v>0.10104589915875695</v>
      </c>
    </row>
    <row r="36" spans="1:24" ht="15" customHeight="1">
      <c r="A36" s="593"/>
      <c r="B36" s="593"/>
      <c r="C36" s="593"/>
      <c r="D36" s="603"/>
      <c r="E36" s="593"/>
      <c r="F36" s="604"/>
      <c r="G36" s="589"/>
      <c r="H36" s="590"/>
      <c r="I36" s="591"/>
      <c r="J36" s="591"/>
      <c r="K36" s="4"/>
      <c r="L36" s="4"/>
      <c r="M36" s="4"/>
      <c r="N36" s="39"/>
      <c r="O36" s="39"/>
      <c r="Q36" s="48"/>
    </row>
    <row r="37" spans="1:24">
      <c r="A37" s="4"/>
      <c r="B37" s="4"/>
      <c r="C37" s="4"/>
      <c r="D37" s="4"/>
      <c r="E37" s="4"/>
      <c r="F37" s="4"/>
      <c r="G37" s="592"/>
      <c r="H37" s="593"/>
      <c r="I37" s="594"/>
      <c r="J37" s="593"/>
      <c r="K37" s="4"/>
      <c r="L37" s="4"/>
      <c r="M37" s="4"/>
      <c r="N37" s="39"/>
      <c r="O37" s="39"/>
      <c r="Q37" s="48"/>
    </row>
    <row r="38" spans="1:24">
      <c r="G38" s="592"/>
      <c r="H38" s="593"/>
      <c r="I38" s="594"/>
      <c r="J38" s="593"/>
      <c r="K38" s="4"/>
      <c r="L38" s="4"/>
      <c r="M38" s="4"/>
      <c r="N38" s="39"/>
      <c r="O38" s="39"/>
      <c r="Q38" s="48"/>
    </row>
    <row r="39" spans="1:24">
      <c r="C39" s="111"/>
      <c r="D39" s="42"/>
      <c r="G39" s="593"/>
      <c r="H39" s="593"/>
      <c r="I39" s="594"/>
      <c r="J39" s="593"/>
      <c r="Q39" s="48"/>
    </row>
    <row r="40" spans="1:24" ht="13.5">
      <c r="C40" s="111"/>
      <c r="D40" s="42"/>
      <c r="Q40" s="110"/>
    </row>
    <row r="41" spans="1:24">
      <c r="C41" s="111"/>
      <c r="Q41" s="84"/>
    </row>
    <row r="42" spans="1:24">
      <c r="Q42" s="4"/>
    </row>
    <row r="43" spans="1:24">
      <c r="Q43" s="4"/>
    </row>
    <row r="55" spans="2:5">
      <c r="B55" s="78" t="s">
        <v>82</v>
      </c>
      <c r="C55" s="79" t="s">
        <v>83</v>
      </c>
      <c r="D55" s="80">
        <f>D56+D57</f>
        <v>163033</v>
      </c>
      <c r="E55" s="120"/>
    </row>
    <row r="56" spans="2:5">
      <c r="B56" s="33" t="s">
        <v>69</v>
      </c>
      <c r="C56" s="11" t="s">
        <v>85</v>
      </c>
      <c r="D56" s="45">
        <v>163033</v>
      </c>
      <c r="E56" s="121" t="e">
        <f>D56/D52</f>
        <v>#DIV/0!</v>
      </c>
    </row>
    <row r="57" spans="2:5">
      <c r="B57" s="33" t="s">
        <v>69</v>
      </c>
      <c r="C57" s="9" t="s">
        <v>90</v>
      </c>
      <c r="D57" s="87">
        <f>D51</f>
        <v>0</v>
      </c>
      <c r="E57" s="122" t="e">
        <f>D57/D52</f>
        <v>#DIV/0!</v>
      </c>
    </row>
    <row r="58" spans="2:5">
      <c r="B58" s="8" t="s">
        <v>91</v>
      </c>
      <c r="C58" s="9" t="s">
        <v>130</v>
      </c>
      <c r="D58" s="87">
        <f>D54</f>
        <v>0</v>
      </c>
      <c r="E58" s="88"/>
    </row>
  </sheetData>
  <mergeCells count="26">
    <mergeCell ref="R30:R35"/>
    <mergeCell ref="R28:R29"/>
    <mergeCell ref="A2:O2"/>
    <mergeCell ref="A30:F30"/>
    <mergeCell ref="A23:F23"/>
    <mergeCell ref="G3:J3"/>
    <mergeCell ref="K3:O3"/>
    <mergeCell ref="L17:M17"/>
    <mergeCell ref="L23:M23"/>
    <mergeCell ref="A3:F3"/>
    <mergeCell ref="H5:J5"/>
    <mergeCell ref="L10:M10"/>
    <mergeCell ref="L11:M11"/>
    <mergeCell ref="I4:J4"/>
    <mergeCell ref="K32:M32"/>
    <mergeCell ref="L9:O9"/>
    <mergeCell ref="K24:M24"/>
    <mergeCell ref="L26:M26"/>
    <mergeCell ref="L27:M27"/>
    <mergeCell ref="T28:X28"/>
    <mergeCell ref="S3:X3"/>
    <mergeCell ref="S8:X8"/>
    <mergeCell ref="T19:X19"/>
    <mergeCell ref="R21:R26"/>
    <mergeCell ref="S2:X2"/>
    <mergeCell ref="S14:X14"/>
  </mergeCells>
  <printOptions horizontalCentered="1"/>
  <pageMargins left="0.06" right="0" top="0.35433070866141736" bottom="0.27559055118110237" header="0.19685039370078741" footer="0.19685039370078741"/>
  <pageSetup paperSize="9" orientation="landscape" r:id="rId1"/>
  <headerFooter alignWithMargins="0"/>
  <colBreaks count="2" manualBreakCount="2">
    <brk id="15" max="51" man="1"/>
    <brk id="17" max="51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T54"/>
  <sheetViews>
    <sheetView topLeftCell="A22" workbookViewId="0">
      <selection activeCell="K36" sqref="K36"/>
    </sheetView>
  </sheetViews>
  <sheetFormatPr defaultRowHeight="15.75"/>
  <cols>
    <col min="1" max="1" width="5.140625" style="466" customWidth="1"/>
    <col min="2" max="2" width="47" style="460" bestFit="1" customWidth="1"/>
    <col min="3" max="3" width="19" style="461" customWidth="1"/>
    <col min="4" max="4" width="18.28515625" style="462" customWidth="1"/>
    <col min="5" max="5" width="22.28515625" style="576" customWidth="1"/>
    <col min="6" max="6" width="19" style="576" bestFit="1" customWidth="1"/>
    <col min="7" max="7" width="21.140625" style="576" bestFit="1" customWidth="1"/>
    <col min="8" max="8" width="19.7109375" style="575" customWidth="1"/>
    <col min="9" max="9" width="6.28515625" style="493" customWidth="1"/>
    <col min="10" max="10" width="15.85546875" style="460" bestFit="1" customWidth="1"/>
    <col min="11" max="11" width="8.7109375" style="494" customWidth="1"/>
    <col min="12" max="12" width="14.28515625" style="494" bestFit="1" customWidth="1"/>
    <col min="13" max="13" width="14.28515625" style="494" customWidth="1"/>
    <col min="14" max="14" width="15.7109375" style="494" customWidth="1"/>
    <col min="15" max="19" width="9.140625" style="460"/>
    <col min="20" max="20" width="17.5703125" style="460" customWidth="1"/>
    <col min="21" max="16384" width="9.140625" style="460"/>
  </cols>
  <sheetData>
    <row r="1" spans="1:20" s="467" customFormat="1" ht="18.75">
      <c r="A1" s="647" t="s">
        <v>511</v>
      </c>
      <c r="B1" s="647"/>
      <c r="C1" s="647"/>
      <c r="D1" s="647"/>
      <c r="E1" s="554"/>
      <c r="F1" s="555"/>
      <c r="G1" s="555"/>
      <c r="H1" s="556"/>
      <c r="I1" s="471"/>
      <c r="K1" s="472"/>
      <c r="L1" s="472"/>
      <c r="M1" s="472"/>
      <c r="N1" s="472"/>
    </row>
    <row r="2" spans="1:20" s="467" customFormat="1" ht="36.75" customHeight="1">
      <c r="A2" s="648" t="s">
        <v>437</v>
      </c>
      <c r="B2" s="649"/>
      <c r="C2" s="649"/>
      <c r="D2" s="649"/>
      <c r="E2" s="554"/>
      <c r="F2" s="555"/>
      <c r="G2" s="555"/>
      <c r="H2" s="556"/>
      <c r="I2" s="471"/>
      <c r="K2" s="472"/>
      <c r="L2" s="472"/>
      <c r="M2" s="472"/>
      <c r="N2" s="472"/>
    </row>
    <row r="3" spans="1:20" s="440" customFormat="1">
      <c r="A3" s="439"/>
      <c r="D3" s="441" t="s">
        <v>438</v>
      </c>
      <c r="E3" s="557"/>
      <c r="F3" s="558"/>
      <c r="G3" s="558"/>
      <c r="H3" s="559"/>
      <c r="I3" s="473"/>
      <c r="K3" s="474"/>
      <c r="L3" s="474"/>
      <c r="M3" s="474"/>
      <c r="N3" s="474"/>
      <c r="T3" s="475"/>
    </row>
    <row r="4" spans="1:20" s="440" customFormat="1">
      <c r="A4" s="442" t="s">
        <v>439</v>
      </c>
      <c r="D4" s="441"/>
      <c r="E4" s="557"/>
      <c r="F4" s="558"/>
      <c r="G4" s="558"/>
      <c r="H4" s="559"/>
      <c r="I4" s="473"/>
      <c r="K4" s="474"/>
      <c r="L4" s="474"/>
      <c r="M4" s="474"/>
      <c r="N4" s="474"/>
      <c r="T4" s="475"/>
    </row>
    <row r="5" spans="1:20" s="475" customFormat="1" ht="32.25" customHeight="1">
      <c r="A5" s="443" t="s">
        <v>3</v>
      </c>
      <c r="B5" s="294" t="s">
        <v>440</v>
      </c>
      <c r="C5" s="295" t="s">
        <v>441</v>
      </c>
      <c r="D5" s="295" t="s">
        <v>442</v>
      </c>
      <c r="E5" s="560"/>
      <c r="F5" s="558"/>
      <c r="G5" s="558"/>
      <c r="H5" s="559"/>
      <c r="I5" s="473"/>
      <c r="K5" s="476"/>
      <c r="L5" s="476"/>
      <c r="M5" s="476"/>
      <c r="N5" s="476"/>
      <c r="O5" s="477"/>
      <c r="P5" s="477"/>
    </row>
    <row r="6" spans="1:20" s="479" customFormat="1">
      <c r="A6" s="443">
        <v>1</v>
      </c>
      <c r="B6" s="444" t="s">
        <v>269</v>
      </c>
      <c r="C6" s="445">
        <f t="shared" ref="C6:C42" si="0">G6/1000000</f>
        <v>304728.10426545452</v>
      </c>
      <c r="D6" s="445">
        <f t="shared" ref="D6:D42" si="1">E6/1000000</f>
        <v>335200.91469200002</v>
      </c>
      <c r="E6" s="561">
        <f>SUM(E7,E14,E23)</f>
        <v>335200914692</v>
      </c>
      <c r="F6" s="561">
        <f>SUM(F7,F14,F23)</f>
        <v>304728104266</v>
      </c>
      <c r="G6" s="561">
        <f>SUM(G7,G14,G23)</f>
        <v>304728104265.45453</v>
      </c>
      <c r="H6" s="562"/>
      <c r="I6" s="478"/>
      <c r="K6" s="480"/>
      <c r="L6" s="480"/>
      <c r="M6" s="480"/>
      <c r="N6" s="480"/>
    </row>
    <row r="7" spans="1:20" s="482" customFormat="1">
      <c r="A7" s="446">
        <v>1.1000000000000001</v>
      </c>
      <c r="B7" s="447" t="s">
        <v>443</v>
      </c>
      <c r="C7" s="448">
        <f t="shared" si="0"/>
        <v>66158.546091818178</v>
      </c>
      <c r="D7" s="448">
        <f t="shared" si="1"/>
        <v>72774.400701000006</v>
      </c>
      <c r="E7" s="563">
        <f>SUM(E8:E13)</f>
        <v>72774400701</v>
      </c>
      <c r="F7" s="563">
        <f>SUM(F8:F13)</f>
        <v>66158546092</v>
      </c>
      <c r="G7" s="563">
        <f>SUM(G8:G13)</f>
        <v>66158546091.818184</v>
      </c>
      <c r="H7" s="564"/>
      <c r="I7" s="481"/>
      <c r="K7" s="483"/>
      <c r="L7" s="483"/>
      <c r="M7" s="483"/>
      <c r="N7" s="483"/>
    </row>
    <row r="8" spans="1:20" s="485" customFormat="1">
      <c r="A8" s="449"/>
      <c r="B8" s="450" t="s">
        <v>444</v>
      </c>
      <c r="C8" s="451">
        <f t="shared" si="0"/>
        <v>2408.9710672727269</v>
      </c>
      <c r="D8" s="451">
        <f t="shared" si="1"/>
        <v>2649.8681740000002</v>
      </c>
      <c r="E8" s="565">
        <v>2649868174</v>
      </c>
      <c r="F8" s="566">
        <v>2408971068</v>
      </c>
      <c r="G8" s="567">
        <f t="shared" ref="G8:G39" si="2">E8/11*10</f>
        <v>2408971067.272727</v>
      </c>
      <c r="H8" s="567">
        <f t="shared" ref="H8:H41" si="3">G8-F8</f>
        <v>-0.72727298736572266</v>
      </c>
      <c r="I8" s="484"/>
      <c r="K8" s="486"/>
      <c r="L8" s="486"/>
      <c r="M8" s="486"/>
      <c r="N8" s="486"/>
    </row>
    <row r="9" spans="1:20" s="485" customFormat="1">
      <c r="A9" s="452"/>
      <c r="B9" s="450" t="s">
        <v>445</v>
      </c>
      <c r="C9" s="451">
        <f t="shared" si="0"/>
        <v>8473.9881718181805</v>
      </c>
      <c r="D9" s="451">
        <f t="shared" si="1"/>
        <v>9321.3869890000005</v>
      </c>
      <c r="E9" s="565">
        <v>9321386989</v>
      </c>
      <c r="F9" s="566">
        <v>8473988172</v>
      </c>
      <c r="G9" s="566">
        <f t="shared" si="2"/>
        <v>8473988171.818181</v>
      </c>
      <c r="H9" s="567">
        <f t="shared" si="3"/>
        <v>-0.18181896209716797</v>
      </c>
      <c r="I9" s="484"/>
      <c r="K9" s="486"/>
      <c r="L9" s="486"/>
      <c r="M9" s="486"/>
      <c r="N9" s="486"/>
    </row>
    <row r="10" spans="1:20" s="485" customFormat="1">
      <c r="A10" s="452"/>
      <c r="B10" s="450" t="s">
        <v>446</v>
      </c>
      <c r="C10" s="451">
        <f t="shared" si="0"/>
        <v>11992.391298181818</v>
      </c>
      <c r="D10" s="451">
        <f t="shared" si="1"/>
        <v>13191.630428</v>
      </c>
      <c r="E10" s="565">
        <v>13191630428</v>
      </c>
      <c r="F10" s="566">
        <v>11992391298</v>
      </c>
      <c r="G10" s="566">
        <f t="shared" si="2"/>
        <v>11992391298.181818</v>
      </c>
      <c r="H10" s="567">
        <f t="shared" si="3"/>
        <v>0.18181800842285156</v>
      </c>
      <c r="I10" s="484"/>
      <c r="K10" s="486"/>
      <c r="L10" s="486"/>
      <c r="M10" s="486"/>
      <c r="N10" s="486"/>
    </row>
    <row r="11" spans="1:20" s="485" customFormat="1">
      <c r="A11" s="452"/>
      <c r="B11" s="450" t="s">
        <v>447</v>
      </c>
      <c r="C11" s="451">
        <f t="shared" si="0"/>
        <v>18356.999284545454</v>
      </c>
      <c r="D11" s="451">
        <f t="shared" si="1"/>
        <v>20192.699213</v>
      </c>
      <c r="E11" s="565">
        <v>20192699213</v>
      </c>
      <c r="F11" s="566">
        <v>18356999284</v>
      </c>
      <c r="G11" s="566">
        <f t="shared" si="2"/>
        <v>18356999284.545456</v>
      </c>
      <c r="H11" s="567">
        <f t="shared" si="3"/>
        <v>0.5454559326171875</v>
      </c>
      <c r="I11" s="484"/>
      <c r="K11" s="486"/>
      <c r="L11" s="486"/>
      <c r="M11" s="486"/>
      <c r="N11" s="486"/>
    </row>
    <row r="12" spans="1:20" s="485" customFormat="1">
      <c r="A12" s="452"/>
      <c r="B12" s="450" t="s">
        <v>448</v>
      </c>
      <c r="C12" s="451">
        <f t="shared" si="0"/>
        <v>1442.4377154545452</v>
      </c>
      <c r="D12" s="451">
        <f t="shared" si="1"/>
        <v>1586.6814870000001</v>
      </c>
      <c r="E12" s="565">
        <v>1586681487</v>
      </c>
      <c r="F12" s="566">
        <v>1442437716</v>
      </c>
      <c r="G12" s="566">
        <f t="shared" si="2"/>
        <v>1442437715.4545453</v>
      </c>
      <c r="H12" s="567">
        <f t="shared" si="3"/>
        <v>-0.54545474052429199</v>
      </c>
      <c r="I12" s="484"/>
      <c r="K12" s="486"/>
      <c r="L12" s="486"/>
      <c r="M12" s="486"/>
      <c r="N12" s="486"/>
    </row>
    <row r="13" spans="1:20" s="485" customFormat="1">
      <c r="A13" s="449"/>
      <c r="B13" s="450" t="s">
        <v>449</v>
      </c>
      <c r="C13" s="451">
        <f t="shared" si="0"/>
        <v>23483.758554545457</v>
      </c>
      <c r="D13" s="451">
        <f t="shared" si="1"/>
        <v>25832.134409999999</v>
      </c>
      <c r="E13" s="568">
        <v>25832134410</v>
      </c>
      <c r="F13" s="566">
        <v>23483758554</v>
      </c>
      <c r="G13" s="566">
        <f t="shared" si="2"/>
        <v>23483758554.545456</v>
      </c>
      <c r="H13" s="567">
        <f t="shared" si="3"/>
        <v>0.5454559326171875</v>
      </c>
      <c r="I13" s="484"/>
      <c r="K13" s="486"/>
      <c r="L13" s="486"/>
      <c r="M13" s="486"/>
      <c r="N13" s="486"/>
    </row>
    <row r="14" spans="1:20" s="482" customFormat="1">
      <c r="A14" s="453" t="s">
        <v>174</v>
      </c>
      <c r="B14" s="447" t="s">
        <v>450</v>
      </c>
      <c r="C14" s="448">
        <f t="shared" si="0"/>
        <v>229870.67092999999</v>
      </c>
      <c r="D14" s="448">
        <f t="shared" si="1"/>
        <v>252857.73802300001</v>
      </c>
      <c r="E14" s="569">
        <f>SUM(E15:E22)</f>
        <v>252857738023</v>
      </c>
      <c r="F14" s="569">
        <f>SUM(F15:F22)</f>
        <v>229870670930</v>
      </c>
      <c r="G14" s="570">
        <f t="shared" si="2"/>
        <v>229870670930</v>
      </c>
      <c r="H14" s="564">
        <f t="shared" si="3"/>
        <v>0</v>
      </c>
      <c r="I14" s="481"/>
      <c r="K14" s="483"/>
      <c r="L14" s="483"/>
      <c r="M14" s="483"/>
      <c r="N14" s="483"/>
    </row>
    <row r="15" spans="1:20" s="485" customFormat="1">
      <c r="A15" s="454"/>
      <c r="B15" s="455" t="s">
        <v>451</v>
      </c>
      <c r="C15" s="451">
        <f t="shared" si="0"/>
        <v>10024.292823636364</v>
      </c>
      <c r="D15" s="451">
        <f t="shared" si="1"/>
        <v>11026.722105999999</v>
      </c>
      <c r="E15" s="571">
        <v>11026722106</v>
      </c>
      <c r="F15" s="566">
        <v>10024292823</v>
      </c>
      <c r="G15" s="566">
        <f t="shared" si="2"/>
        <v>10024292823.636364</v>
      </c>
      <c r="H15" s="567">
        <f t="shared" si="3"/>
        <v>0.63636398315429688</v>
      </c>
      <c r="I15" s="484"/>
      <c r="K15" s="486"/>
      <c r="L15" s="486"/>
      <c r="M15" s="486"/>
      <c r="N15" s="486"/>
    </row>
    <row r="16" spans="1:20" s="488" customFormat="1">
      <c r="A16" s="454"/>
      <c r="B16" s="456" t="s">
        <v>452</v>
      </c>
      <c r="C16" s="451">
        <f t="shared" si="0"/>
        <v>1756.1935945454547</v>
      </c>
      <c r="D16" s="451">
        <f t="shared" si="1"/>
        <v>1931.812954</v>
      </c>
      <c r="E16" s="571">
        <v>1931812954</v>
      </c>
      <c r="F16" s="572">
        <v>1756193595</v>
      </c>
      <c r="G16" s="566">
        <f t="shared" si="2"/>
        <v>1756193594.5454547</v>
      </c>
      <c r="H16" s="567">
        <f t="shared" si="3"/>
        <v>-0.45454525947570801</v>
      </c>
      <c r="I16" s="484"/>
      <c r="K16" s="489"/>
      <c r="L16" s="489"/>
      <c r="M16" s="489"/>
      <c r="N16" s="489"/>
    </row>
    <row r="17" spans="1:14" s="488" customFormat="1">
      <c r="A17" s="454"/>
      <c r="B17" s="455" t="s">
        <v>453</v>
      </c>
      <c r="C17" s="451">
        <f t="shared" si="0"/>
        <v>2634.277</v>
      </c>
      <c r="D17" s="451">
        <f t="shared" si="1"/>
        <v>2897.7046999999998</v>
      </c>
      <c r="E17" s="571">
        <v>2897704700</v>
      </c>
      <c r="F17" s="572">
        <v>2634277000</v>
      </c>
      <c r="G17" s="566">
        <f t="shared" si="2"/>
        <v>2634277000</v>
      </c>
      <c r="H17" s="567">
        <f t="shared" si="3"/>
        <v>0</v>
      </c>
      <c r="I17" s="484"/>
      <c r="K17" s="489"/>
      <c r="L17" s="489"/>
      <c r="M17" s="489"/>
      <c r="N17" s="489"/>
    </row>
    <row r="18" spans="1:14" s="488" customFormat="1">
      <c r="A18" s="454"/>
      <c r="B18" s="455" t="s">
        <v>454</v>
      </c>
      <c r="C18" s="451">
        <f t="shared" si="0"/>
        <v>23558.172344545455</v>
      </c>
      <c r="D18" s="451">
        <f t="shared" si="1"/>
        <v>25913.989579000001</v>
      </c>
      <c r="E18" s="571">
        <v>25913989579</v>
      </c>
      <c r="F18" s="572">
        <v>23558172345</v>
      </c>
      <c r="G18" s="566">
        <f t="shared" si="2"/>
        <v>23558172344.545456</v>
      </c>
      <c r="H18" s="567">
        <f t="shared" si="3"/>
        <v>-0.4545440673828125</v>
      </c>
      <c r="I18" s="487"/>
      <c r="K18" s="489"/>
      <c r="L18" s="489"/>
      <c r="M18" s="489"/>
      <c r="N18" s="489"/>
    </row>
    <row r="19" spans="1:14" s="488" customFormat="1">
      <c r="A19" s="454"/>
      <c r="B19" s="455" t="s">
        <v>455</v>
      </c>
      <c r="C19" s="451">
        <f t="shared" si="0"/>
        <v>827.18143909090895</v>
      </c>
      <c r="D19" s="451">
        <f t="shared" si="1"/>
        <v>909.89958300000001</v>
      </c>
      <c r="E19" s="571">
        <v>909899583</v>
      </c>
      <c r="F19" s="572">
        <v>827181439</v>
      </c>
      <c r="G19" s="566">
        <f t="shared" si="2"/>
        <v>827181439.090909</v>
      </c>
      <c r="H19" s="567">
        <f t="shared" si="3"/>
        <v>9.0909004211425781E-2</v>
      </c>
      <c r="I19" s="487"/>
      <c r="K19" s="489"/>
      <c r="L19" s="489"/>
      <c r="M19" s="489"/>
      <c r="N19" s="489"/>
    </row>
    <row r="20" spans="1:14" s="488" customFormat="1">
      <c r="A20" s="454"/>
      <c r="B20" s="455" t="s">
        <v>456</v>
      </c>
      <c r="C20" s="451">
        <f t="shared" si="0"/>
        <v>2722.4783145454544</v>
      </c>
      <c r="D20" s="451">
        <f t="shared" si="1"/>
        <v>2994.726146</v>
      </c>
      <c r="E20" s="571">
        <v>2994726146</v>
      </c>
      <c r="F20" s="572">
        <v>2722478314</v>
      </c>
      <c r="G20" s="566">
        <f t="shared" si="2"/>
        <v>2722478314.5454545</v>
      </c>
      <c r="H20" s="567">
        <f t="shared" si="3"/>
        <v>0.54545450210571289</v>
      </c>
      <c r="I20" s="487"/>
      <c r="K20" s="489"/>
      <c r="L20" s="489"/>
      <c r="M20" s="489"/>
      <c r="N20" s="489"/>
    </row>
    <row r="21" spans="1:14" s="488" customFormat="1">
      <c r="A21" s="454"/>
      <c r="B21" s="455" t="s">
        <v>457</v>
      </c>
      <c r="C21" s="451">
        <f t="shared" si="0"/>
        <v>718.51032363636364</v>
      </c>
      <c r="D21" s="451">
        <f t="shared" si="1"/>
        <v>790.361356</v>
      </c>
      <c r="E21" s="571">
        <v>790361356</v>
      </c>
      <c r="F21" s="572">
        <v>718510324</v>
      </c>
      <c r="G21" s="566">
        <f t="shared" si="2"/>
        <v>718510323.63636363</v>
      </c>
      <c r="H21" s="567">
        <f t="shared" si="3"/>
        <v>-0.36363637447357178</v>
      </c>
      <c r="I21" s="487"/>
      <c r="K21" s="489"/>
      <c r="L21" s="489"/>
      <c r="M21" s="489"/>
      <c r="N21" s="489"/>
    </row>
    <row r="22" spans="1:14" s="488" customFormat="1">
      <c r="A22" s="454"/>
      <c r="B22" s="455" t="s">
        <v>458</v>
      </c>
      <c r="C22" s="451">
        <f t="shared" si="0"/>
        <v>187629.56508999999</v>
      </c>
      <c r="D22" s="451">
        <f t="shared" si="1"/>
        <v>206392.521599</v>
      </c>
      <c r="E22" s="571">
        <v>206392521599</v>
      </c>
      <c r="F22" s="572">
        <v>187629565090</v>
      </c>
      <c r="G22" s="566">
        <f t="shared" si="2"/>
        <v>187629565090</v>
      </c>
      <c r="H22" s="567">
        <f t="shared" si="3"/>
        <v>0</v>
      </c>
      <c r="I22" s="487"/>
      <c r="K22" s="489"/>
      <c r="L22" s="489"/>
      <c r="M22" s="489"/>
      <c r="N22" s="489"/>
    </row>
    <row r="23" spans="1:14" s="491" customFormat="1">
      <c r="A23" s="453" t="s">
        <v>176</v>
      </c>
      <c r="B23" s="447" t="s">
        <v>459</v>
      </c>
      <c r="C23" s="448">
        <f t="shared" si="0"/>
        <v>8698.8872436363636</v>
      </c>
      <c r="D23" s="448">
        <f t="shared" si="1"/>
        <v>9568.7759679999999</v>
      </c>
      <c r="E23" s="569">
        <f>SUM(E24,E30)</f>
        <v>9568775968</v>
      </c>
      <c r="F23" s="569">
        <f>SUM(F24,F30)</f>
        <v>8698887244</v>
      </c>
      <c r="G23" s="570">
        <f t="shared" si="2"/>
        <v>8698887243.636364</v>
      </c>
      <c r="H23" s="564">
        <f t="shared" si="3"/>
        <v>-0.36363601684570313</v>
      </c>
      <c r="I23" s="490"/>
      <c r="K23" s="492"/>
      <c r="L23" s="492"/>
      <c r="M23" s="492"/>
      <c r="N23" s="492"/>
    </row>
    <row r="24" spans="1:14" s="488" customFormat="1">
      <c r="A24" s="454"/>
      <c r="B24" s="455" t="s">
        <v>460</v>
      </c>
      <c r="C24" s="451">
        <f t="shared" si="0"/>
        <v>6819.5450363636364</v>
      </c>
      <c r="D24" s="451">
        <f t="shared" si="1"/>
        <v>7501.4995399999998</v>
      </c>
      <c r="E24" s="571">
        <f>SUM(E25:E29)</f>
        <v>7501499540</v>
      </c>
      <c r="F24" s="571">
        <f>SUM(F25:F29)</f>
        <v>6819545036</v>
      </c>
      <c r="G24" s="566">
        <f t="shared" si="2"/>
        <v>6819545036.363636</v>
      </c>
      <c r="H24" s="567">
        <f t="shared" si="3"/>
        <v>0.36363601684570313</v>
      </c>
      <c r="I24" s="487"/>
      <c r="K24" s="489"/>
      <c r="L24" s="489"/>
      <c r="M24" s="489"/>
      <c r="N24" s="489"/>
    </row>
    <row r="25" spans="1:14" s="488" customFormat="1">
      <c r="A25" s="454"/>
      <c r="B25" s="455" t="s">
        <v>461</v>
      </c>
      <c r="C25" s="451">
        <f t="shared" si="0"/>
        <v>1543.7942336363637</v>
      </c>
      <c r="D25" s="451">
        <f t="shared" si="1"/>
        <v>1698.173657</v>
      </c>
      <c r="E25" s="571">
        <v>1698173657</v>
      </c>
      <c r="F25" s="572">
        <v>1543794234</v>
      </c>
      <c r="G25" s="566">
        <f t="shared" si="2"/>
        <v>1543794233.6363637</v>
      </c>
      <c r="H25" s="567">
        <f t="shared" si="3"/>
        <v>-0.36363625526428223</v>
      </c>
      <c r="I25" s="487"/>
      <c r="K25" s="489"/>
      <c r="L25" s="489"/>
      <c r="M25" s="489"/>
      <c r="N25" s="489"/>
    </row>
    <row r="26" spans="1:14" s="488" customFormat="1">
      <c r="A26" s="454"/>
      <c r="B26" s="455" t="s">
        <v>462</v>
      </c>
      <c r="C26" s="451">
        <f t="shared" si="0"/>
        <v>1039.3687536363636</v>
      </c>
      <c r="D26" s="451">
        <f t="shared" si="1"/>
        <v>1143.305629</v>
      </c>
      <c r="E26" s="571">
        <v>1143305629</v>
      </c>
      <c r="F26" s="572">
        <v>1039368753</v>
      </c>
      <c r="G26" s="566">
        <f t="shared" si="2"/>
        <v>1039368753.6363636</v>
      </c>
      <c r="H26" s="567">
        <f t="shared" si="3"/>
        <v>0.63636362552642822</v>
      </c>
      <c r="I26" s="487"/>
      <c r="K26" s="489"/>
      <c r="L26" s="489"/>
      <c r="M26" s="489"/>
      <c r="N26" s="489"/>
    </row>
    <row r="27" spans="1:14" s="488" customFormat="1">
      <c r="A27" s="454"/>
      <c r="B27" s="455" t="s">
        <v>463</v>
      </c>
      <c r="C27" s="451">
        <f t="shared" si="0"/>
        <v>3041.6512672727276</v>
      </c>
      <c r="D27" s="451">
        <f t="shared" si="1"/>
        <v>3345.8163939999999</v>
      </c>
      <c r="E27" s="571">
        <v>3345816394</v>
      </c>
      <c r="F27" s="572">
        <v>3041651267</v>
      </c>
      <c r="G27" s="566">
        <f t="shared" si="2"/>
        <v>3041651267.2727275</v>
      </c>
      <c r="H27" s="567">
        <f t="shared" si="3"/>
        <v>0.27272748947143555</v>
      </c>
      <c r="I27" s="487"/>
      <c r="K27" s="489"/>
      <c r="L27" s="489"/>
      <c r="M27" s="489"/>
      <c r="N27" s="489"/>
    </row>
    <row r="28" spans="1:14" s="488" customFormat="1">
      <c r="A28" s="454"/>
      <c r="B28" s="455" t="s">
        <v>464</v>
      </c>
      <c r="C28" s="451">
        <f t="shared" si="0"/>
        <v>857.79479090909103</v>
      </c>
      <c r="D28" s="451">
        <f t="shared" si="1"/>
        <v>943.57426999999996</v>
      </c>
      <c r="E28" s="571">
        <v>943574270</v>
      </c>
      <c r="F28" s="572">
        <v>857794791</v>
      </c>
      <c r="G28" s="566">
        <f t="shared" si="2"/>
        <v>857794790.909091</v>
      </c>
      <c r="H28" s="567">
        <f t="shared" si="3"/>
        <v>-9.0909004211425781E-2</v>
      </c>
      <c r="I28" s="487"/>
      <c r="K28" s="489"/>
      <c r="L28" s="489"/>
      <c r="M28" s="489"/>
      <c r="N28" s="489"/>
    </row>
    <row r="29" spans="1:14" s="488" customFormat="1">
      <c r="A29" s="454"/>
      <c r="B29" s="455" t="s">
        <v>465</v>
      </c>
      <c r="C29" s="451">
        <f t="shared" si="0"/>
        <v>336.93599090909095</v>
      </c>
      <c r="D29" s="451">
        <f t="shared" si="1"/>
        <v>370.62959000000001</v>
      </c>
      <c r="E29" s="571">
        <v>370629590</v>
      </c>
      <c r="F29" s="572">
        <v>336935991</v>
      </c>
      <c r="G29" s="566">
        <f t="shared" si="2"/>
        <v>336935990.90909094</v>
      </c>
      <c r="H29" s="567">
        <f t="shared" si="3"/>
        <v>-9.0909063816070557E-2</v>
      </c>
      <c r="I29" s="487"/>
      <c r="K29" s="489"/>
      <c r="L29" s="489"/>
      <c r="M29" s="489"/>
      <c r="N29" s="489"/>
    </row>
    <row r="30" spans="1:14" s="488" customFormat="1">
      <c r="A30" s="454"/>
      <c r="B30" s="455" t="s">
        <v>466</v>
      </c>
      <c r="C30" s="451">
        <f t="shared" si="0"/>
        <v>1879.3422072727274</v>
      </c>
      <c r="D30" s="451">
        <f t="shared" si="1"/>
        <v>2067.2764280000001</v>
      </c>
      <c r="E30" s="571">
        <v>2067276428</v>
      </c>
      <c r="F30" s="572">
        <v>1879342208</v>
      </c>
      <c r="G30" s="566">
        <f t="shared" si="2"/>
        <v>1879342207.2727273</v>
      </c>
      <c r="H30" s="567">
        <f t="shared" si="3"/>
        <v>-0.72727274894714355</v>
      </c>
      <c r="I30" s="487"/>
      <c r="K30" s="489"/>
      <c r="L30" s="489"/>
      <c r="M30" s="489"/>
      <c r="N30" s="489"/>
    </row>
    <row r="31" spans="1:14">
      <c r="A31" s="443" t="s">
        <v>467</v>
      </c>
      <c r="B31" s="444" t="s">
        <v>468</v>
      </c>
      <c r="C31" s="445">
        <f t="shared" si="0"/>
        <v>27877.46</v>
      </c>
      <c r="D31" s="445">
        <f t="shared" si="1"/>
        <v>30665.205999999998</v>
      </c>
      <c r="E31" s="573">
        <f>SUM(E32:E35)</f>
        <v>30665206000</v>
      </c>
      <c r="F31" s="573">
        <f>SUM(F32:F35)</f>
        <v>27877460000</v>
      </c>
      <c r="G31" s="558">
        <f t="shared" si="2"/>
        <v>27877460000</v>
      </c>
      <c r="H31" s="559">
        <f t="shared" si="3"/>
        <v>0</v>
      </c>
    </row>
    <row r="32" spans="1:14" s="488" customFormat="1">
      <c r="A32" s="454"/>
      <c r="B32" s="455" t="s">
        <v>452</v>
      </c>
      <c r="C32" s="451">
        <f t="shared" si="0"/>
        <v>6454.8</v>
      </c>
      <c r="D32" s="451">
        <f t="shared" si="1"/>
        <v>7100.28</v>
      </c>
      <c r="E32" s="571">
        <v>7100280000</v>
      </c>
      <c r="F32" s="572">
        <v>6454800000</v>
      </c>
      <c r="G32" s="566">
        <f t="shared" si="2"/>
        <v>6454800000</v>
      </c>
      <c r="H32" s="567">
        <f t="shared" si="3"/>
        <v>0</v>
      </c>
      <c r="I32" s="487"/>
      <c r="K32" s="489"/>
      <c r="L32" s="489"/>
      <c r="M32" s="489"/>
      <c r="N32" s="489"/>
    </row>
    <row r="33" spans="1:14" s="488" customFormat="1">
      <c r="A33" s="454"/>
      <c r="B33" s="455" t="s">
        <v>469</v>
      </c>
      <c r="C33" s="451">
        <f t="shared" si="0"/>
        <v>6796</v>
      </c>
      <c r="D33" s="451">
        <f t="shared" si="1"/>
        <v>7475.6</v>
      </c>
      <c r="E33" s="571">
        <v>7475600000</v>
      </c>
      <c r="F33" s="572">
        <v>6796000000</v>
      </c>
      <c r="G33" s="566">
        <f t="shared" si="2"/>
        <v>6796000000</v>
      </c>
      <c r="H33" s="567">
        <f t="shared" si="3"/>
        <v>0</v>
      </c>
      <c r="I33" s="487"/>
      <c r="K33" s="489"/>
      <c r="L33" s="489"/>
      <c r="M33" s="489"/>
      <c r="N33" s="489"/>
    </row>
    <row r="34" spans="1:14" s="488" customFormat="1">
      <c r="A34" s="454"/>
      <c r="B34" s="455" t="s">
        <v>470</v>
      </c>
      <c r="C34" s="451">
        <f t="shared" si="0"/>
        <v>11193.66</v>
      </c>
      <c r="D34" s="451">
        <f t="shared" si="1"/>
        <v>12313.026</v>
      </c>
      <c r="E34" s="571">
        <v>12313026000</v>
      </c>
      <c r="F34" s="572">
        <v>11193660000</v>
      </c>
      <c r="G34" s="566">
        <f t="shared" si="2"/>
        <v>11193660000</v>
      </c>
      <c r="H34" s="567">
        <f t="shared" si="3"/>
        <v>0</v>
      </c>
      <c r="I34" s="487"/>
      <c r="K34" s="489"/>
      <c r="L34" s="489"/>
      <c r="M34" s="489"/>
      <c r="N34" s="489"/>
    </row>
    <row r="35" spans="1:14" s="488" customFormat="1">
      <c r="A35" s="454"/>
      <c r="B35" s="455" t="s">
        <v>457</v>
      </c>
      <c r="C35" s="451">
        <f t="shared" si="0"/>
        <v>3433</v>
      </c>
      <c r="D35" s="451">
        <f t="shared" si="1"/>
        <v>3776.3</v>
      </c>
      <c r="E35" s="571">
        <v>3776300000</v>
      </c>
      <c r="F35" s="572">
        <v>3433000000</v>
      </c>
      <c r="G35" s="566">
        <f t="shared" si="2"/>
        <v>3433000000</v>
      </c>
      <c r="H35" s="567">
        <f t="shared" si="3"/>
        <v>0</v>
      </c>
      <c r="I35" s="487"/>
      <c r="K35" s="489"/>
      <c r="L35" s="489"/>
      <c r="M35" s="489"/>
      <c r="N35" s="489"/>
    </row>
    <row r="36" spans="1:14" s="467" customFormat="1">
      <c r="A36" s="443" t="s">
        <v>471</v>
      </c>
      <c r="B36" s="457" t="s">
        <v>272</v>
      </c>
      <c r="C36" s="445">
        <f t="shared" si="0"/>
        <v>3453.0504945454545</v>
      </c>
      <c r="D36" s="445">
        <f t="shared" si="1"/>
        <v>3798.355544</v>
      </c>
      <c r="E36" s="561">
        <v>3798355544</v>
      </c>
      <c r="F36" s="555">
        <f>E36*0.9</f>
        <v>3418519989.5999999</v>
      </c>
      <c r="G36" s="559">
        <f t="shared" si="2"/>
        <v>3453050494.5454545</v>
      </c>
      <c r="H36" s="559">
        <f t="shared" si="3"/>
        <v>34530504.945454597</v>
      </c>
      <c r="I36" s="471"/>
      <c r="J36" s="495">
        <f t="shared" ref="J36:J41" si="4">E36-F36</f>
        <v>379835554.4000001</v>
      </c>
      <c r="K36" s="496">
        <f t="shared" ref="K36:K41" si="5">J36/F36</f>
        <v>0.11111111111111115</v>
      </c>
      <c r="L36" s="472">
        <f>F36*1.1</f>
        <v>3760371988.5600004</v>
      </c>
      <c r="M36" s="472"/>
      <c r="N36" s="472"/>
    </row>
    <row r="37" spans="1:14" s="467" customFormat="1">
      <c r="A37" s="443" t="s">
        <v>472</v>
      </c>
      <c r="B37" s="457" t="s">
        <v>473</v>
      </c>
      <c r="C37" s="445">
        <f t="shared" si="0"/>
        <v>7272.7272727272721</v>
      </c>
      <c r="D37" s="445">
        <f t="shared" si="1"/>
        <v>8000</v>
      </c>
      <c r="E37" s="561">
        <v>8000000000</v>
      </c>
      <c r="F37" s="555">
        <f>E37*0.9</f>
        <v>7200000000</v>
      </c>
      <c r="G37" s="558">
        <f t="shared" si="2"/>
        <v>7272727272.727272</v>
      </c>
      <c r="H37" s="559">
        <f t="shared" si="3"/>
        <v>72727272.727272034</v>
      </c>
      <c r="I37" s="471"/>
      <c r="J37" s="495">
        <f t="shared" si="4"/>
        <v>800000000</v>
      </c>
      <c r="K37" s="496">
        <f t="shared" si="5"/>
        <v>0.1111111111111111</v>
      </c>
      <c r="L37" s="472"/>
      <c r="M37" s="472"/>
      <c r="N37" s="472"/>
    </row>
    <row r="38" spans="1:14" s="467" customFormat="1">
      <c r="A38" s="443" t="s">
        <v>474</v>
      </c>
      <c r="B38" s="457" t="s">
        <v>273</v>
      </c>
      <c r="C38" s="445">
        <f t="shared" si="0"/>
        <v>10325.268057272728</v>
      </c>
      <c r="D38" s="445">
        <f t="shared" si="1"/>
        <v>11357.794862999999</v>
      </c>
      <c r="E38" s="561">
        <v>11357794863</v>
      </c>
      <c r="F38" s="555">
        <f>E38*0.9</f>
        <v>10222015376.700001</v>
      </c>
      <c r="G38" s="558">
        <f t="shared" si="2"/>
        <v>10325268057.272728</v>
      </c>
      <c r="H38" s="559">
        <f t="shared" si="3"/>
        <v>103252680.5727272</v>
      </c>
      <c r="I38" s="471"/>
      <c r="J38" s="495">
        <f t="shared" si="4"/>
        <v>1135779486.2999992</v>
      </c>
      <c r="K38" s="496">
        <f t="shared" si="5"/>
        <v>0.11111111111111102</v>
      </c>
      <c r="L38" s="472"/>
      <c r="M38" s="472"/>
      <c r="N38" s="472"/>
    </row>
    <row r="39" spans="1:14" s="467" customFormat="1">
      <c r="A39" s="443" t="s">
        <v>475</v>
      </c>
      <c r="B39" s="457" t="s">
        <v>476</v>
      </c>
      <c r="C39" s="445">
        <f t="shared" si="0"/>
        <v>2017.9723018181819</v>
      </c>
      <c r="D39" s="445">
        <f t="shared" si="1"/>
        <v>2219.7695319999998</v>
      </c>
      <c r="E39" s="561">
        <v>2219769532</v>
      </c>
      <c r="F39" s="555">
        <f>E39*0.9</f>
        <v>1997792578.8</v>
      </c>
      <c r="G39" s="558">
        <f t="shared" si="2"/>
        <v>2017972301.818182</v>
      </c>
      <c r="H39" s="559">
        <f t="shared" si="3"/>
        <v>20179723.018182039</v>
      </c>
      <c r="I39" s="471"/>
      <c r="J39" s="495">
        <f t="shared" si="4"/>
        <v>221976953.20000005</v>
      </c>
      <c r="K39" s="496">
        <f t="shared" si="5"/>
        <v>0.11111111111111113</v>
      </c>
      <c r="L39" s="472"/>
      <c r="M39" s="472"/>
      <c r="N39" s="472"/>
    </row>
    <row r="40" spans="1:14" s="467" customFormat="1">
      <c r="A40" s="443" t="s">
        <v>477</v>
      </c>
      <c r="B40" s="457" t="s">
        <v>88</v>
      </c>
      <c r="C40" s="445">
        <f t="shared" si="0"/>
        <v>24777.1875</v>
      </c>
      <c r="D40" s="445">
        <f t="shared" si="1"/>
        <v>24777.1875</v>
      </c>
      <c r="E40" s="561">
        <v>24777187500</v>
      </c>
      <c r="F40" s="561">
        <v>24777187500</v>
      </c>
      <c r="G40" s="558">
        <f>E40</f>
        <v>24777187500</v>
      </c>
      <c r="H40" s="559">
        <f t="shared" si="3"/>
        <v>0</v>
      </c>
      <c r="I40" s="471"/>
      <c r="J40" s="495">
        <f t="shared" si="4"/>
        <v>0</v>
      </c>
      <c r="K40" s="496">
        <f t="shared" si="5"/>
        <v>0</v>
      </c>
      <c r="L40" s="472"/>
      <c r="M40" s="472"/>
      <c r="N40" s="472"/>
    </row>
    <row r="41" spans="1:14" s="467" customFormat="1">
      <c r="A41" s="443" t="s">
        <v>478</v>
      </c>
      <c r="B41" s="457" t="s">
        <v>80</v>
      </c>
      <c r="C41" s="445">
        <f t="shared" si="0"/>
        <v>45383.915796363639</v>
      </c>
      <c r="D41" s="445">
        <f t="shared" si="1"/>
        <v>49922.307375999997</v>
      </c>
      <c r="E41" s="561">
        <v>49922307376</v>
      </c>
      <c r="F41" s="555">
        <f>E41*0.9</f>
        <v>44930076638.400002</v>
      </c>
      <c r="G41" s="558">
        <f>E41/11*10</f>
        <v>45383915796.36364</v>
      </c>
      <c r="H41" s="559">
        <f t="shared" si="3"/>
        <v>453839157.96363831</v>
      </c>
      <c r="I41" s="471"/>
      <c r="J41" s="495">
        <f t="shared" si="4"/>
        <v>4992230737.5999985</v>
      </c>
      <c r="K41" s="496">
        <f t="shared" si="5"/>
        <v>0.11111111111111108</v>
      </c>
      <c r="L41" s="472"/>
      <c r="M41" s="472"/>
      <c r="N41" s="472"/>
    </row>
    <row r="42" spans="1:14">
      <c r="A42" s="458"/>
      <c r="B42" s="294" t="s">
        <v>275</v>
      </c>
      <c r="C42" s="445">
        <f t="shared" si="0"/>
        <v>425835.68568818184</v>
      </c>
      <c r="D42" s="445">
        <f t="shared" si="1"/>
        <v>465941.53550699999</v>
      </c>
      <c r="E42" s="574">
        <f>SUM(E36:E41,E31,E6)</f>
        <v>465941535507</v>
      </c>
      <c r="F42" s="574">
        <f>SUM(F36:F41,F31,F6)</f>
        <v>425151156349.5</v>
      </c>
      <c r="G42" s="574">
        <f>SUM(G36:G41,G31,G6)</f>
        <v>425835685688.18182</v>
      </c>
    </row>
    <row r="43" spans="1:14">
      <c r="A43" s="613"/>
      <c r="B43" s="614"/>
      <c r="C43" s="478"/>
      <c r="D43" s="478"/>
      <c r="E43" s="574"/>
      <c r="F43" s="574"/>
      <c r="G43" s="574"/>
    </row>
    <row r="44" spans="1:14">
      <c r="A44" s="613"/>
      <c r="B44" s="614"/>
      <c r="C44" s="478"/>
      <c r="D44" s="478"/>
      <c r="E44" s="574"/>
      <c r="F44" s="574"/>
      <c r="G44" s="574"/>
    </row>
    <row r="45" spans="1:14">
      <c r="A45" s="613"/>
      <c r="B45" s="614"/>
      <c r="C45" s="478"/>
      <c r="D45" s="478"/>
      <c r="E45" s="574"/>
      <c r="F45" s="574"/>
      <c r="G45" s="574"/>
    </row>
    <row r="46" spans="1:14" ht="23.25" customHeight="1">
      <c r="A46" s="459" t="s">
        <v>479</v>
      </c>
    </row>
    <row r="47" spans="1:14" ht="23.25" customHeight="1">
      <c r="A47" s="459"/>
      <c r="D47" s="441" t="s">
        <v>438</v>
      </c>
    </row>
    <row r="48" spans="1:14" ht="31.5">
      <c r="A48" s="443" t="s">
        <v>3</v>
      </c>
      <c r="B48" s="294" t="s">
        <v>440</v>
      </c>
      <c r="C48" s="295" t="s">
        <v>441</v>
      </c>
      <c r="D48" s="295" t="s">
        <v>442</v>
      </c>
    </row>
    <row r="49" spans="1:14">
      <c r="A49" s="463" t="s">
        <v>480</v>
      </c>
      <c r="B49" s="298" t="s">
        <v>481</v>
      </c>
      <c r="C49" s="464">
        <f>$C$7+$C$7/($C$6+$C$31)*SUM($C$36:$C$41)</f>
        <v>84702.942060998699</v>
      </c>
      <c r="D49" s="464">
        <f>$D$7+$D$7/($D$6+$D$31)*SUM($D$36:$D$41)</f>
        <v>92680.393429407472</v>
      </c>
      <c r="E49" s="576">
        <f>C49*0.75</f>
        <v>63527.206545749024</v>
      </c>
    </row>
    <row r="50" spans="1:14">
      <c r="A50" s="463" t="s">
        <v>467</v>
      </c>
      <c r="B50" s="298" t="s">
        <v>482</v>
      </c>
      <c r="C50" s="464">
        <f>$C$14++$C$14/($C$6+$C$31)*SUM($C$36:$C$41)</f>
        <v>294303.96028177877</v>
      </c>
      <c r="D50" s="464">
        <f>$D$14++$D$14/($D$6+$D$31)*SUM($D$36:$D$41)</f>
        <v>322021.95299314451</v>
      </c>
      <c r="E50" s="576">
        <f>C50*0.75</f>
        <v>220727.97021133406</v>
      </c>
    </row>
    <row r="51" spans="1:14">
      <c r="A51" s="463" t="s">
        <v>471</v>
      </c>
      <c r="B51" s="298" t="s">
        <v>483</v>
      </c>
      <c r="C51" s="464">
        <f>($C$23+$C$31)+($C$23+$C$31)/($C$6+$C$31)*SUM($C$36:$C$41)</f>
        <v>46828.783345404343</v>
      </c>
      <c r="D51" s="464">
        <f>($D$23+$D$31)+($D$23+$D$31)/($D$6+$D$31)*SUM($D$36:$D$41)</f>
        <v>51239.189084448022</v>
      </c>
      <c r="E51" s="576">
        <f>C51*0.75</f>
        <v>35121.587509053257</v>
      </c>
    </row>
    <row r="52" spans="1:14">
      <c r="A52" s="463"/>
      <c r="B52" s="294" t="s">
        <v>275</v>
      </c>
      <c r="C52" s="465">
        <f>SUM(C49:C51)</f>
        <v>425835.68568818178</v>
      </c>
      <c r="D52" s="465">
        <f>SUM(D49:D51)</f>
        <v>465941.53550700005</v>
      </c>
      <c r="E52" s="576">
        <f>SUM(E49:E51)</f>
        <v>319376.76426613634</v>
      </c>
    </row>
    <row r="54" spans="1:14" s="467" customFormat="1">
      <c r="A54" s="650"/>
      <c r="B54" s="650"/>
      <c r="D54" s="468"/>
      <c r="E54" s="555"/>
      <c r="F54" s="555"/>
      <c r="G54" s="555"/>
      <c r="H54" s="556"/>
      <c r="I54" s="471"/>
      <c r="K54" s="472"/>
      <c r="L54" s="472"/>
      <c r="M54" s="472"/>
      <c r="N54" s="472"/>
    </row>
  </sheetData>
  <mergeCells count="3">
    <mergeCell ref="A1:D1"/>
    <mergeCell ref="A2:D2"/>
    <mergeCell ref="A54:B54"/>
  </mergeCells>
  <pageMargins left="0.7" right="0.31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3"/>
  <sheetViews>
    <sheetView showGridLines="0" zoomScale="70" zoomScaleNormal="70" zoomScaleSheetLayoutView="100" workbookViewId="0">
      <selection activeCell="AC12" sqref="A1:AC12"/>
    </sheetView>
  </sheetViews>
  <sheetFormatPr defaultColWidth="13" defaultRowHeight="16.5"/>
  <cols>
    <col min="1" max="1" width="4.5703125" style="528" bestFit="1" customWidth="1"/>
    <col min="2" max="2" width="35.140625" style="529" customWidth="1"/>
    <col min="3" max="3" width="11.28515625" style="529" bestFit="1" customWidth="1"/>
    <col min="4" max="4" width="7.5703125" style="529" customWidth="1"/>
    <col min="5" max="29" width="9.85546875" style="529" customWidth="1"/>
    <col min="30" max="30" width="16.42578125" style="529" bestFit="1" customWidth="1"/>
    <col min="31" max="16384" width="13" style="529"/>
  </cols>
  <sheetData>
    <row r="1" spans="1:31" s="497" customFormat="1" ht="45" customHeight="1">
      <c r="A1" s="654" t="s">
        <v>484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4"/>
      <c r="P1" s="654"/>
      <c r="Q1" s="654"/>
      <c r="R1" s="654"/>
      <c r="S1" s="654"/>
      <c r="T1" s="654"/>
      <c r="U1" s="654"/>
      <c r="V1" s="654"/>
      <c r="W1" s="654"/>
      <c r="X1" s="654"/>
      <c r="Y1" s="654"/>
      <c r="Z1" s="654"/>
      <c r="AA1" s="654"/>
      <c r="AB1" s="654"/>
      <c r="AC1" s="654"/>
    </row>
    <row r="2" spans="1:31" s="500" customFormat="1" ht="44.25" customHeight="1">
      <c r="A2" s="498"/>
      <c r="B2" s="499"/>
      <c r="Y2" s="501"/>
      <c r="Z2" s="501"/>
      <c r="AA2" s="501"/>
      <c r="AB2" s="501"/>
      <c r="AC2" s="501" t="str">
        <f>'[4]4 DT CP LN'!AB2</f>
        <v>Đơn vị tính: triệu đồng</v>
      </c>
    </row>
    <row r="3" spans="1:31" s="505" customFormat="1" ht="51" customHeight="1">
      <c r="A3" s="651" t="s">
        <v>3</v>
      </c>
      <c r="B3" s="652" t="s">
        <v>485</v>
      </c>
      <c r="C3" s="652" t="s">
        <v>486</v>
      </c>
      <c r="D3" s="653" t="s">
        <v>487</v>
      </c>
      <c r="E3" s="655" t="s">
        <v>488</v>
      </c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6"/>
      <c r="Q3" s="656"/>
      <c r="R3" s="615"/>
      <c r="S3" s="615"/>
      <c r="T3" s="615"/>
      <c r="U3" s="615"/>
      <c r="V3" s="615"/>
      <c r="W3" s="615"/>
      <c r="X3" s="615"/>
      <c r="Y3" s="615"/>
      <c r="Z3" s="615"/>
      <c r="AA3" s="615"/>
      <c r="AB3" s="615"/>
      <c r="AC3" s="616"/>
      <c r="AD3" s="504"/>
      <c r="AE3" s="504"/>
    </row>
    <row r="4" spans="1:31" s="506" customFormat="1" ht="54.75" customHeight="1">
      <c r="A4" s="651"/>
      <c r="B4" s="652"/>
      <c r="C4" s="652"/>
      <c r="D4" s="653"/>
      <c r="E4" s="503">
        <v>1</v>
      </c>
      <c r="F4" s="503">
        <v>2</v>
      </c>
      <c r="G4" s="503">
        <v>3</v>
      </c>
      <c r="H4" s="503">
        <v>4</v>
      </c>
      <c r="I4" s="503">
        <v>5</v>
      </c>
      <c r="J4" s="503">
        <v>6</v>
      </c>
      <c r="K4" s="503">
        <v>7</v>
      </c>
      <c r="L4" s="503">
        <v>8</v>
      </c>
      <c r="M4" s="503">
        <v>9</v>
      </c>
      <c r="N4" s="503">
        <v>10</v>
      </c>
      <c r="O4" s="503">
        <v>11</v>
      </c>
      <c r="P4" s="503">
        <v>12</v>
      </c>
      <c r="Q4" s="503">
        <v>13</v>
      </c>
      <c r="R4" s="503">
        <v>14</v>
      </c>
      <c r="S4" s="503">
        <v>15</v>
      </c>
      <c r="T4" s="503">
        <v>16</v>
      </c>
      <c r="U4" s="503">
        <v>17</v>
      </c>
      <c r="V4" s="503">
        <v>18</v>
      </c>
      <c r="W4" s="503">
        <v>19</v>
      </c>
      <c r="X4" s="503">
        <v>20</v>
      </c>
      <c r="Y4" s="503">
        <v>21</v>
      </c>
      <c r="Z4" s="503">
        <v>22</v>
      </c>
      <c r="AA4" s="503">
        <v>23</v>
      </c>
      <c r="AB4" s="503">
        <v>24</v>
      </c>
      <c r="AC4" s="503">
        <v>25</v>
      </c>
    </row>
    <row r="5" spans="1:31" s="506" customFormat="1" ht="22.5" customHeight="1">
      <c r="A5" s="502"/>
      <c r="B5" s="507" t="str">
        <f>'[4]4 DT CP LN'!$B$6</f>
        <v>Hệ số khai thác</v>
      </c>
      <c r="C5" s="470"/>
      <c r="D5" s="503"/>
      <c r="E5" s="508">
        <f>'[4]4 DT CP LN'!D6</f>
        <v>0.4</v>
      </c>
      <c r="F5" s="508">
        <f>'[4]4 DT CP LN'!E6</f>
        <v>0.4</v>
      </c>
      <c r="G5" s="508">
        <f>'[4]4 DT CP LN'!F6</f>
        <v>0.45</v>
      </c>
      <c r="H5" s="508">
        <f>'[4]4 DT CP LN'!G6</f>
        <v>0.45</v>
      </c>
      <c r="I5" s="508">
        <f>'[4]4 DT CP LN'!H6</f>
        <v>0.5</v>
      </c>
      <c r="J5" s="508">
        <f>'[4]4 DT CP LN'!I6</f>
        <v>0.5</v>
      </c>
      <c r="K5" s="508">
        <f>'[4]4 DT CP LN'!J6</f>
        <v>0.55000000000000004</v>
      </c>
      <c r="L5" s="508">
        <f>'[4]4 DT CP LN'!K6</f>
        <v>0.55000000000000004</v>
      </c>
      <c r="M5" s="508">
        <f>'[4]4 DT CP LN'!L6</f>
        <v>0.6</v>
      </c>
      <c r="N5" s="508">
        <f>'[4]4 DT CP LN'!M6</f>
        <v>0.6</v>
      </c>
      <c r="O5" s="508">
        <f>'[4]4 DT CP LN'!N6</f>
        <v>0.65</v>
      </c>
      <c r="P5" s="508">
        <f>'[4]4 DT CP LN'!O6</f>
        <v>0.7</v>
      </c>
      <c r="Q5" s="508">
        <f>'[4]4 DT CP LN'!P6</f>
        <v>0.75</v>
      </c>
      <c r="R5" s="508">
        <f>'[4]4 DT CP LN'!Q6</f>
        <v>0.8</v>
      </c>
      <c r="S5" s="508">
        <f>'[4]4 DT CP LN'!R6</f>
        <v>0.85</v>
      </c>
      <c r="T5" s="508">
        <f>'[4]4 DT CP LN'!S6</f>
        <v>0.9</v>
      </c>
      <c r="U5" s="508">
        <f>'[4]4 DT CP LN'!T6</f>
        <v>0.95</v>
      </c>
      <c r="V5" s="508">
        <f>'[4]4 DT CP LN'!U6</f>
        <v>1</v>
      </c>
      <c r="W5" s="508">
        <f>'[4]4 DT CP LN'!V6</f>
        <v>1</v>
      </c>
      <c r="X5" s="508">
        <f>'[4]4 DT CP LN'!W6</f>
        <v>1</v>
      </c>
      <c r="Y5" s="508">
        <f>'[4]4 DT CP LN'!X6</f>
        <v>1</v>
      </c>
      <c r="Z5" s="508">
        <f>'[4]4 DT CP LN'!Y6</f>
        <v>1</v>
      </c>
      <c r="AA5" s="508">
        <f>'[4]4 DT CP LN'!Z6</f>
        <v>1</v>
      </c>
      <c r="AB5" s="508">
        <f>'[4]4 DT CP LN'!AA6</f>
        <v>1</v>
      </c>
      <c r="AC5" s="508">
        <f>'[4]4 DT CP LN'!AB6</f>
        <v>1</v>
      </c>
      <c r="AD5" s="509">
        <f>SUM(E6:AC6)</f>
        <v>1116000</v>
      </c>
    </row>
    <row r="6" spans="1:31" s="506" customFormat="1" ht="22.5" customHeight="1">
      <c r="A6" s="502"/>
      <c r="B6" s="507" t="str">
        <f>'[4]4 DT CP LN'!$B$7</f>
        <v>Công suất hệ thống cấp nước</v>
      </c>
      <c r="C6" s="470"/>
      <c r="D6" s="503"/>
      <c r="E6" s="470">
        <f>'[4]4 DT CP LN'!D7</f>
        <v>24000</v>
      </c>
      <c r="F6" s="470">
        <f>'[4]4 DT CP LN'!E7</f>
        <v>24000</v>
      </c>
      <c r="G6" s="470">
        <f>'[4]4 DT CP LN'!F7</f>
        <v>27000</v>
      </c>
      <c r="H6" s="470">
        <f>'[4]4 DT CP LN'!G7</f>
        <v>27000</v>
      </c>
      <c r="I6" s="470">
        <f>'[4]4 DT CP LN'!H7</f>
        <v>30000</v>
      </c>
      <c r="J6" s="470">
        <f>'[4]4 DT CP LN'!I7</f>
        <v>30000</v>
      </c>
      <c r="K6" s="470">
        <f>'[4]4 DT CP LN'!J7</f>
        <v>33000</v>
      </c>
      <c r="L6" s="470">
        <f>'[4]4 DT CP LN'!K7</f>
        <v>33000</v>
      </c>
      <c r="M6" s="470">
        <f>'[4]4 DT CP LN'!L7</f>
        <v>36000</v>
      </c>
      <c r="N6" s="470">
        <f>'[4]4 DT CP LN'!M7</f>
        <v>36000</v>
      </c>
      <c r="O6" s="470">
        <f>'[4]4 DT CP LN'!N7</f>
        <v>39000</v>
      </c>
      <c r="P6" s="470">
        <f>'[4]4 DT CP LN'!O7</f>
        <v>42000</v>
      </c>
      <c r="Q6" s="470">
        <f>'[4]4 DT CP LN'!P7</f>
        <v>45000</v>
      </c>
      <c r="R6" s="470">
        <f>'[4]4 DT CP LN'!Q7</f>
        <v>48000</v>
      </c>
      <c r="S6" s="470">
        <f>'[4]4 DT CP LN'!R7</f>
        <v>51000</v>
      </c>
      <c r="T6" s="470">
        <f>'[4]4 DT CP LN'!S7</f>
        <v>54000</v>
      </c>
      <c r="U6" s="470">
        <f>'[4]4 DT CP LN'!T7</f>
        <v>57000</v>
      </c>
      <c r="V6" s="470">
        <f>'[4]4 DT CP LN'!U7</f>
        <v>60000</v>
      </c>
      <c r="W6" s="470">
        <f>'[4]4 DT CP LN'!V7</f>
        <v>60000</v>
      </c>
      <c r="X6" s="470">
        <f>'[4]4 DT CP LN'!W7</f>
        <v>60000</v>
      </c>
      <c r="Y6" s="470">
        <f>'[4]4 DT CP LN'!X7</f>
        <v>60000</v>
      </c>
      <c r="Z6" s="470">
        <f>'[4]4 DT CP LN'!Y7</f>
        <v>60000</v>
      </c>
      <c r="AA6" s="470">
        <f>'[4]4 DT CP LN'!Z7</f>
        <v>60000</v>
      </c>
      <c r="AB6" s="470">
        <f>'[4]4 DT CP LN'!AA7</f>
        <v>60000</v>
      </c>
      <c r="AC6" s="470">
        <f>'[4]4 DT CP LN'!AB7</f>
        <v>60000</v>
      </c>
      <c r="AD6" s="509">
        <f>SUM(E6:X6)</f>
        <v>816000</v>
      </c>
    </row>
    <row r="7" spans="1:31" s="514" customFormat="1" ht="20.25" customHeight="1">
      <c r="A7" s="510">
        <v>1</v>
      </c>
      <c r="B7" s="511" t="str">
        <f>'[4]1 thong so'!B46</f>
        <v>Hạng mục xây dựng</v>
      </c>
      <c r="C7" s="512">
        <f>'[4]1 thong so'!C46</f>
        <v>84702.942060998699</v>
      </c>
      <c r="D7" s="513">
        <v>25</v>
      </c>
      <c r="E7" s="512">
        <f>$C7*E$6/$AD$5</f>
        <v>1821.5686464730902</v>
      </c>
      <c r="F7" s="512">
        <f t="shared" ref="F7:AC8" si="0">$C7*F$6/$AD$5</f>
        <v>1821.5686464730902</v>
      </c>
      <c r="G7" s="512">
        <f t="shared" si="0"/>
        <v>2049.2647272822269</v>
      </c>
      <c r="H7" s="512">
        <f t="shared" si="0"/>
        <v>2049.2647272822269</v>
      </c>
      <c r="I7" s="512">
        <f t="shared" si="0"/>
        <v>2276.9608080913627</v>
      </c>
      <c r="J7" s="512">
        <f t="shared" si="0"/>
        <v>2276.9608080913627</v>
      </c>
      <c r="K7" s="512">
        <f t="shared" si="0"/>
        <v>2504.6568889004993</v>
      </c>
      <c r="L7" s="512">
        <f t="shared" si="0"/>
        <v>2504.6568889004993</v>
      </c>
      <c r="M7" s="512">
        <f t="shared" si="0"/>
        <v>2732.3529697096355</v>
      </c>
      <c r="N7" s="512">
        <f t="shared" si="0"/>
        <v>2732.3529697096355</v>
      </c>
      <c r="O7" s="512">
        <f t="shared" si="0"/>
        <v>2960.0490505187718</v>
      </c>
      <c r="P7" s="512">
        <f t="shared" si="0"/>
        <v>3187.745131327908</v>
      </c>
      <c r="Q7" s="512">
        <f t="shared" si="0"/>
        <v>3415.4412121370442</v>
      </c>
      <c r="R7" s="512">
        <f t="shared" si="0"/>
        <v>3643.1372929461804</v>
      </c>
      <c r="S7" s="512">
        <f t="shared" si="0"/>
        <v>3870.8333737553166</v>
      </c>
      <c r="T7" s="512">
        <f t="shared" si="0"/>
        <v>4098.5294545644538</v>
      </c>
      <c r="U7" s="512">
        <f t="shared" si="0"/>
        <v>4326.2255353735891</v>
      </c>
      <c r="V7" s="512">
        <f t="shared" si="0"/>
        <v>4553.9216161827253</v>
      </c>
      <c r="W7" s="512">
        <f t="shared" si="0"/>
        <v>4553.9216161827253</v>
      </c>
      <c r="X7" s="512">
        <f t="shared" si="0"/>
        <v>4553.9216161827253</v>
      </c>
      <c r="Y7" s="512">
        <f t="shared" si="0"/>
        <v>4553.9216161827253</v>
      </c>
      <c r="Z7" s="512">
        <f t="shared" si="0"/>
        <v>4553.9216161827253</v>
      </c>
      <c r="AA7" s="512">
        <f t="shared" si="0"/>
        <v>4553.9216161827253</v>
      </c>
      <c r="AB7" s="512">
        <f t="shared" si="0"/>
        <v>4553.9216161827253</v>
      </c>
      <c r="AC7" s="512">
        <f t="shared" si="0"/>
        <v>4553.9216161827253</v>
      </c>
      <c r="AD7" s="509">
        <f>SUM(E6:S6)</f>
        <v>525000</v>
      </c>
    </row>
    <row r="8" spans="1:31" s="514" customFormat="1" ht="20.25" customHeight="1">
      <c r="A8" s="510">
        <v>2</v>
      </c>
      <c r="B8" s="511" t="str">
        <f>'[4]1 thong so'!B47</f>
        <v>Hạng mục công nghệ</v>
      </c>
      <c r="C8" s="512">
        <f>'[4]1 thong so'!C47</f>
        <v>294303.96028177877</v>
      </c>
      <c r="D8" s="513">
        <v>25</v>
      </c>
      <c r="E8" s="512">
        <f>$C8*E$6/$AD$5</f>
        <v>6329.1174254145972</v>
      </c>
      <c r="F8" s="512">
        <f t="shared" si="0"/>
        <v>6329.1174254145972</v>
      </c>
      <c r="G8" s="512">
        <f t="shared" si="0"/>
        <v>7120.2571035914216</v>
      </c>
      <c r="H8" s="512">
        <f t="shared" si="0"/>
        <v>7120.2571035914216</v>
      </c>
      <c r="I8" s="512">
        <f t="shared" si="0"/>
        <v>7911.3967817682469</v>
      </c>
      <c r="J8" s="512">
        <f t="shared" si="0"/>
        <v>7911.3967817682469</v>
      </c>
      <c r="K8" s="512">
        <f t="shared" si="0"/>
        <v>8702.5364599450695</v>
      </c>
      <c r="L8" s="512">
        <f t="shared" si="0"/>
        <v>8702.5364599450695</v>
      </c>
      <c r="M8" s="512">
        <f t="shared" si="0"/>
        <v>9493.6761381218948</v>
      </c>
      <c r="N8" s="512">
        <f t="shared" si="0"/>
        <v>9493.6761381218948</v>
      </c>
      <c r="O8" s="512">
        <f t="shared" si="0"/>
        <v>10284.81581629872</v>
      </c>
      <c r="P8" s="512">
        <f t="shared" si="0"/>
        <v>11075.955494475545</v>
      </c>
      <c r="Q8" s="512">
        <f t="shared" si="0"/>
        <v>11867.095172652369</v>
      </c>
      <c r="R8" s="512">
        <f t="shared" si="0"/>
        <v>12658.234850829194</v>
      </c>
      <c r="S8" s="512">
        <f t="shared" si="0"/>
        <v>13449.37452900602</v>
      </c>
      <c r="T8" s="512">
        <f t="shared" si="0"/>
        <v>14240.514207182843</v>
      </c>
      <c r="U8" s="512">
        <f t="shared" si="0"/>
        <v>15031.653885359668</v>
      </c>
      <c r="V8" s="512">
        <f t="shared" si="0"/>
        <v>15822.793563536494</v>
      </c>
      <c r="W8" s="512">
        <f t="shared" si="0"/>
        <v>15822.793563536494</v>
      </c>
      <c r="X8" s="512">
        <f t="shared" si="0"/>
        <v>15822.793563536494</v>
      </c>
      <c r="Y8" s="512">
        <f t="shared" si="0"/>
        <v>15822.793563536494</v>
      </c>
      <c r="Z8" s="512">
        <f t="shared" si="0"/>
        <v>15822.793563536494</v>
      </c>
      <c r="AA8" s="512">
        <f t="shared" si="0"/>
        <v>15822.793563536494</v>
      </c>
      <c r="AB8" s="512">
        <f t="shared" si="0"/>
        <v>15822.793563536494</v>
      </c>
      <c r="AC8" s="512">
        <f t="shared" si="0"/>
        <v>15822.793563536494</v>
      </c>
      <c r="AD8" s="509"/>
    </row>
    <row r="9" spans="1:31" s="514" customFormat="1" ht="20.25" customHeight="1">
      <c r="A9" s="510">
        <v>3</v>
      </c>
      <c r="B9" s="511" t="str">
        <f>'[4]1 thong so'!B48</f>
        <v>Hạng mục thiết bị và điện</v>
      </c>
      <c r="C9" s="512">
        <f>'[4]1 thong so'!C48</f>
        <v>46828.783345404343</v>
      </c>
      <c r="D9" s="513">
        <v>15</v>
      </c>
      <c r="E9" s="512">
        <f t="shared" ref="E9:S9" si="1">$C9*E$6/$AD$7</f>
        <v>2140.7443815041988</v>
      </c>
      <c r="F9" s="512">
        <f t="shared" si="1"/>
        <v>2140.7443815041988</v>
      </c>
      <c r="G9" s="512">
        <f t="shared" si="1"/>
        <v>2408.3374291922232</v>
      </c>
      <c r="H9" s="512">
        <f t="shared" si="1"/>
        <v>2408.3374291922232</v>
      </c>
      <c r="I9" s="512">
        <f t="shared" si="1"/>
        <v>2675.9304768802485</v>
      </c>
      <c r="J9" s="512">
        <f t="shared" si="1"/>
        <v>2675.9304768802485</v>
      </c>
      <c r="K9" s="512">
        <f t="shared" si="1"/>
        <v>2943.5235245682729</v>
      </c>
      <c r="L9" s="512">
        <f t="shared" si="1"/>
        <v>2943.5235245682729</v>
      </c>
      <c r="M9" s="512">
        <f t="shared" si="1"/>
        <v>3211.1165722562978</v>
      </c>
      <c r="N9" s="512">
        <f t="shared" si="1"/>
        <v>3211.1165722562978</v>
      </c>
      <c r="O9" s="512">
        <f t="shared" si="1"/>
        <v>3478.7096199443226</v>
      </c>
      <c r="P9" s="512">
        <f t="shared" si="1"/>
        <v>3746.3026676323475</v>
      </c>
      <c r="Q9" s="512">
        <f t="shared" si="1"/>
        <v>4013.8957153203723</v>
      </c>
      <c r="R9" s="512">
        <f t="shared" si="1"/>
        <v>4281.4887630083977</v>
      </c>
      <c r="S9" s="512">
        <f t="shared" si="1"/>
        <v>4549.0818106964216</v>
      </c>
      <c r="T9" s="512"/>
      <c r="U9" s="512"/>
      <c r="V9" s="512"/>
      <c r="W9" s="512"/>
      <c r="X9" s="512"/>
      <c r="Y9" s="512"/>
      <c r="Z9" s="512"/>
      <c r="AA9" s="512"/>
      <c r="AB9" s="512"/>
      <c r="AC9" s="512"/>
    </row>
    <row r="10" spans="1:31" s="520" customFormat="1" ht="20.25" customHeight="1">
      <c r="A10" s="515"/>
      <c r="B10" s="516" t="s">
        <v>489</v>
      </c>
      <c r="C10" s="517">
        <f>SUM(C7:C9)</f>
        <v>425835.68568818178</v>
      </c>
      <c r="D10" s="518"/>
      <c r="E10" s="517">
        <f t="shared" ref="E10:X10" si="2">SUM(E7:E9)</f>
        <v>10291.430453391886</v>
      </c>
      <c r="F10" s="517">
        <f t="shared" si="2"/>
        <v>10291.430453391886</v>
      </c>
      <c r="G10" s="517">
        <f t="shared" si="2"/>
        <v>11577.85926006587</v>
      </c>
      <c r="H10" s="517">
        <f t="shared" si="2"/>
        <v>11577.85926006587</v>
      </c>
      <c r="I10" s="517">
        <f t="shared" si="2"/>
        <v>12864.288066739859</v>
      </c>
      <c r="J10" s="517">
        <f t="shared" si="2"/>
        <v>12864.288066739859</v>
      </c>
      <c r="K10" s="517">
        <f t="shared" si="2"/>
        <v>14150.716873413841</v>
      </c>
      <c r="L10" s="517">
        <f t="shared" si="2"/>
        <v>14150.716873413841</v>
      </c>
      <c r="M10" s="517">
        <f t="shared" si="2"/>
        <v>15437.14568008783</v>
      </c>
      <c r="N10" s="517">
        <f t="shared" si="2"/>
        <v>15437.14568008783</v>
      </c>
      <c r="O10" s="517">
        <f t="shared" si="2"/>
        <v>16723.574486761816</v>
      </c>
      <c r="P10" s="517">
        <f t="shared" si="2"/>
        <v>18010.003293435799</v>
      </c>
      <c r="Q10" s="517">
        <f t="shared" si="2"/>
        <v>19296.432100109785</v>
      </c>
      <c r="R10" s="517">
        <f t="shared" si="2"/>
        <v>20582.860906783771</v>
      </c>
      <c r="S10" s="517">
        <f t="shared" si="2"/>
        <v>21869.289713457758</v>
      </c>
      <c r="T10" s="517">
        <f t="shared" si="2"/>
        <v>18339.043661747295</v>
      </c>
      <c r="U10" s="517">
        <f t="shared" si="2"/>
        <v>19357.879420733258</v>
      </c>
      <c r="V10" s="517">
        <f t="shared" si="2"/>
        <v>20376.71517971922</v>
      </c>
      <c r="W10" s="517">
        <f t="shared" si="2"/>
        <v>20376.71517971922</v>
      </c>
      <c r="X10" s="517">
        <f t="shared" si="2"/>
        <v>20376.71517971922</v>
      </c>
      <c r="Y10" s="517">
        <f>SUM(Y7:Y9)</f>
        <v>20376.71517971922</v>
      </c>
      <c r="Z10" s="517">
        <f>SUM(Z7:Z9)</f>
        <v>20376.71517971922</v>
      </c>
      <c r="AA10" s="517">
        <f>SUM(AA7:AA9)</f>
        <v>20376.71517971922</v>
      </c>
      <c r="AB10" s="517">
        <f>SUM(AB7:AB9)</f>
        <v>20376.71517971922</v>
      </c>
      <c r="AC10" s="517">
        <f>SUM(AC7:AC9)</f>
        <v>20376.71517971922</v>
      </c>
      <c r="AD10" s="519">
        <f>SUM(E10:AC10)</f>
        <v>425835.68568818172</v>
      </c>
    </row>
    <row r="11" spans="1:31" s="500" customFormat="1" ht="23.25">
      <c r="A11" s="498"/>
      <c r="C11" s="500" t="s">
        <v>490</v>
      </c>
    </row>
    <row r="12" spans="1:31" s="500" customFormat="1" ht="21" customHeight="1">
      <c r="A12" s="498"/>
      <c r="C12" s="521" t="s">
        <v>491</v>
      </c>
      <c r="F12" s="522"/>
      <c r="G12" s="522"/>
      <c r="H12" s="522"/>
      <c r="I12" s="522"/>
      <c r="J12" s="522"/>
      <c r="K12" s="522"/>
      <c r="L12" s="522"/>
      <c r="M12" s="522"/>
      <c r="N12" s="522"/>
      <c r="O12" s="522"/>
      <c r="P12" s="522"/>
      <c r="Q12" s="522"/>
      <c r="R12" s="522"/>
      <c r="S12" s="522"/>
      <c r="T12" s="522"/>
      <c r="U12" s="522"/>
      <c r="V12" s="522"/>
      <c r="W12" s="522"/>
      <c r="X12" s="522"/>
      <c r="Y12" s="522"/>
      <c r="Z12" s="522"/>
      <c r="AA12" s="522"/>
      <c r="AB12" s="522"/>
      <c r="AC12" s="522"/>
      <c r="AD12" s="523"/>
    </row>
    <row r="13" spans="1:31" s="524" customFormat="1" ht="22.5">
      <c r="A13" s="498"/>
      <c r="C13" s="525"/>
      <c r="T13" s="525"/>
      <c r="U13" s="526"/>
      <c r="AA13" s="527"/>
    </row>
  </sheetData>
  <mergeCells count="6">
    <mergeCell ref="A3:A4"/>
    <mergeCell ref="B3:B4"/>
    <mergeCell ref="C3:C4"/>
    <mergeCell ref="D3:D4"/>
    <mergeCell ref="A1:AC1"/>
    <mergeCell ref="E3:Q3"/>
  </mergeCells>
  <printOptions horizontalCentered="1"/>
  <pageMargins left="0.196850393700787" right="0.196850393700787" top="0.35433070866141703" bottom="0.27559055118110198" header="0.196850393700787" footer="0.196850393700787"/>
  <pageSetup paperSize="9" scale="7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4"/>
  <sheetViews>
    <sheetView topLeftCell="A11" zoomScale="70" zoomScaleNormal="70" zoomScaleSheetLayoutView="100" workbookViewId="0">
      <selection activeCell="G28" sqref="G28"/>
    </sheetView>
  </sheetViews>
  <sheetFormatPr defaultColWidth="11.42578125" defaultRowHeight="12.75"/>
  <cols>
    <col min="1" max="1" width="6" style="136" customWidth="1"/>
    <col min="2" max="2" width="37.140625" style="1" customWidth="1"/>
    <col min="3" max="3" width="8.7109375" style="1" bestFit="1" customWidth="1"/>
    <col min="4" max="4" width="15.140625" style="1" customWidth="1"/>
    <col min="5" max="5" width="13.7109375" style="1" customWidth="1"/>
    <col min="6" max="6" width="15.5703125" style="1" customWidth="1"/>
    <col min="7" max="7" width="14.85546875" style="1" customWidth="1"/>
    <col min="8" max="8" width="15.42578125" style="1" customWidth="1"/>
    <col min="9" max="9" width="14.5703125" style="1" customWidth="1"/>
    <col min="10" max="10" width="14.28515625" style="1" customWidth="1"/>
    <col min="11" max="11" width="14.42578125" style="1" customWidth="1"/>
    <col min="12" max="12" width="14.85546875" style="1" customWidth="1"/>
    <col min="13" max="13" width="13.5703125" style="1" customWidth="1"/>
    <col min="14" max="14" width="13.85546875" style="1" customWidth="1"/>
    <col min="15" max="28" width="14.28515625" style="1" bestFit="1" customWidth="1"/>
    <col min="29" max="16384" width="11.42578125" style="1"/>
  </cols>
  <sheetData>
    <row r="1" spans="1:28" ht="15.75" customHeight="1">
      <c r="A1" s="657" t="s">
        <v>344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</row>
    <row r="2" spans="1:28" ht="15.75" customHeight="1">
      <c r="A2" s="657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</row>
    <row r="3" spans="1:28" ht="24.95" customHeight="1">
      <c r="A3" s="387" t="s">
        <v>7</v>
      </c>
      <c r="B3" s="389" t="s">
        <v>4</v>
      </c>
      <c r="C3" s="531"/>
      <c r="D3" s="658" t="s">
        <v>18</v>
      </c>
      <c r="E3" s="659"/>
      <c r="F3" s="659"/>
      <c r="G3" s="659"/>
      <c r="H3" s="659"/>
      <c r="I3" s="659"/>
      <c r="J3" s="659"/>
      <c r="K3" s="659"/>
      <c r="L3" s="659"/>
      <c r="M3" s="659"/>
      <c r="N3" s="660"/>
      <c r="O3" s="361"/>
      <c r="P3" s="361"/>
      <c r="Q3" s="361"/>
      <c r="R3" s="362"/>
    </row>
    <row r="4" spans="1:28" ht="24.95" hidden="1" customHeight="1">
      <c r="A4" s="388"/>
      <c r="B4" s="388"/>
      <c r="C4" s="388"/>
      <c r="D4" s="277">
        <v>1</v>
      </c>
      <c r="E4" s="277">
        <v>2</v>
      </c>
      <c r="F4" s="277">
        <v>3</v>
      </c>
      <c r="G4" s="277">
        <v>4</v>
      </c>
      <c r="H4" s="277">
        <v>5</v>
      </c>
      <c r="I4" s="277">
        <v>6</v>
      </c>
      <c r="J4" s="277">
        <v>7</v>
      </c>
      <c r="K4" s="277">
        <v>8</v>
      </c>
      <c r="L4" s="277">
        <v>9</v>
      </c>
      <c r="M4" s="277">
        <v>10</v>
      </c>
      <c r="N4" s="277">
        <v>11</v>
      </c>
      <c r="O4" s="277">
        <v>12</v>
      </c>
      <c r="P4" s="277">
        <v>13</v>
      </c>
      <c r="Q4" s="277">
        <v>14</v>
      </c>
      <c r="R4" s="277">
        <v>15</v>
      </c>
    </row>
    <row r="5" spans="1:28" ht="30" customHeight="1">
      <c r="A5" s="420" t="s">
        <v>7</v>
      </c>
      <c r="B5" s="420" t="s">
        <v>4</v>
      </c>
      <c r="C5" s="420"/>
      <c r="D5" s="421" t="s">
        <v>315</v>
      </c>
      <c r="E5" s="421" t="s">
        <v>316</v>
      </c>
      <c r="F5" s="421" t="s">
        <v>319</v>
      </c>
      <c r="G5" s="421" t="s">
        <v>320</v>
      </c>
      <c r="H5" s="421" t="s">
        <v>321</v>
      </c>
      <c r="I5" s="421" t="s">
        <v>322</v>
      </c>
      <c r="J5" s="421" t="s">
        <v>323</v>
      </c>
      <c r="K5" s="421" t="s">
        <v>324</v>
      </c>
      <c r="L5" s="421" t="s">
        <v>325</v>
      </c>
      <c r="M5" s="421" t="s">
        <v>326</v>
      </c>
      <c r="N5" s="421" t="s">
        <v>327</v>
      </c>
      <c r="O5" s="421" t="s">
        <v>328</v>
      </c>
      <c r="P5" s="421" t="s">
        <v>329</v>
      </c>
      <c r="Q5" s="421" t="s">
        <v>330</v>
      </c>
      <c r="R5" s="421" t="s">
        <v>492</v>
      </c>
      <c r="S5" s="421" t="s">
        <v>493</v>
      </c>
      <c r="T5" s="421" t="s">
        <v>494</v>
      </c>
      <c r="U5" s="421" t="s">
        <v>495</v>
      </c>
      <c r="V5" s="421" t="s">
        <v>496</v>
      </c>
      <c r="W5" s="421" t="s">
        <v>497</v>
      </c>
      <c r="X5" s="421" t="s">
        <v>498</v>
      </c>
      <c r="Y5" s="421" t="s">
        <v>499</v>
      </c>
      <c r="Z5" s="421" t="s">
        <v>500</v>
      </c>
      <c r="AA5" s="421" t="s">
        <v>501</v>
      </c>
      <c r="AB5" s="421" t="s">
        <v>502</v>
      </c>
    </row>
    <row r="6" spans="1:28" ht="24.95" customHeight="1">
      <c r="A6" s="422">
        <v>1</v>
      </c>
      <c r="B6" s="423" t="s">
        <v>29</v>
      </c>
      <c r="C6" s="423"/>
      <c r="D6" s="530">
        <v>0.4</v>
      </c>
      <c r="E6" s="530">
        <v>0.4</v>
      </c>
      <c r="F6" s="530">
        <v>0.45</v>
      </c>
      <c r="G6" s="530">
        <v>0.45</v>
      </c>
      <c r="H6" s="530">
        <v>0.5</v>
      </c>
      <c r="I6" s="530">
        <v>0.5</v>
      </c>
      <c r="J6" s="530">
        <v>0.55000000000000004</v>
      </c>
      <c r="K6" s="530">
        <v>0.55000000000000004</v>
      </c>
      <c r="L6" s="530">
        <v>0.6</v>
      </c>
      <c r="M6" s="530">
        <v>0.6</v>
      </c>
      <c r="N6" s="530">
        <v>0.65</v>
      </c>
      <c r="O6" s="530">
        <v>0.7</v>
      </c>
      <c r="P6" s="530">
        <v>0.75</v>
      </c>
      <c r="Q6" s="530">
        <v>0.8</v>
      </c>
      <c r="R6" s="530">
        <v>0.85</v>
      </c>
      <c r="S6" s="530">
        <v>0.9</v>
      </c>
      <c r="T6" s="530">
        <v>0.95</v>
      </c>
      <c r="U6" s="530">
        <v>1</v>
      </c>
      <c r="V6" s="530">
        <v>1</v>
      </c>
      <c r="W6" s="530">
        <v>1</v>
      </c>
      <c r="X6" s="530">
        <v>1</v>
      </c>
      <c r="Y6" s="530">
        <v>1</v>
      </c>
      <c r="Z6" s="530">
        <v>1</v>
      </c>
      <c r="AA6" s="530">
        <v>1</v>
      </c>
      <c r="AB6" s="530">
        <v>1</v>
      </c>
    </row>
    <row r="7" spans="1:28" ht="24.95" customHeight="1">
      <c r="A7" s="422">
        <v>2</v>
      </c>
      <c r="B7" s="423" t="s">
        <v>503</v>
      </c>
      <c r="C7" s="424"/>
      <c r="D7" s="469">
        <f>D6*'Thong so - Độ nhậy - Bảng 1'!$I$8*365</f>
        <v>8760000</v>
      </c>
      <c r="E7" s="469">
        <f>E6*'Thong so - Độ nhậy - Bảng 1'!$I$8*365</f>
        <v>8760000</v>
      </c>
      <c r="F7" s="469">
        <f>F6*'Thong so - Độ nhậy - Bảng 1'!$I$8*365</f>
        <v>9855000</v>
      </c>
      <c r="G7" s="469">
        <f>G6*'Thong so - Độ nhậy - Bảng 1'!$I$8*365</f>
        <v>9855000</v>
      </c>
      <c r="H7" s="469">
        <f>H6*'Thong so - Độ nhậy - Bảng 1'!$I$8*365</f>
        <v>10950000</v>
      </c>
      <c r="I7" s="469">
        <f>I6*'Thong so - Độ nhậy - Bảng 1'!$I$8*365</f>
        <v>10950000</v>
      </c>
      <c r="J7" s="469">
        <f>J6*'Thong so - Độ nhậy - Bảng 1'!$I$8*365</f>
        <v>12045000</v>
      </c>
      <c r="K7" s="469">
        <f>K6*'Thong so - Độ nhậy - Bảng 1'!$I$8*365</f>
        <v>12045000</v>
      </c>
      <c r="L7" s="469">
        <f>L6*'Thong so - Độ nhậy - Bảng 1'!$I$8*365</f>
        <v>13140000</v>
      </c>
      <c r="M7" s="469">
        <f>M6*'Thong so - Độ nhậy - Bảng 1'!$I$8*365</f>
        <v>13140000</v>
      </c>
      <c r="N7" s="469">
        <f>N6*'Thong so - Độ nhậy - Bảng 1'!$I$8*365</f>
        <v>14235000</v>
      </c>
      <c r="O7" s="469">
        <f>O6*'Thong so - Độ nhậy - Bảng 1'!$I$8*365</f>
        <v>15330000</v>
      </c>
      <c r="P7" s="469">
        <f>P6*'Thong so - Độ nhậy - Bảng 1'!$I$8*365</f>
        <v>16425000</v>
      </c>
      <c r="Q7" s="469">
        <f>Q6*'Thong so - Độ nhậy - Bảng 1'!$I$8*365</f>
        <v>17520000</v>
      </c>
      <c r="R7" s="469">
        <f>R6*'Thong so - Độ nhậy - Bảng 1'!$I$8*365</f>
        <v>18615000</v>
      </c>
      <c r="S7" s="469">
        <f>S6*'Thong so - Độ nhậy - Bảng 1'!$I$8*365</f>
        <v>19710000</v>
      </c>
      <c r="T7" s="469">
        <f>T6*'Thong so - Độ nhậy - Bảng 1'!$I$8*365</f>
        <v>20805000</v>
      </c>
      <c r="U7" s="469">
        <f>U6*'Thong so - Độ nhậy - Bảng 1'!$I$8*365</f>
        <v>21900000</v>
      </c>
      <c r="V7" s="469">
        <f>V6*'Thong so - Độ nhậy - Bảng 1'!$I$8*365</f>
        <v>21900000</v>
      </c>
      <c r="W7" s="469">
        <f>W6*'Thong so - Độ nhậy - Bảng 1'!$I$8*365</f>
        <v>21900000</v>
      </c>
      <c r="X7" s="469">
        <f>X6*'Thong so - Độ nhậy - Bảng 1'!$I$8*365</f>
        <v>21900000</v>
      </c>
      <c r="Y7" s="469">
        <f>Y6*'Thong so - Độ nhậy - Bảng 1'!$I$8*365</f>
        <v>21900000</v>
      </c>
      <c r="Z7" s="469">
        <f>Z6*'Thong so - Độ nhậy - Bảng 1'!$I$8*365</f>
        <v>21900000</v>
      </c>
      <c r="AA7" s="469">
        <f>AA6*'Thong so - Độ nhậy - Bảng 1'!$I$8*365</f>
        <v>21900000</v>
      </c>
      <c r="AB7" s="469">
        <f>AB6*'Thong so - Độ nhậy - Bảng 1'!$I$8*365</f>
        <v>21900000</v>
      </c>
    </row>
    <row r="8" spans="1:28" ht="24.95" customHeight="1">
      <c r="A8" s="422">
        <v>3</v>
      </c>
      <c r="B8" s="423" t="s">
        <v>31</v>
      </c>
      <c r="C8" s="423"/>
      <c r="D8" s="426">
        <f>SUM(D9:D12)</f>
        <v>87452.394</v>
      </c>
      <c r="E8" s="426">
        <f t="shared" ref="E8:AB8" si="0">SUM(E9:E12)</f>
        <v>87452.394</v>
      </c>
      <c r="F8" s="426">
        <f t="shared" si="0"/>
        <v>98383.943250000011</v>
      </c>
      <c r="G8" s="426">
        <f t="shared" si="0"/>
        <v>98383.943250000011</v>
      </c>
      <c r="H8" s="426">
        <f t="shared" si="0"/>
        <v>109315.49250000001</v>
      </c>
      <c r="I8" s="426">
        <f t="shared" si="0"/>
        <v>109315.49250000001</v>
      </c>
      <c r="J8" s="426">
        <f t="shared" si="0"/>
        <v>120247.04175</v>
      </c>
      <c r="K8" s="426">
        <f t="shared" si="0"/>
        <v>120247.04175</v>
      </c>
      <c r="L8" s="426">
        <f t="shared" si="0"/>
        <v>131178.59100000001</v>
      </c>
      <c r="M8" s="426">
        <f t="shared" si="0"/>
        <v>131178.59100000001</v>
      </c>
      <c r="N8" s="426">
        <f t="shared" si="0"/>
        <v>142110.14025</v>
      </c>
      <c r="O8" s="426">
        <f t="shared" si="0"/>
        <v>153041.68949999998</v>
      </c>
      <c r="P8" s="426">
        <f t="shared" si="0"/>
        <v>163973.23874999999</v>
      </c>
      <c r="Q8" s="426">
        <f t="shared" si="0"/>
        <v>174904.788</v>
      </c>
      <c r="R8" s="426">
        <f t="shared" si="0"/>
        <v>185836.33724999998</v>
      </c>
      <c r="S8" s="426">
        <f t="shared" si="0"/>
        <v>196767.88650000002</v>
      </c>
      <c r="T8" s="426">
        <f t="shared" si="0"/>
        <v>207699.43575</v>
      </c>
      <c r="U8" s="426">
        <f t="shared" si="0"/>
        <v>218630.98500000002</v>
      </c>
      <c r="V8" s="426">
        <f t="shared" si="0"/>
        <v>218630.98500000002</v>
      </c>
      <c r="W8" s="426">
        <f t="shared" si="0"/>
        <v>218630.98500000002</v>
      </c>
      <c r="X8" s="426">
        <f t="shared" si="0"/>
        <v>218630.98500000002</v>
      </c>
      <c r="Y8" s="426">
        <f t="shared" si="0"/>
        <v>218630.98500000002</v>
      </c>
      <c r="Z8" s="426">
        <f t="shared" si="0"/>
        <v>218630.98500000002</v>
      </c>
      <c r="AA8" s="426">
        <f t="shared" si="0"/>
        <v>218630.98500000002</v>
      </c>
      <c r="AB8" s="426">
        <f t="shared" si="0"/>
        <v>218630.98500000002</v>
      </c>
    </row>
    <row r="9" spans="1:28" ht="24.95" customHeight="1">
      <c r="A9" s="422"/>
      <c r="B9" s="427" t="s">
        <v>505</v>
      </c>
      <c r="C9" s="532">
        <v>0.16969999999999999</v>
      </c>
      <c r="D9" s="428">
        <f>$C$9*D7*'Thong so - Độ nhậy - Bảng 1'!$I$17/1000000</f>
        <v>14122.433999999999</v>
      </c>
      <c r="E9" s="428">
        <f>$C$9*E7*'Thong so - Độ nhậy - Bảng 1'!$I$17/1000000</f>
        <v>14122.433999999999</v>
      </c>
      <c r="F9" s="428">
        <f>$C$9*F7*'Thong so - Độ nhậy - Bảng 1'!$I$17/1000000</f>
        <v>15887.73825</v>
      </c>
      <c r="G9" s="428">
        <f>$C$9*G7*'Thong so - Độ nhậy - Bảng 1'!$I$17/1000000</f>
        <v>15887.73825</v>
      </c>
      <c r="H9" s="428">
        <f>$C$9*H7*'Thong so - Độ nhậy - Bảng 1'!$I$17/1000000</f>
        <v>17653.0425</v>
      </c>
      <c r="I9" s="428">
        <f>$C$9*I7*'Thong so - Độ nhậy - Bảng 1'!$I$17/1000000</f>
        <v>17653.0425</v>
      </c>
      <c r="J9" s="428">
        <f>$C$9*J7*'Thong so - Độ nhậy - Bảng 1'!$I$17/1000000</f>
        <v>19418.346749999997</v>
      </c>
      <c r="K9" s="428">
        <f>$C$9*K7*'Thong so - Độ nhậy - Bảng 1'!$I$17/1000000</f>
        <v>19418.346749999997</v>
      </c>
      <c r="L9" s="428">
        <f>$C$9*L7*'Thong so - Độ nhậy - Bảng 1'!$I$17/1000000</f>
        <v>21183.651000000002</v>
      </c>
      <c r="M9" s="428">
        <f>$C$9*M7*'Thong so - Độ nhậy - Bảng 1'!$I$17/1000000</f>
        <v>21183.651000000002</v>
      </c>
      <c r="N9" s="428">
        <f>$C$9*N7*'Thong so - Độ nhậy - Bảng 1'!$I$17/1000000</f>
        <v>22948.955249999999</v>
      </c>
      <c r="O9" s="428">
        <f>$C$9*O7*'Thong so - Độ nhậy - Bảng 1'!$I$17/1000000</f>
        <v>24714.2595</v>
      </c>
      <c r="P9" s="428">
        <f>$C$9*P7*'Thong so - Độ nhậy - Bảng 1'!$I$17/1000000</f>
        <v>26479.563750000001</v>
      </c>
      <c r="Q9" s="428">
        <f>$C$9*Q7*'Thong so - Độ nhậy - Bảng 1'!$I$17/1000000</f>
        <v>28244.867999999999</v>
      </c>
      <c r="R9" s="428">
        <f>$C$9*R7*'Thong so - Độ nhậy - Bảng 1'!$I$17/1000000</f>
        <v>30010.17225</v>
      </c>
      <c r="S9" s="428">
        <f>$C$9*S7*'Thong so - Độ nhậy - Bảng 1'!$I$17/1000000</f>
        <v>31775.476500000001</v>
      </c>
      <c r="T9" s="428">
        <f>$C$9*T7*'Thong so - Độ nhậy - Bảng 1'!$I$17/1000000</f>
        <v>33540.780749999998</v>
      </c>
      <c r="U9" s="428">
        <f>$C$9*U7*'Thong so - Độ nhậy - Bảng 1'!$I$17/1000000</f>
        <v>35306.084999999999</v>
      </c>
      <c r="V9" s="428">
        <f>$C$9*V7*'Thong so - Độ nhậy - Bảng 1'!$I$17/1000000</f>
        <v>35306.084999999999</v>
      </c>
      <c r="W9" s="428">
        <f>$C$9*W7*'Thong so - Độ nhậy - Bảng 1'!$I$17/1000000</f>
        <v>35306.084999999999</v>
      </c>
      <c r="X9" s="428">
        <f>$C$9*X7*'Thong so - Độ nhậy - Bảng 1'!$I$17/1000000</f>
        <v>35306.084999999999</v>
      </c>
      <c r="Y9" s="428">
        <f>$C$9*Y7*'Thong so - Độ nhậy - Bảng 1'!$I$17/1000000</f>
        <v>35306.084999999999</v>
      </c>
      <c r="Z9" s="428">
        <f>$C$9*Z7*'Thong so - Độ nhậy - Bảng 1'!$I$17/1000000</f>
        <v>35306.084999999999</v>
      </c>
      <c r="AA9" s="428">
        <f>$C$9*AA7*'Thong so - Độ nhậy - Bảng 1'!$I$17/1000000</f>
        <v>35306.084999999999</v>
      </c>
      <c r="AB9" s="428">
        <f>$C$9*AB7*'Thong so - Độ nhậy - Bảng 1'!$I$17/1000000</f>
        <v>35306.084999999999</v>
      </c>
    </row>
    <row r="10" spans="1:28" ht="24.95" customHeight="1">
      <c r="A10" s="422"/>
      <c r="B10" s="427" t="s">
        <v>506</v>
      </c>
      <c r="C10" s="532">
        <v>1.7000000000000001E-2</v>
      </c>
      <c r="D10" s="428">
        <f>$C$10*D7*'Thong so - Độ nhậy - Bảng 1'!$I$18/1000000</f>
        <v>1787.04</v>
      </c>
      <c r="E10" s="428">
        <f>$C$10*E7*'Thong so - Độ nhậy - Bảng 1'!$I$18/1000000</f>
        <v>1787.04</v>
      </c>
      <c r="F10" s="428">
        <f>$C$10*F7*'Thong so - Độ nhậy - Bảng 1'!$I$18/1000000</f>
        <v>2010.42</v>
      </c>
      <c r="G10" s="428">
        <f>$C$10*G7*'Thong so - Độ nhậy - Bảng 1'!$I$18/1000000</f>
        <v>2010.42</v>
      </c>
      <c r="H10" s="428">
        <f>$C$10*H7*'Thong so - Độ nhậy - Bảng 1'!$I$18/1000000</f>
        <v>2233.8000000000002</v>
      </c>
      <c r="I10" s="428">
        <f>$C$10*I7*'Thong so - Độ nhậy - Bảng 1'!$I$18/1000000</f>
        <v>2233.8000000000002</v>
      </c>
      <c r="J10" s="428">
        <f>$C$10*J7*'Thong so - Độ nhậy - Bảng 1'!$I$18/1000000</f>
        <v>2457.1800000000003</v>
      </c>
      <c r="K10" s="428">
        <f>$C$10*K7*'Thong so - Độ nhậy - Bảng 1'!$I$18/1000000</f>
        <v>2457.1800000000003</v>
      </c>
      <c r="L10" s="428">
        <f>$C$10*L7*'Thong so - Độ nhậy - Bảng 1'!$I$18/1000000</f>
        <v>2680.5600000000004</v>
      </c>
      <c r="M10" s="428">
        <f>$C$10*M7*'Thong so - Độ nhậy - Bảng 1'!$I$18/1000000</f>
        <v>2680.5600000000004</v>
      </c>
      <c r="N10" s="428">
        <f>$C$10*N7*'Thong so - Độ nhậy - Bảng 1'!$I$18/1000000</f>
        <v>2903.9400000000005</v>
      </c>
      <c r="O10" s="428">
        <f>$C$10*O7*'Thong so - Độ nhậy - Bảng 1'!$I$18/1000000</f>
        <v>3127.3200000000006</v>
      </c>
      <c r="P10" s="428">
        <f>$C$10*P7*'Thong so - Độ nhậy - Bảng 1'!$I$18/1000000</f>
        <v>3350.7</v>
      </c>
      <c r="Q10" s="428">
        <f>$C$10*Q7*'Thong so - Độ nhậy - Bảng 1'!$I$18/1000000</f>
        <v>3574.08</v>
      </c>
      <c r="R10" s="428">
        <f>$C$10*R7*'Thong so - Độ nhậy - Bảng 1'!$I$18/1000000</f>
        <v>3797.46</v>
      </c>
      <c r="S10" s="428">
        <f>$C$10*S7*'Thong so - Độ nhậy - Bảng 1'!$I$18/1000000</f>
        <v>4020.84</v>
      </c>
      <c r="T10" s="428">
        <f>$C$10*T7*'Thong so - Độ nhậy - Bảng 1'!$I$18/1000000</f>
        <v>4244.22</v>
      </c>
      <c r="U10" s="428">
        <f>$C$10*U7*'Thong so - Độ nhậy - Bảng 1'!$I$18/1000000</f>
        <v>4467.6000000000004</v>
      </c>
      <c r="V10" s="428">
        <f>$C$10*V7*'Thong so - Độ nhậy - Bảng 1'!$I$18/1000000</f>
        <v>4467.6000000000004</v>
      </c>
      <c r="W10" s="428">
        <f>$C$10*W7*'Thong so - Độ nhậy - Bảng 1'!$I$18/1000000</f>
        <v>4467.6000000000004</v>
      </c>
      <c r="X10" s="428">
        <f>$C$10*X7*'Thong so - Độ nhậy - Bảng 1'!$I$18/1000000</f>
        <v>4467.6000000000004</v>
      </c>
      <c r="Y10" s="428">
        <f>$C$10*Y7*'Thong so - Độ nhậy - Bảng 1'!$I$18/1000000</f>
        <v>4467.6000000000004</v>
      </c>
      <c r="Z10" s="428">
        <f>$C$10*Z7*'Thong so - Độ nhậy - Bảng 1'!$I$18/1000000</f>
        <v>4467.6000000000004</v>
      </c>
      <c r="AA10" s="428">
        <f>$C$10*AA7*'Thong so - Độ nhậy - Bảng 1'!$I$18/1000000</f>
        <v>4467.6000000000004</v>
      </c>
      <c r="AB10" s="428">
        <f>$C$10*AB7*'Thong so - Độ nhậy - Bảng 1'!$I$18/1000000</f>
        <v>4467.6000000000004</v>
      </c>
    </row>
    <row r="11" spans="1:28" ht="24.95" customHeight="1">
      <c r="A11" s="422"/>
      <c r="B11" s="427" t="s">
        <v>507</v>
      </c>
      <c r="C11" s="532">
        <v>1.7000000000000001E-2</v>
      </c>
      <c r="D11" s="428">
        <f>$C$11*D7*'Thong so - Độ nhậy - Bảng 1'!$I$19/1000000</f>
        <v>1787.04</v>
      </c>
      <c r="E11" s="428">
        <f>$C$11*E7*'Thong so - Độ nhậy - Bảng 1'!$I$19/1000000</f>
        <v>1787.04</v>
      </c>
      <c r="F11" s="428">
        <f>$C$11*F7*'Thong so - Độ nhậy - Bảng 1'!$I$19/1000000</f>
        <v>2010.42</v>
      </c>
      <c r="G11" s="428">
        <f>$C$11*G7*'Thong so - Độ nhậy - Bảng 1'!$I$19/1000000</f>
        <v>2010.42</v>
      </c>
      <c r="H11" s="428">
        <f>$C$11*H7*'Thong so - Độ nhậy - Bảng 1'!$I$19/1000000</f>
        <v>2233.8000000000002</v>
      </c>
      <c r="I11" s="428">
        <f>$C$11*I7*'Thong so - Độ nhậy - Bảng 1'!$I$19/1000000</f>
        <v>2233.8000000000002</v>
      </c>
      <c r="J11" s="428">
        <f>$C$11*J7*'Thong so - Độ nhậy - Bảng 1'!$I$19/1000000</f>
        <v>2457.1800000000003</v>
      </c>
      <c r="K11" s="428">
        <f>$C$11*K7*'Thong so - Độ nhậy - Bảng 1'!$I$19/1000000</f>
        <v>2457.1800000000003</v>
      </c>
      <c r="L11" s="428">
        <f>$C$11*L7*'Thong so - Độ nhậy - Bảng 1'!$I$19/1000000</f>
        <v>2680.5600000000004</v>
      </c>
      <c r="M11" s="428">
        <f>$C$11*M7*'Thong so - Độ nhậy - Bảng 1'!$I$19/1000000</f>
        <v>2680.5600000000004</v>
      </c>
      <c r="N11" s="428">
        <f>$C$11*N7*'Thong so - Độ nhậy - Bảng 1'!$I$19/1000000</f>
        <v>2903.9400000000005</v>
      </c>
      <c r="O11" s="428">
        <f>$C$11*O7*'Thong so - Độ nhậy - Bảng 1'!$I$19/1000000</f>
        <v>3127.3200000000006</v>
      </c>
      <c r="P11" s="428">
        <f>$C$11*P7*'Thong so - Độ nhậy - Bảng 1'!$I$19/1000000</f>
        <v>3350.7</v>
      </c>
      <c r="Q11" s="428">
        <f>$C$11*Q7*'Thong so - Độ nhậy - Bảng 1'!$I$19/1000000</f>
        <v>3574.08</v>
      </c>
      <c r="R11" s="428">
        <f>$C$11*R7*'Thong so - Độ nhậy - Bảng 1'!$I$19/1000000</f>
        <v>3797.46</v>
      </c>
      <c r="S11" s="428">
        <f>$C$11*S7*'Thong so - Độ nhậy - Bảng 1'!$I$19/1000000</f>
        <v>4020.84</v>
      </c>
      <c r="T11" s="428">
        <f>$C$11*T7*'Thong so - Độ nhậy - Bảng 1'!$I$19/1000000</f>
        <v>4244.22</v>
      </c>
      <c r="U11" s="428">
        <f>$C$11*U7*'Thong so - Độ nhậy - Bảng 1'!$I$19/1000000</f>
        <v>4467.6000000000004</v>
      </c>
      <c r="V11" s="428">
        <f>$C$11*V7*'Thong so - Độ nhậy - Bảng 1'!$I$19/1000000</f>
        <v>4467.6000000000004</v>
      </c>
      <c r="W11" s="428">
        <f>$C$11*W7*'Thong so - Độ nhậy - Bảng 1'!$I$19/1000000</f>
        <v>4467.6000000000004</v>
      </c>
      <c r="X11" s="428">
        <f>$C$11*X7*'Thong so - Độ nhậy - Bảng 1'!$I$19/1000000</f>
        <v>4467.6000000000004</v>
      </c>
      <c r="Y11" s="428">
        <f>$C$11*Y7*'Thong so - Độ nhậy - Bảng 1'!$I$19/1000000</f>
        <v>4467.6000000000004</v>
      </c>
      <c r="Z11" s="428">
        <f>$C$11*Z7*'Thong so - Độ nhậy - Bảng 1'!$I$19/1000000</f>
        <v>4467.6000000000004</v>
      </c>
      <c r="AA11" s="428">
        <f>$C$11*AA7*'Thong so - Độ nhậy - Bảng 1'!$I$19/1000000</f>
        <v>4467.6000000000004</v>
      </c>
      <c r="AB11" s="428">
        <f>$C$11*AB7*'Thong so - Độ nhậy - Bảng 1'!$I$19/1000000</f>
        <v>4467.6000000000004</v>
      </c>
    </row>
    <row r="12" spans="1:28" ht="24.95" customHeight="1">
      <c r="A12" s="422"/>
      <c r="B12" s="427" t="s">
        <v>508</v>
      </c>
      <c r="C12" s="532">
        <v>0.79630000000000001</v>
      </c>
      <c r="D12" s="428">
        <f>$C$12*D7*'Thong so - Độ nhậy - Bảng 1'!$I$20/1000000</f>
        <v>69755.88</v>
      </c>
      <c r="E12" s="428">
        <f>$C$12*E7*'Thong so - Độ nhậy - Bảng 1'!$I$20/1000000</f>
        <v>69755.88</v>
      </c>
      <c r="F12" s="428">
        <f>$C$12*F7*'Thong so - Độ nhậy - Bảng 1'!$I$20/1000000</f>
        <v>78475.365000000005</v>
      </c>
      <c r="G12" s="428">
        <f>$C$12*G7*'Thong so - Độ nhậy - Bảng 1'!$I$20/1000000</f>
        <v>78475.365000000005</v>
      </c>
      <c r="H12" s="428">
        <f>$C$12*H7*'Thong so - Độ nhậy - Bảng 1'!$I$20/1000000</f>
        <v>87194.85</v>
      </c>
      <c r="I12" s="428">
        <f>$C$12*I7*'Thong so - Độ nhậy - Bảng 1'!$I$20/1000000</f>
        <v>87194.85</v>
      </c>
      <c r="J12" s="428">
        <f>$C$12*J7*'Thong so - Độ nhậy - Bảng 1'!$I$20/1000000</f>
        <v>95914.335000000006</v>
      </c>
      <c r="K12" s="428">
        <f>$C$12*K7*'Thong so - Độ nhậy - Bảng 1'!$I$20/1000000</f>
        <v>95914.335000000006</v>
      </c>
      <c r="L12" s="428">
        <f>$C$12*L7*'Thong so - Độ nhậy - Bảng 1'!$I$20/1000000</f>
        <v>104633.82</v>
      </c>
      <c r="M12" s="428">
        <f>$C$12*M7*'Thong so - Độ nhậy - Bảng 1'!$I$20/1000000</f>
        <v>104633.82</v>
      </c>
      <c r="N12" s="428">
        <f>$C$12*N7*'Thong so - Độ nhậy - Bảng 1'!$I$20/1000000</f>
        <v>113353.30499999999</v>
      </c>
      <c r="O12" s="428">
        <f>$C$12*O7*'Thong so - Độ nhậy - Bảng 1'!$I$20/1000000</f>
        <v>122072.79</v>
      </c>
      <c r="P12" s="428">
        <f>$C$12*P7*'Thong so - Độ nhậy - Bảng 1'!$I$20/1000000</f>
        <v>130792.27499999999</v>
      </c>
      <c r="Q12" s="428">
        <f>$C$12*Q7*'Thong so - Độ nhậy - Bảng 1'!$I$20/1000000</f>
        <v>139511.76</v>
      </c>
      <c r="R12" s="428">
        <f>$C$12*R7*'Thong so - Độ nhậy - Bảng 1'!$I$20/1000000</f>
        <v>148231.245</v>
      </c>
      <c r="S12" s="428">
        <f>$C$12*S7*'Thong so - Độ nhậy - Bảng 1'!$I$20/1000000</f>
        <v>156950.73000000001</v>
      </c>
      <c r="T12" s="428">
        <f>$C$12*T7*'Thong so - Độ nhậy - Bảng 1'!$I$20/1000000</f>
        <v>165670.215</v>
      </c>
      <c r="U12" s="428">
        <f>$C$12*U7*'Thong so - Độ nhậy - Bảng 1'!$I$20/1000000</f>
        <v>174389.7</v>
      </c>
      <c r="V12" s="428">
        <f>$C$12*V7*'Thong so - Độ nhậy - Bảng 1'!$I$20/1000000</f>
        <v>174389.7</v>
      </c>
      <c r="W12" s="428">
        <f>$C$12*W7*'Thong so - Độ nhậy - Bảng 1'!$I$20/1000000</f>
        <v>174389.7</v>
      </c>
      <c r="X12" s="428">
        <f>$C$12*X7*'Thong so - Độ nhậy - Bảng 1'!$I$20/1000000</f>
        <v>174389.7</v>
      </c>
      <c r="Y12" s="428">
        <f>$C$12*Y7*'Thong so - Độ nhậy - Bảng 1'!$I$20/1000000</f>
        <v>174389.7</v>
      </c>
      <c r="Z12" s="428">
        <f>$C$12*Z7*'Thong so - Độ nhậy - Bảng 1'!$I$20/1000000</f>
        <v>174389.7</v>
      </c>
      <c r="AA12" s="428">
        <f>$C$12*AA7*'Thong so - Độ nhậy - Bảng 1'!$I$20/1000000</f>
        <v>174389.7</v>
      </c>
      <c r="AB12" s="428">
        <f>$C$12*AB7*'Thong so - Độ nhậy - Bảng 1'!$I$20/1000000</f>
        <v>174389.7</v>
      </c>
    </row>
    <row r="13" spans="1:28" ht="24.95" customHeight="1">
      <c r="A13" s="422">
        <v>4</v>
      </c>
      <c r="B13" s="423" t="s">
        <v>52</v>
      </c>
      <c r="C13" s="423"/>
      <c r="D13" s="423">
        <f>D16+D21+D22+D23+D24</f>
        <v>45453.450000000004</v>
      </c>
      <c r="E13" s="423">
        <f t="shared" ref="E13:AB13" si="1">E16+E21+E22+E23+E24</f>
        <v>45453.450000000004</v>
      </c>
      <c r="F13" s="423">
        <f t="shared" si="1"/>
        <v>51135.131250000006</v>
      </c>
      <c r="G13" s="423">
        <f t="shared" si="1"/>
        <v>51135.131250000006</v>
      </c>
      <c r="H13" s="423">
        <f t="shared" si="1"/>
        <v>56816.8125</v>
      </c>
      <c r="I13" s="423">
        <f t="shared" si="1"/>
        <v>56816.8125</v>
      </c>
      <c r="J13" s="423">
        <f t="shared" si="1"/>
        <v>62498.493749999994</v>
      </c>
      <c r="K13" s="423">
        <f t="shared" si="1"/>
        <v>62498.493749999994</v>
      </c>
      <c r="L13" s="423">
        <f t="shared" si="1"/>
        <v>68180.174999999988</v>
      </c>
      <c r="M13" s="423">
        <f t="shared" si="1"/>
        <v>68180.174999999988</v>
      </c>
      <c r="N13" s="423">
        <f t="shared" si="1"/>
        <v>73861.856250000012</v>
      </c>
      <c r="O13" s="423">
        <f t="shared" si="1"/>
        <v>79543.537500000006</v>
      </c>
      <c r="P13" s="423">
        <f t="shared" si="1"/>
        <v>85225.21875</v>
      </c>
      <c r="Q13" s="423">
        <f t="shared" si="1"/>
        <v>90906.900000000009</v>
      </c>
      <c r="R13" s="423">
        <f t="shared" si="1"/>
        <v>96588.581249999988</v>
      </c>
      <c r="S13" s="423">
        <f t="shared" si="1"/>
        <v>102270.26250000001</v>
      </c>
      <c r="T13" s="423">
        <f t="shared" si="1"/>
        <v>107951.94374999999</v>
      </c>
      <c r="U13" s="423">
        <f t="shared" si="1"/>
        <v>113633.625</v>
      </c>
      <c r="V13" s="423">
        <f t="shared" si="1"/>
        <v>113633.625</v>
      </c>
      <c r="W13" s="423">
        <f t="shared" si="1"/>
        <v>113633.625</v>
      </c>
      <c r="X13" s="423">
        <f t="shared" si="1"/>
        <v>113633.625</v>
      </c>
      <c r="Y13" s="423">
        <f t="shared" si="1"/>
        <v>113633.625</v>
      </c>
      <c r="Z13" s="423">
        <f t="shared" si="1"/>
        <v>113633.625</v>
      </c>
      <c r="AA13" s="423">
        <f t="shared" si="1"/>
        <v>113633.625</v>
      </c>
      <c r="AB13" s="423">
        <f t="shared" si="1"/>
        <v>113633.625</v>
      </c>
    </row>
    <row r="14" spans="1:28" ht="24.95" customHeight="1">
      <c r="A14" s="425"/>
      <c r="B14" s="424" t="s">
        <v>504</v>
      </c>
      <c r="C14" s="424"/>
      <c r="D14" s="548">
        <v>0.2</v>
      </c>
      <c r="E14" s="548">
        <v>0.2</v>
      </c>
      <c r="F14" s="548">
        <v>0.2</v>
      </c>
      <c r="G14" s="548">
        <v>0.2</v>
      </c>
      <c r="H14" s="548">
        <v>0.2</v>
      </c>
      <c r="I14" s="548">
        <v>0.2</v>
      </c>
      <c r="J14" s="548">
        <v>0.2</v>
      </c>
      <c r="K14" s="548">
        <v>0.2</v>
      </c>
      <c r="L14" s="548">
        <v>0.2</v>
      </c>
      <c r="M14" s="548">
        <v>0.2</v>
      </c>
      <c r="N14" s="548">
        <v>0.2</v>
      </c>
      <c r="O14" s="548">
        <v>0.2</v>
      </c>
      <c r="P14" s="548">
        <v>0.2</v>
      </c>
      <c r="Q14" s="548">
        <v>0.2</v>
      </c>
      <c r="R14" s="548">
        <v>0.2</v>
      </c>
      <c r="S14" s="548">
        <v>0.2</v>
      </c>
      <c r="T14" s="548">
        <v>0.2</v>
      </c>
      <c r="U14" s="548">
        <v>0.2</v>
      </c>
      <c r="V14" s="548">
        <v>0.2</v>
      </c>
      <c r="W14" s="548">
        <v>0.2</v>
      </c>
      <c r="X14" s="548">
        <v>0.2</v>
      </c>
      <c r="Y14" s="548">
        <v>0.2</v>
      </c>
      <c r="Z14" s="548">
        <v>0.2</v>
      </c>
      <c r="AA14" s="548">
        <v>0.2</v>
      </c>
      <c r="AB14" s="548">
        <v>0.2</v>
      </c>
    </row>
    <row r="15" spans="1:28" ht="24.95" customHeight="1">
      <c r="A15" s="422"/>
      <c r="B15" s="424" t="s">
        <v>510</v>
      </c>
      <c r="C15" s="423"/>
      <c r="D15" s="469">
        <f t="shared" ref="D15:AB15" si="2">D7/(1-D14)</f>
        <v>10950000</v>
      </c>
      <c r="E15" s="469">
        <f t="shared" si="2"/>
        <v>10950000</v>
      </c>
      <c r="F15" s="469">
        <f t="shared" si="2"/>
        <v>12318750</v>
      </c>
      <c r="G15" s="469">
        <f t="shared" si="2"/>
        <v>12318750</v>
      </c>
      <c r="H15" s="469">
        <f t="shared" si="2"/>
        <v>13687500</v>
      </c>
      <c r="I15" s="469">
        <f t="shared" si="2"/>
        <v>13687500</v>
      </c>
      <c r="J15" s="469">
        <f t="shared" si="2"/>
        <v>15056250</v>
      </c>
      <c r="K15" s="469">
        <f t="shared" si="2"/>
        <v>15056250</v>
      </c>
      <c r="L15" s="469">
        <f t="shared" si="2"/>
        <v>16425000</v>
      </c>
      <c r="M15" s="469">
        <f t="shared" si="2"/>
        <v>16425000</v>
      </c>
      <c r="N15" s="469">
        <f t="shared" si="2"/>
        <v>17793750</v>
      </c>
      <c r="O15" s="469">
        <f t="shared" si="2"/>
        <v>19162500</v>
      </c>
      <c r="P15" s="469">
        <f t="shared" si="2"/>
        <v>20531250</v>
      </c>
      <c r="Q15" s="469">
        <f t="shared" si="2"/>
        <v>21900000</v>
      </c>
      <c r="R15" s="469">
        <f t="shared" si="2"/>
        <v>23268750</v>
      </c>
      <c r="S15" s="469">
        <f t="shared" si="2"/>
        <v>24637500</v>
      </c>
      <c r="T15" s="469">
        <f t="shared" si="2"/>
        <v>26006250</v>
      </c>
      <c r="U15" s="469">
        <f t="shared" si="2"/>
        <v>27375000</v>
      </c>
      <c r="V15" s="469">
        <f t="shared" si="2"/>
        <v>27375000</v>
      </c>
      <c r="W15" s="469">
        <f t="shared" si="2"/>
        <v>27375000</v>
      </c>
      <c r="X15" s="469">
        <f t="shared" si="2"/>
        <v>27375000</v>
      </c>
      <c r="Y15" s="469">
        <f t="shared" si="2"/>
        <v>27375000</v>
      </c>
      <c r="Z15" s="469">
        <f t="shared" si="2"/>
        <v>27375000</v>
      </c>
      <c r="AA15" s="469">
        <f t="shared" si="2"/>
        <v>27375000</v>
      </c>
      <c r="AB15" s="469">
        <f t="shared" si="2"/>
        <v>27375000</v>
      </c>
    </row>
    <row r="16" spans="1:28" ht="24.95" customHeight="1">
      <c r="A16" s="429" t="s">
        <v>310</v>
      </c>
      <c r="B16" s="427" t="s">
        <v>127</v>
      </c>
      <c r="C16" s="427"/>
      <c r="D16" s="428">
        <f>SUM(D17:D20)</f>
        <v>36890.550000000003</v>
      </c>
      <c r="E16" s="428">
        <f t="shared" ref="E16:AB16" si="3">SUM(E17:E20)</f>
        <v>36890.550000000003</v>
      </c>
      <c r="F16" s="428">
        <f t="shared" si="3"/>
        <v>41501.868750000001</v>
      </c>
      <c r="G16" s="428">
        <f t="shared" si="3"/>
        <v>41501.868750000001</v>
      </c>
      <c r="H16" s="428">
        <f t="shared" si="3"/>
        <v>46113.1875</v>
      </c>
      <c r="I16" s="428">
        <f t="shared" si="3"/>
        <v>46113.1875</v>
      </c>
      <c r="J16" s="428">
        <f t="shared" si="3"/>
        <v>50724.506249999999</v>
      </c>
      <c r="K16" s="428">
        <f t="shared" si="3"/>
        <v>50724.506249999999</v>
      </c>
      <c r="L16" s="428">
        <f t="shared" si="3"/>
        <v>55335.824999999997</v>
      </c>
      <c r="M16" s="428">
        <f t="shared" si="3"/>
        <v>55335.824999999997</v>
      </c>
      <c r="N16" s="428">
        <f t="shared" si="3"/>
        <v>59947.143749999996</v>
      </c>
      <c r="O16" s="428">
        <f t="shared" si="3"/>
        <v>64558.462500000001</v>
      </c>
      <c r="P16" s="428">
        <f t="shared" si="3"/>
        <v>69169.78125</v>
      </c>
      <c r="Q16" s="428">
        <f t="shared" si="3"/>
        <v>73781.100000000006</v>
      </c>
      <c r="R16" s="428">
        <f t="shared" si="3"/>
        <v>78392.418749999997</v>
      </c>
      <c r="S16" s="428">
        <f t="shared" si="3"/>
        <v>83003.737500000003</v>
      </c>
      <c r="T16" s="428">
        <f t="shared" si="3"/>
        <v>87615.056249999994</v>
      </c>
      <c r="U16" s="428">
        <f t="shared" si="3"/>
        <v>92226.375</v>
      </c>
      <c r="V16" s="428">
        <f t="shared" si="3"/>
        <v>92226.375</v>
      </c>
      <c r="W16" s="428">
        <f t="shared" si="3"/>
        <v>92226.375</v>
      </c>
      <c r="X16" s="428">
        <f t="shared" si="3"/>
        <v>92226.375</v>
      </c>
      <c r="Y16" s="428">
        <f t="shared" si="3"/>
        <v>92226.375</v>
      </c>
      <c r="Z16" s="428">
        <f t="shared" si="3"/>
        <v>92226.375</v>
      </c>
      <c r="AA16" s="428">
        <f t="shared" si="3"/>
        <v>92226.375</v>
      </c>
      <c r="AB16" s="428">
        <f t="shared" si="3"/>
        <v>92226.375</v>
      </c>
    </row>
    <row r="17" spans="1:28" ht="24.95" customHeight="1">
      <c r="A17" s="429"/>
      <c r="B17" s="430" t="s">
        <v>431</v>
      </c>
      <c r="C17" s="430"/>
      <c r="D17" s="428">
        <f>'Thong so - Độ nhậy - Bảng 1'!$I$23*D15/1000000</f>
        <v>12045</v>
      </c>
      <c r="E17" s="428">
        <f>'Thong so - Độ nhậy - Bảng 1'!$I$23*E15/1000000</f>
        <v>12045</v>
      </c>
      <c r="F17" s="428">
        <f>'Thong so - Độ nhậy - Bảng 1'!$I$23*F15/1000000</f>
        <v>13550.625</v>
      </c>
      <c r="G17" s="428">
        <f>'Thong so - Độ nhậy - Bảng 1'!$I$23*G15/1000000</f>
        <v>13550.625</v>
      </c>
      <c r="H17" s="428">
        <f>'Thong so - Độ nhậy - Bảng 1'!$I$23*H15/1000000</f>
        <v>15056.25</v>
      </c>
      <c r="I17" s="428">
        <f>'Thong so - Độ nhậy - Bảng 1'!$I$23*I15/1000000</f>
        <v>15056.25</v>
      </c>
      <c r="J17" s="428">
        <f>'Thong so - Độ nhậy - Bảng 1'!$I$23*J15/1000000</f>
        <v>16561.875</v>
      </c>
      <c r="K17" s="428">
        <f>'Thong so - Độ nhậy - Bảng 1'!$I$23*K15/1000000</f>
        <v>16561.875</v>
      </c>
      <c r="L17" s="428">
        <f>'Thong so - Độ nhậy - Bảng 1'!$I$23*L15/1000000</f>
        <v>18067.5</v>
      </c>
      <c r="M17" s="428">
        <f>'Thong so - Độ nhậy - Bảng 1'!$I$23*M15/1000000</f>
        <v>18067.5</v>
      </c>
      <c r="N17" s="428">
        <f>'Thong so - Độ nhậy - Bảng 1'!$I$23*N15/1000000</f>
        <v>19573.125</v>
      </c>
      <c r="O17" s="428">
        <f>'Thong so - Độ nhậy - Bảng 1'!$I$23*O15/1000000</f>
        <v>21078.75</v>
      </c>
      <c r="P17" s="428">
        <f>'Thong so - Độ nhậy - Bảng 1'!$I$23*P15/1000000</f>
        <v>22584.375</v>
      </c>
      <c r="Q17" s="428">
        <f>'Thong so - Độ nhậy - Bảng 1'!$I$23*Q15/1000000</f>
        <v>24090</v>
      </c>
      <c r="R17" s="428">
        <f>'Thong so - Độ nhậy - Bảng 1'!$I$23*R15/1000000</f>
        <v>25595.625</v>
      </c>
      <c r="S17" s="428">
        <f>'Thong so - Độ nhậy - Bảng 1'!$I$23*S15/1000000</f>
        <v>27101.25</v>
      </c>
      <c r="T17" s="428">
        <f>'Thong so - Độ nhậy - Bảng 1'!$I$23*T15/1000000</f>
        <v>28606.875</v>
      </c>
      <c r="U17" s="428">
        <f>'Thong so - Độ nhậy - Bảng 1'!$I$23*U15/1000000</f>
        <v>30112.5</v>
      </c>
      <c r="V17" s="428">
        <f>'Thong so - Độ nhậy - Bảng 1'!$I$23*V15/1000000</f>
        <v>30112.5</v>
      </c>
      <c r="W17" s="428">
        <f>'Thong so - Độ nhậy - Bảng 1'!$I$23*W15/1000000</f>
        <v>30112.5</v>
      </c>
      <c r="X17" s="428">
        <f>'Thong so - Độ nhậy - Bảng 1'!$I$23*X15/1000000</f>
        <v>30112.5</v>
      </c>
      <c r="Y17" s="428">
        <f>'Thong so - Độ nhậy - Bảng 1'!$I$23*Y15/1000000</f>
        <v>30112.5</v>
      </c>
      <c r="Z17" s="428">
        <f>'Thong so - Độ nhậy - Bảng 1'!$I$23*Z15/1000000</f>
        <v>30112.5</v>
      </c>
      <c r="AA17" s="428">
        <f>'Thong so - Độ nhậy - Bảng 1'!$I$23*AA15/1000000</f>
        <v>30112.5</v>
      </c>
      <c r="AB17" s="428">
        <f>'Thong so - Độ nhậy - Bảng 1'!$I$23*AB15/1000000</f>
        <v>30112.5</v>
      </c>
    </row>
    <row r="18" spans="1:28" ht="24.95" customHeight="1">
      <c r="A18" s="429"/>
      <c r="B18" s="427" t="s">
        <v>378</v>
      </c>
      <c r="C18" s="427"/>
      <c r="D18" s="424">
        <f>'Thong so - Độ nhậy - Bảng 1'!$I$24*'KQKD- Bảng 4'!D15/1000000</f>
        <v>4412.8500000000004</v>
      </c>
      <c r="E18" s="424">
        <f>'Thong so - Độ nhậy - Bảng 1'!$I$24*'KQKD- Bảng 4'!E15/1000000</f>
        <v>4412.8500000000004</v>
      </c>
      <c r="F18" s="424">
        <f>'Thong so - Độ nhậy - Bảng 1'!$I$24*'KQKD- Bảng 4'!F15/1000000</f>
        <v>4964.4562500000002</v>
      </c>
      <c r="G18" s="424">
        <f>'Thong so - Độ nhậy - Bảng 1'!$I$24*'KQKD- Bảng 4'!G15/1000000</f>
        <v>4964.4562500000002</v>
      </c>
      <c r="H18" s="424">
        <f>'Thong so - Độ nhậy - Bảng 1'!$I$24*'KQKD- Bảng 4'!H15/1000000</f>
        <v>5516.0625</v>
      </c>
      <c r="I18" s="424">
        <f>'Thong so - Độ nhậy - Bảng 1'!$I$24*'KQKD- Bảng 4'!I15/1000000</f>
        <v>5516.0625</v>
      </c>
      <c r="J18" s="424">
        <f>'Thong so - Độ nhậy - Bảng 1'!$I$24*'KQKD- Bảng 4'!J15/1000000</f>
        <v>6067.6687499999998</v>
      </c>
      <c r="K18" s="424">
        <f>'Thong so - Độ nhậy - Bảng 1'!$I$24*'KQKD- Bảng 4'!K15/1000000</f>
        <v>6067.6687499999998</v>
      </c>
      <c r="L18" s="424">
        <f>'Thong so - Độ nhậy - Bảng 1'!$I$24*'KQKD- Bảng 4'!L15/1000000</f>
        <v>6619.2749999999996</v>
      </c>
      <c r="M18" s="424">
        <f>'Thong so - Độ nhậy - Bảng 1'!$I$24*'KQKD- Bảng 4'!M15/1000000</f>
        <v>6619.2749999999996</v>
      </c>
      <c r="N18" s="424">
        <f>'Thong so - Độ nhậy - Bảng 1'!$I$24*'KQKD- Bảng 4'!N15/1000000</f>
        <v>7170.8812500000004</v>
      </c>
      <c r="O18" s="424">
        <f>'Thong so - Độ nhậy - Bảng 1'!$I$24*'KQKD- Bảng 4'!O15/1000000</f>
        <v>7722.4875000000002</v>
      </c>
      <c r="P18" s="424">
        <f>'Thong so - Độ nhậy - Bảng 1'!$I$24*'KQKD- Bảng 4'!P15/1000000</f>
        <v>8274.09375</v>
      </c>
      <c r="Q18" s="424">
        <f>'Thong so - Độ nhậy - Bảng 1'!$I$24*'KQKD- Bảng 4'!Q15/1000000</f>
        <v>8825.7000000000007</v>
      </c>
      <c r="R18" s="424">
        <f>'Thong so - Độ nhậy - Bảng 1'!$I$24*'KQKD- Bảng 4'!R15/1000000</f>
        <v>9377.3062499999996</v>
      </c>
      <c r="S18" s="424">
        <f>'Thong so - Độ nhậy - Bảng 1'!$I$24*'KQKD- Bảng 4'!S15/1000000</f>
        <v>9928.9125000000004</v>
      </c>
      <c r="T18" s="424">
        <f>'Thong so - Độ nhậy - Bảng 1'!$I$24*'KQKD- Bảng 4'!T15/1000000</f>
        <v>10480.518749999999</v>
      </c>
      <c r="U18" s="424">
        <f>'Thong so - Độ nhậy - Bảng 1'!$I$24*'KQKD- Bảng 4'!U15/1000000</f>
        <v>11032.125</v>
      </c>
      <c r="V18" s="424">
        <f>'Thong so - Độ nhậy - Bảng 1'!$I$24*'KQKD- Bảng 4'!V15/1000000</f>
        <v>11032.125</v>
      </c>
      <c r="W18" s="424">
        <f>'Thong so - Độ nhậy - Bảng 1'!$I$24*'KQKD- Bảng 4'!W15/1000000</f>
        <v>11032.125</v>
      </c>
      <c r="X18" s="424">
        <f>'Thong so - Độ nhậy - Bảng 1'!$I$24*'KQKD- Bảng 4'!X15/1000000</f>
        <v>11032.125</v>
      </c>
      <c r="Y18" s="424">
        <f>'Thong so - Độ nhậy - Bảng 1'!$I$24*'KQKD- Bảng 4'!Y15/1000000</f>
        <v>11032.125</v>
      </c>
      <c r="Z18" s="424">
        <f>'Thong so - Độ nhậy - Bảng 1'!$I$24*'KQKD- Bảng 4'!Z15/1000000</f>
        <v>11032.125</v>
      </c>
      <c r="AA18" s="424">
        <f>'Thong so - Độ nhậy - Bảng 1'!$I$24*'KQKD- Bảng 4'!AA15/1000000</f>
        <v>11032.125</v>
      </c>
      <c r="AB18" s="424">
        <f>'Thong so - Độ nhậy - Bảng 1'!$I$24*'KQKD- Bảng 4'!AB15/1000000</f>
        <v>11032.125</v>
      </c>
    </row>
    <row r="19" spans="1:28" ht="24.95" customHeight="1">
      <c r="A19" s="429"/>
      <c r="B19" s="427" t="s">
        <v>432</v>
      </c>
      <c r="C19" s="427"/>
      <c r="D19" s="424">
        <f>'Thong so - Độ nhậy - Bảng 1'!$I$25*'KQKD- Bảng 4'!D15/1000000</f>
        <v>4007.7</v>
      </c>
      <c r="E19" s="424">
        <f>'Thong so - Độ nhậy - Bảng 1'!$I$25*'KQKD- Bảng 4'!E15/1000000</f>
        <v>4007.7</v>
      </c>
      <c r="F19" s="424">
        <f>'Thong so - Độ nhậy - Bảng 1'!$I$25*'KQKD- Bảng 4'!F15/1000000</f>
        <v>4508.6625000000004</v>
      </c>
      <c r="G19" s="424">
        <f>'Thong so - Độ nhậy - Bảng 1'!$I$25*'KQKD- Bảng 4'!G15/1000000</f>
        <v>4508.6625000000004</v>
      </c>
      <c r="H19" s="424">
        <f>'Thong so - Độ nhậy - Bảng 1'!$I$25*'KQKD- Bảng 4'!H15/1000000</f>
        <v>5009.625</v>
      </c>
      <c r="I19" s="424">
        <f>'Thong so - Độ nhậy - Bảng 1'!$I$25*'KQKD- Bảng 4'!I15/1000000</f>
        <v>5009.625</v>
      </c>
      <c r="J19" s="424">
        <f>'Thong so - Độ nhậy - Bảng 1'!$I$25*'KQKD- Bảng 4'!J15/1000000</f>
        <v>5510.5874999999996</v>
      </c>
      <c r="K19" s="424">
        <f>'Thong so - Độ nhậy - Bảng 1'!$I$25*'KQKD- Bảng 4'!K15/1000000</f>
        <v>5510.5874999999996</v>
      </c>
      <c r="L19" s="424">
        <f>'Thong so - Độ nhậy - Bảng 1'!$I$25*'KQKD- Bảng 4'!L15/1000000</f>
        <v>6011.55</v>
      </c>
      <c r="M19" s="424">
        <f>'Thong so - Độ nhậy - Bảng 1'!$I$25*'KQKD- Bảng 4'!M15/1000000</f>
        <v>6011.55</v>
      </c>
      <c r="N19" s="424">
        <f>'Thong so - Độ nhậy - Bảng 1'!$I$25*'KQKD- Bảng 4'!N15/1000000</f>
        <v>6512.5124999999998</v>
      </c>
      <c r="O19" s="424">
        <f>'Thong so - Độ nhậy - Bảng 1'!$I$25*'KQKD- Bảng 4'!O15/1000000</f>
        <v>7013.4750000000004</v>
      </c>
      <c r="P19" s="424">
        <f>'Thong so - Độ nhậy - Bảng 1'!$I$25*'KQKD- Bảng 4'!P15/1000000</f>
        <v>7514.4375</v>
      </c>
      <c r="Q19" s="424">
        <f>'Thong so - Độ nhậy - Bảng 1'!$I$25*'KQKD- Bảng 4'!Q15/1000000</f>
        <v>8015.4</v>
      </c>
      <c r="R19" s="424">
        <f>'Thong so - Độ nhậy - Bảng 1'!$I$25*'KQKD- Bảng 4'!R15/1000000</f>
        <v>8516.3624999999993</v>
      </c>
      <c r="S19" s="424">
        <f>'Thong so - Độ nhậy - Bảng 1'!$I$25*'KQKD- Bảng 4'!S15/1000000</f>
        <v>9017.3250000000007</v>
      </c>
      <c r="T19" s="424">
        <f>'Thong so - Độ nhậy - Bảng 1'!$I$25*'KQKD- Bảng 4'!T15/1000000</f>
        <v>9518.2875000000004</v>
      </c>
      <c r="U19" s="424">
        <f>'Thong so - Độ nhậy - Bảng 1'!$I$25*'KQKD- Bảng 4'!U15/1000000</f>
        <v>10019.25</v>
      </c>
      <c r="V19" s="424">
        <f>'Thong so - Độ nhậy - Bảng 1'!$I$25*'KQKD- Bảng 4'!V15/1000000</f>
        <v>10019.25</v>
      </c>
      <c r="W19" s="424">
        <f>'Thong so - Độ nhậy - Bảng 1'!$I$25*'KQKD- Bảng 4'!W15/1000000</f>
        <v>10019.25</v>
      </c>
      <c r="X19" s="424">
        <f>'Thong so - Độ nhậy - Bảng 1'!$I$25*'KQKD- Bảng 4'!X15/1000000</f>
        <v>10019.25</v>
      </c>
      <c r="Y19" s="424">
        <f>'Thong so - Độ nhậy - Bảng 1'!$I$25*'KQKD- Bảng 4'!Y15/1000000</f>
        <v>10019.25</v>
      </c>
      <c r="Z19" s="424">
        <f>'Thong so - Độ nhậy - Bảng 1'!$I$25*'KQKD- Bảng 4'!Z15/1000000</f>
        <v>10019.25</v>
      </c>
      <c r="AA19" s="424">
        <f>'Thong so - Độ nhậy - Bảng 1'!$I$25*'KQKD- Bảng 4'!AA15/1000000</f>
        <v>10019.25</v>
      </c>
      <c r="AB19" s="424">
        <f>'Thong so - Độ nhậy - Bảng 1'!$I$25*'KQKD- Bảng 4'!AB15/1000000</f>
        <v>10019.25</v>
      </c>
    </row>
    <row r="20" spans="1:28" ht="24.95" customHeight="1">
      <c r="A20" s="429"/>
      <c r="B20" s="427" t="s">
        <v>509</v>
      </c>
      <c r="C20" s="427"/>
      <c r="D20" s="424">
        <f>'Thong so - Độ nhậy - Bảng 1'!$I$26*'KQKD- Bảng 4'!D15/1000000</f>
        <v>16425</v>
      </c>
      <c r="E20" s="424">
        <f>'Thong so - Độ nhậy - Bảng 1'!$I$26*'KQKD- Bảng 4'!E15/1000000</f>
        <v>16425</v>
      </c>
      <c r="F20" s="424">
        <f>'Thong so - Độ nhậy - Bảng 1'!$I$26*'KQKD- Bảng 4'!F15/1000000</f>
        <v>18478.125</v>
      </c>
      <c r="G20" s="424">
        <f>'Thong so - Độ nhậy - Bảng 1'!$I$26*'KQKD- Bảng 4'!G15/1000000</f>
        <v>18478.125</v>
      </c>
      <c r="H20" s="424">
        <f>'Thong so - Độ nhậy - Bảng 1'!$I$26*'KQKD- Bảng 4'!H15/1000000</f>
        <v>20531.25</v>
      </c>
      <c r="I20" s="424">
        <f>'Thong so - Độ nhậy - Bảng 1'!$I$26*'KQKD- Bảng 4'!I15/1000000</f>
        <v>20531.25</v>
      </c>
      <c r="J20" s="424">
        <f>'Thong so - Độ nhậy - Bảng 1'!$I$26*'KQKD- Bảng 4'!J15/1000000</f>
        <v>22584.375</v>
      </c>
      <c r="K20" s="424">
        <f>'Thong so - Độ nhậy - Bảng 1'!$I$26*'KQKD- Bảng 4'!K15/1000000</f>
        <v>22584.375</v>
      </c>
      <c r="L20" s="424">
        <f>'Thong so - Độ nhậy - Bảng 1'!$I$26*'KQKD- Bảng 4'!L15/1000000</f>
        <v>24637.5</v>
      </c>
      <c r="M20" s="424">
        <f>'Thong so - Độ nhậy - Bảng 1'!$I$26*'KQKD- Bảng 4'!M15/1000000</f>
        <v>24637.5</v>
      </c>
      <c r="N20" s="424">
        <f>'Thong so - Độ nhậy - Bảng 1'!$I$26*'KQKD- Bảng 4'!N15/1000000</f>
        <v>26690.625</v>
      </c>
      <c r="O20" s="424">
        <f>'Thong so - Độ nhậy - Bảng 1'!$I$26*'KQKD- Bảng 4'!O15/1000000</f>
        <v>28743.75</v>
      </c>
      <c r="P20" s="424">
        <f>'Thong so - Độ nhậy - Bảng 1'!$I$26*'KQKD- Bảng 4'!P15/1000000</f>
        <v>30796.875</v>
      </c>
      <c r="Q20" s="424">
        <f>'Thong so - Độ nhậy - Bảng 1'!$I$26*'KQKD- Bảng 4'!Q15/1000000</f>
        <v>32850</v>
      </c>
      <c r="R20" s="424">
        <f>'Thong so - Độ nhậy - Bảng 1'!$I$26*'KQKD- Bảng 4'!R15/1000000</f>
        <v>34903.125</v>
      </c>
      <c r="S20" s="424">
        <f>'Thong so - Độ nhậy - Bảng 1'!$I$26*'KQKD- Bảng 4'!S15/1000000</f>
        <v>36956.25</v>
      </c>
      <c r="T20" s="424">
        <f>'Thong so - Độ nhậy - Bảng 1'!$I$26*'KQKD- Bảng 4'!T15/1000000</f>
        <v>39009.375</v>
      </c>
      <c r="U20" s="424">
        <f>'Thong so - Độ nhậy - Bảng 1'!$I$26*'KQKD- Bảng 4'!U15/1000000</f>
        <v>41062.5</v>
      </c>
      <c r="V20" s="424">
        <f>'Thong so - Độ nhậy - Bảng 1'!$I$26*'KQKD- Bảng 4'!V15/1000000</f>
        <v>41062.5</v>
      </c>
      <c r="W20" s="424">
        <f>'Thong so - Độ nhậy - Bảng 1'!$I$26*'KQKD- Bảng 4'!W15/1000000</f>
        <v>41062.5</v>
      </c>
      <c r="X20" s="424">
        <f>'Thong so - Độ nhậy - Bảng 1'!$I$26*'KQKD- Bảng 4'!X15/1000000</f>
        <v>41062.5</v>
      </c>
      <c r="Y20" s="424">
        <f>'Thong so - Độ nhậy - Bảng 1'!$I$26*'KQKD- Bảng 4'!Y15/1000000</f>
        <v>41062.5</v>
      </c>
      <c r="Z20" s="424">
        <f>'Thong so - Độ nhậy - Bảng 1'!$I$26*'KQKD- Bảng 4'!Z15/1000000</f>
        <v>41062.5</v>
      </c>
      <c r="AA20" s="424">
        <f>'Thong so - Độ nhậy - Bảng 1'!$I$26*'KQKD- Bảng 4'!AA15/1000000</f>
        <v>41062.5</v>
      </c>
      <c r="AB20" s="424">
        <f>'Thong so - Độ nhậy - Bảng 1'!$I$26*'KQKD- Bảng 4'!AB15/1000000</f>
        <v>41062.5</v>
      </c>
    </row>
    <row r="21" spans="1:28" ht="24.95" customHeight="1">
      <c r="A21" s="431" t="s">
        <v>311</v>
      </c>
      <c r="B21" s="427" t="s">
        <v>46</v>
      </c>
      <c r="C21" s="427"/>
      <c r="D21" s="424">
        <f>'Thong so - Độ nhậy - Bảng 1'!$I$28*'KQKD- Bảng 4'!D15/1000000</f>
        <v>2430.9</v>
      </c>
      <c r="E21" s="424">
        <f>'Thong so - Độ nhậy - Bảng 1'!$I$28*'KQKD- Bảng 4'!E15/1000000</f>
        <v>2430.9</v>
      </c>
      <c r="F21" s="424">
        <f>'Thong so - Độ nhậy - Bảng 1'!$I$28*'KQKD- Bảng 4'!F15/1000000</f>
        <v>2734.7624999999998</v>
      </c>
      <c r="G21" s="424">
        <f>'Thong so - Độ nhậy - Bảng 1'!$I$28*'KQKD- Bảng 4'!G15/1000000</f>
        <v>2734.7624999999998</v>
      </c>
      <c r="H21" s="424">
        <f>'Thong so - Độ nhậy - Bảng 1'!$I$28*'KQKD- Bảng 4'!H15/1000000</f>
        <v>3038.625</v>
      </c>
      <c r="I21" s="424">
        <f>'Thong so - Độ nhậy - Bảng 1'!$I$28*'KQKD- Bảng 4'!I15/1000000</f>
        <v>3038.625</v>
      </c>
      <c r="J21" s="424">
        <f>'Thong so - Độ nhậy - Bảng 1'!$I$28*'KQKD- Bảng 4'!J15/1000000</f>
        <v>3342.4875000000002</v>
      </c>
      <c r="K21" s="424">
        <f>'Thong so - Độ nhậy - Bảng 1'!$I$28*'KQKD- Bảng 4'!K15/1000000</f>
        <v>3342.4875000000002</v>
      </c>
      <c r="L21" s="424">
        <f>'Thong so - Độ nhậy - Bảng 1'!$I$28*'KQKD- Bảng 4'!L15/1000000</f>
        <v>3646.35</v>
      </c>
      <c r="M21" s="424">
        <f>'Thong so - Độ nhậy - Bảng 1'!$I$28*'KQKD- Bảng 4'!M15/1000000</f>
        <v>3646.35</v>
      </c>
      <c r="N21" s="424">
        <f>'Thong so - Độ nhậy - Bảng 1'!$I$28*'KQKD- Bảng 4'!N15/1000000</f>
        <v>3950.2125000000001</v>
      </c>
      <c r="O21" s="424">
        <f>'Thong so - Độ nhậy - Bảng 1'!$I$28*'KQKD- Bảng 4'!O15/1000000</f>
        <v>4254.0749999999998</v>
      </c>
      <c r="P21" s="424">
        <f>'Thong so - Độ nhậy - Bảng 1'!$I$28*'KQKD- Bảng 4'!P15/1000000</f>
        <v>4557.9375</v>
      </c>
      <c r="Q21" s="424">
        <f>'Thong so - Độ nhậy - Bảng 1'!$I$28*'KQKD- Bảng 4'!Q15/1000000</f>
        <v>4861.8</v>
      </c>
      <c r="R21" s="424">
        <f>'Thong so - Độ nhậy - Bảng 1'!$I$28*'KQKD- Bảng 4'!R15/1000000</f>
        <v>5165.6625000000004</v>
      </c>
      <c r="S21" s="424">
        <f>'Thong so - Độ nhậy - Bảng 1'!$I$28*'KQKD- Bảng 4'!S15/1000000</f>
        <v>5469.5249999999996</v>
      </c>
      <c r="T21" s="424">
        <f>'Thong so - Độ nhậy - Bảng 1'!$I$28*'KQKD- Bảng 4'!T15/1000000</f>
        <v>5773.3874999999998</v>
      </c>
      <c r="U21" s="424">
        <f>'Thong so - Độ nhậy - Bảng 1'!$I$28*'KQKD- Bảng 4'!U15/1000000</f>
        <v>6077.25</v>
      </c>
      <c r="V21" s="424">
        <f>'Thong so - Độ nhậy - Bảng 1'!$I$28*'KQKD- Bảng 4'!V15/1000000</f>
        <v>6077.25</v>
      </c>
      <c r="W21" s="424">
        <f>'Thong so - Độ nhậy - Bảng 1'!$I$28*'KQKD- Bảng 4'!W15/1000000</f>
        <v>6077.25</v>
      </c>
      <c r="X21" s="424">
        <f>'Thong so - Độ nhậy - Bảng 1'!$I$28*'KQKD- Bảng 4'!X15/1000000</f>
        <v>6077.25</v>
      </c>
      <c r="Y21" s="424">
        <f>'Thong so - Độ nhậy - Bảng 1'!$I$28*'KQKD- Bảng 4'!Y15/1000000</f>
        <v>6077.25</v>
      </c>
      <c r="Z21" s="424">
        <f>'Thong so - Độ nhậy - Bảng 1'!$I$28*'KQKD- Bảng 4'!Z15/1000000</f>
        <v>6077.25</v>
      </c>
      <c r="AA21" s="424">
        <f>'Thong so - Độ nhậy - Bảng 1'!$I$28*'KQKD- Bảng 4'!AA15/1000000</f>
        <v>6077.25</v>
      </c>
      <c r="AB21" s="424">
        <f>'Thong so - Độ nhậy - Bảng 1'!$I$28*'KQKD- Bảng 4'!AB15/1000000</f>
        <v>6077.25</v>
      </c>
    </row>
    <row r="22" spans="1:28" ht="24.95" customHeight="1">
      <c r="A22" s="431" t="s">
        <v>312</v>
      </c>
      <c r="B22" s="427" t="s">
        <v>141</v>
      </c>
      <c r="C22" s="427"/>
      <c r="D22" s="424">
        <f>'Thong so - Độ nhậy - Bảng 1'!$I$30*'KQKD- Bảng 4'!D15/1000000</f>
        <v>2398.0500000000002</v>
      </c>
      <c r="E22" s="424">
        <f>'Thong so - Độ nhậy - Bảng 1'!$I$30*'KQKD- Bảng 4'!E15/1000000</f>
        <v>2398.0500000000002</v>
      </c>
      <c r="F22" s="424">
        <f>'Thong so - Độ nhậy - Bảng 1'!$I$30*'KQKD- Bảng 4'!F15/1000000</f>
        <v>2697.8062500000001</v>
      </c>
      <c r="G22" s="424">
        <f>'Thong so - Độ nhậy - Bảng 1'!$I$30*'KQKD- Bảng 4'!G15/1000000</f>
        <v>2697.8062500000001</v>
      </c>
      <c r="H22" s="424">
        <f>'Thong so - Độ nhậy - Bảng 1'!$I$30*'KQKD- Bảng 4'!H15/1000000</f>
        <v>2997.5625</v>
      </c>
      <c r="I22" s="424">
        <f>'Thong so - Độ nhậy - Bảng 1'!$I$30*'KQKD- Bảng 4'!I15/1000000</f>
        <v>2997.5625</v>
      </c>
      <c r="J22" s="424">
        <f>'Thong so - Độ nhậy - Bảng 1'!$I$30*'KQKD- Bảng 4'!J15/1000000</f>
        <v>3297.3187499999999</v>
      </c>
      <c r="K22" s="424">
        <f>'Thong so - Độ nhậy - Bảng 1'!$I$30*'KQKD- Bảng 4'!K15/1000000</f>
        <v>3297.3187499999999</v>
      </c>
      <c r="L22" s="424">
        <f>'Thong so - Độ nhậy - Bảng 1'!$I$30*'KQKD- Bảng 4'!L15/1000000</f>
        <v>3597.0749999999998</v>
      </c>
      <c r="M22" s="424">
        <f>'Thong so - Độ nhậy - Bảng 1'!$I$30*'KQKD- Bảng 4'!M15/1000000</f>
        <v>3597.0749999999998</v>
      </c>
      <c r="N22" s="424">
        <f>'Thong so - Độ nhậy - Bảng 1'!$I$30*'KQKD- Bảng 4'!N15/1000000</f>
        <v>3896.8312500000002</v>
      </c>
      <c r="O22" s="424">
        <f>'Thong so - Độ nhậy - Bảng 1'!$I$30*'KQKD- Bảng 4'!O15/1000000</f>
        <v>4196.5874999999996</v>
      </c>
      <c r="P22" s="424">
        <f>'Thong so - Độ nhậy - Bảng 1'!$I$30*'KQKD- Bảng 4'!P15/1000000</f>
        <v>4496.34375</v>
      </c>
      <c r="Q22" s="424">
        <f>'Thong so - Độ nhậy - Bảng 1'!$I$30*'KQKD- Bảng 4'!Q15/1000000</f>
        <v>4796.1000000000004</v>
      </c>
      <c r="R22" s="424">
        <f>'Thong so - Độ nhậy - Bảng 1'!$I$30*'KQKD- Bảng 4'!R15/1000000</f>
        <v>5095.8562499999998</v>
      </c>
      <c r="S22" s="424">
        <f>'Thong so - Độ nhậy - Bảng 1'!$I$30*'KQKD- Bảng 4'!S15/1000000</f>
        <v>5395.6125000000002</v>
      </c>
      <c r="T22" s="424">
        <f>'Thong so - Độ nhậy - Bảng 1'!$I$30*'KQKD- Bảng 4'!T15/1000000</f>
        <v>5695.3687499999996</v>
      </c>
      <c r="U22" s="424">
        <f>'Thong so - Độ nhậy - Bảng 1'!$I$30*'KQKD- Bảng 4'!U15/1000000</f>
        <v>5995.125</v>
      </c>
      <c r="V22" s="424">
        <f>'Thong so - Độ nhậy - Bảng 1'!$I$30*'KQKD- Bảng 4'!V15/1000000</f>
        <v>5995.125</v>
      </c>
      <c r="W22" s="424">
        <f>'Thong so - Độ nhậy - Bảng 1'!$I$30*'KQKD- Bảng 4'!W15/1000000</f>
        <v>5995.125</v>
      </c>
      <c r="X22" s="424">
        <f>'Thong so - Độ nhậy - Bảng 1'!$I$30*'KQKD- Bảng 4'!X15/1000000</f>
        <v>5995.125</v>
      </c>
      <c r="Y22" s="424">
        <f>'Thong so - Độ nhậy - Bảng 1'!$I$30*'KQKD- Bảng 4'!Y15/1000000</f>
        <v>5995.125</v>
      </c>
      <c r="Z22" s="424">
        <f>'Thong so - Độ nhậy - Bảng 1'!$I$30*'KQKD- Bảng 4'!Z15/1000000</f>
        <v>5995.125</v>
      </c>
      <c r="AA22" s="424">
        <f>'Thong so - Độ nhậy - Bảng 1'!$I$30*'KQKD- Bảng 4'!AA15/1000000</f>
        <v>5995.125</v>
      </c>
      <c r="AB22" s="424">
        <f>'Thong so - Độ nhậy - Bảng 1'!$I$30*'KQKD- Bảng 4'!AB15/1000000</f>
        <v>5995.125</v>
      </c>
    </row>
    <row r="23" spans="1:28" ht="24.95" customHeight="1">
      <c r="A23" s="431" t="s">
        <v>313</v>
      </c>
      <c r="B23" s="432" t="s">
        <v>140</v>
      </c>
      <c r="C23" s="432"/>
      <c r="D23" s="424">
        <f>'Thong so - Độ nhậy - Bảng 1'!$I$29*'KQKD- Bảng 4'!D15/1000000</f>
        <v>2825.1</v>
      </c>
      <c r="E23" s="424">
        <f>'Thong so - Độ nhậy - Bảng 1'!$I$29*'KQKD- Bảng 4'!E15/1000000</f>
        <v>2825.1</v>
      </c>
      <c r="F23" s="424">
        <f>'Thong so - Độ nhậy - Bảng 1'!$I$29*'KQKD- Bảng 4'!F15/1000000</f>
        <v>3178.2375000000002</v>
      </c>
      <c r="G23" s="424">
        <f>'Thong so - Độ nhậy - Bảng 1'!$I$29*'KQKD- Bảng 4'!G15/1000000</f>
        <v>3178.2375000000002</v>
      </c>
      <c r="H23" s="424">
        <f>'Thong so - Độ nhậy - Bảng 1'!$I$29*'KQKD- Bảng 4'!H15/1000000</f>
        <v>3531.375</v>
      </c>
      <c r="I23" s="424">
        <f>'Thong so - Độ nhậy - Bảng 1'!$I$29*'KQKD- Bảng 4'!I15/1000000</f>
        <v>3531.375</v>
      </c>
      <c r="J23" s="424">
        <f>'Thong so - Độ nhậy - Bảng 1'!$I$29*'KQKD- Bảng 4'!J15/1000000</f>
        <v>3884.5124999999998</v>
      </c>
      <c r="K23" s="424">
        <f>'Thong so - Độ nhậy - Bảng 1'!$I$29*'KQKD- Bảng 4'!K15/1000000</f>
        <v>3884.5124999999998</v>
      </c>
      <c r="L23" s="424">
        <f>'Thong so - Độ nhậy - Bảng 1'!$I$29*'KQKD- Bảng 4'!L15/1000000</f>
        <v>4237.6499999999996</v>
      </c>
      <c r="M23" s="424">
        <f>'Thong so - Độ nhậy - Bảng 1'!$I$29*'KQKD- Bảng 4'!M15/1000000</f>
        <v>4237.6499999999996</v>
      </c>
      <c r="N23" s="424">
        <f>'Thong so - Độ nhậy - Bảng 1'!$I$29*'KQKD- Bảng 4'!N15/1000000</f>
        <v>4590.7875000000004</v>
      </c>
      <c r="O23" s="424">
        <f>'Thong so - Độ nhậy - Bảng 1'!$I$29*'KQKD- Bảng 4'!O15/1000000</f>
        <v>4943.9250000000002</v>
      </c>
      <c r="P23" s="424">
        <f>'Thong so - Độ nhậy - Bảng 1'!$I$29*'KQKD- Bảng 4'!P15/1000000</f>
        <v>5297.0625</v>
      </c>
      <c r="Q23" s="424">
        <f>'Thong so - Độ nhậy - Bảng 1'!$I$29*'KQKD- Bảng 4'!Q15/1000000</f>
        <v>5650.2</v>
      </c>
      <c r="R23" s="424">
        <f>'Thong so - Độ nhậy - Bảng 1'!$I$29*'KQKD- Bảng 4'!R15/1000000</f>
        <v>6003.3374999999996</v>
      </c>
      <c r="S23" s="424">
        <f>'Thong so - Độ nhậy - Bảng 1'!$I$29*'KQKD- Bảng 4'!S15/1000000</f>
        <v>6356.4750000000004</v>
      </c>
      <c r="T23" s="424">
        <f>'Thong so - Độ nhậy - Bảng 1'!$I$29*'KQKD- Bảng 4'!T15/1000000</f>
        <v>6709.6125000000002</v>
      </c>
      <c r="U23" s="424">
        <f>'Thong so - Độ nhậy - Bảng 1'!$I$29*'KQKD- Bảng 4'!U15/1000000</f>
        <v>7062.75</v>
      </c>
      <c r="V23" s="424">
        <f>'Thong so - Độ nhậy - Bảng 1'!$I$29*'KQKD- Bảng 4'!V15/1000000</f>
        <v>7062.75</v>
      </c>
      <c r="W23" s="424">
        <f>'Thong so - Độ nhậy - Bảng 1'!$I$29*'KQKD- Bảng 4'!W15/1000000</f>
        <v>7062.75</v>
      </c>
      <c r="X23" s="424">
        <f>'Thong so - Độ nhậy - Bảng 1'!$I$29*'KQKD- Bảng 4'!X15/1000000</f>
        <v>7062.75</v>
      </c>
      <c r="Y23" s="424">
        <f>'Thong so - Độ nhậy - Bảng 1'!$I$29*'KQKD- Bảng 4'!Y15/1000000</f>
        <v>7062.75</v>
      </c>
      <c r="Z23" s="424">
        <f>'Thong so - Độ nhậy - Bảng 1'!$I$29*'KQKD- Bảng 4'!Z15/1000000</f>
        <v>7062.75</v>
      </c>
      <c r="AA23" s="424">
        <f>'Thong so - Độ nhậy - Bảng 1'!$I$29*'KQKD- Bảng 4'!AA15/1000000</f>
        <v>7062.75</v>
      </c>
      <c r="AB23" s="424">
        <f>'Thong so - Độ nhậy - Bảng 1'!$I$29*'KQKD- Bảng 4'!AB15/1000000</f>
        <v>7062.75</v>
      </c>
    </row>
    <row r="24" spans="1:28" ht="24.95" customHeight="1">
      <c r="A24" s="431" t="s">
        <v>314</v>
      </c>
      <c r="B24" s="432" t="s">
        <v>139</v>
      </c>
      <c r="C24" s="432"/>
      <c r="D24" s="424">
        <f>'Thong so - Độ nhậy - Bảng 1'!$I$27*'KQKD- Bảng 4'!D15/1000000</f>
        <v>908.85</v>
      </c>
      <c r="E24" s="424">
        <f>'Thong so - Độ nhậy - Bảng 1'!$I$27*'KQKD- Bảng 4'!E15/1000000</f>
        <v>908.85</v>
      </c>
      <c r="F24" s="424">
        <f>'Thong so - Độ nhậy - Bảng 1'!$I$27*'KQKD- Bảng 4'!F15/1000000</f>
        <v>1022.45625</v>
      </c>
      <c r="G24" s="424">
        <f>'Thong so - Độ nhậy - Bảng 1'!$I$27*'KQKD- Bảng 4'!G15/1000000</f>
        <v>1022.45625</v>
      </c>
      <c r="H24" s="424">
        <f>'Thong so - Độ nhậy - Bảng 1'!$I$27*'KQKD- Bảng 4'!H15/1000000</f>
        <v>1136.0625</v>
      </c>
      <c r="I24" s="424">
        <f>'Thong so - Độ nhậy - Bảng 1'!$I$27*'KQKD- Bảng 4'!I15/1000000</f>
        <v>1136.0625</v>
      </c>
      <c r="J24" s="424">
        <f>'Thong so - Độ nhậy - Bảng 1'!$I$27*'KQKD- Bảng 4'!J15/1000000</f>
        <v>1249.66875</v>
      </c>
      <c r="K24" s="424">
        <f>'Thong so - Độ nhậy - Bảng 1'!$I$27*'KQKD- Bảng 4'!K15/1000000</f>
        <v>1249.66875</v>
      </c>
      <c r="L24" s="424">
        <f>'Thong so - Độ nhậy - Bảng 1'!$I$27*'KQKD- Bảng 4'!L15/1000000</f>
        <v>1363.2750000000001</v>
      </c>
      <c r="M24" s="424">
        <f>'Thong so - Độ nhậy - Bảng 1'!$I$27*'KQKD- Bảng 4'!M15/1000000</f>
        <v>1363.2750000000001</v>
      </c>
      <c r="N24" s="424">
        <f>'Thong so - Độ nhậy - Bảng 1'!$I$27*'KQKD- Bảng 4'!N15/1000000</f>
        <v>1476.8812499999999</v>
      </c>
      <c r="O24" s="424">
        <f>'Thong so - Độ nhậy - Bảng 1'!$I$27*'KQKD- Bảng 4'!O15/1000000</f>
        <v>1590.4875</v>
      </c>
      <c r="P24" s="424">
        <f>'Thong so - Độ nhậy - Bảng 1'!$I$27*'KQKD- Bảng 4'!P15/1000000</f>
        <v>1704.09375</v>
      </c>
      <c r="Q24" s="424">
        <f>'Thong so - Độ nhậy - Bảng 1'!$I$27*'KQKD- Bảng 4'!Q15/1000000</f>
        <v>1817.7</v>
      </c>
      <c r="R24" s="424">
        <f>'Thong so - Độ nhậy - Bảng 1'!$I$27*'KQKD- Bảng 4'!R15/1000000</f>
        <v>1931.3062500000001</v>
      </c>
      <c r="S24" s="424">
        <f>'Thong so - Độ nhậy - Bảng 1'!$I$27*'KQKD- Bảng 4'!S15/1000000</f>
        <v>2044.9124999999999</v>
      </c>
      <c r="T24" s="424">
        <f>'Thong so - Độ nhậy - Bảng 1'!$I$27*'KQKD- Bảng 4'!T15/1000000</f>
        <v>2158.5187500000002</v>
      </c>
      <c r="U24" s="424">
        <f>'Thong so - Độ nhậy - Bảng 1'!$I$27*'KQKD- Bảng 4'!U15/1000000</f>
        <v>2272.125</v>
      </c>
      <c r="V24" s="424">
        <f>'Thong so - Độ nhậy - Bảng 1'!$I$27*'KQKD- Bảng 4'!V15/1000000</f>
        <v>2272.125</v>
      </c>
      <c r="W24" s="424">
        <f>'Thong so - Độ nhậy - Bảng 1'!$I$27*'KQKD- Bảng 4'!W15/1000000</f>
        <v>2272.125</v>
      </c>
      <c r="X24" s="424">
        <f>'Thong so - Độ nhậy - Bảng 1'!$I$27*'KQKD- Bảng 4'!X15/1000000</f>
        <v>2272.125</v>
      </c>
      <c r="Y24" s="424">
        <f>'Thong so - Độ nhậy - Bảng 1'!$I$27*'KQKD- Bảng 4'!Y15/1000000</f>
        <v>2272.125</v>
      </c>
      <c r="Z24" s="424">
        <f>'Thong so - Độ nhậy - Bảng 1'!$I$27*'KQKD- Bảng 4'!Z15/1000000</f>
        <v>2272.125</v>
      </c>
      <c r="AA24" s="424">
        <f>'Thong so - Độ nhậy - Bảng 1'!$I$27*'KQKD- Bảng 4'!AA15/1000000</f>
        <v>2272.125</v>
      </c>
      <c r="AB24" s="424">
        <f>'Thong so - Độ nhậy - Bảng 1'!$I$27*'KQKD- Bảng 4'!AB15/1000000</f>
        <v>2272.125</v>
      </c>
    </row>
    <row r="25" spans="1:28" ht="24.95" customHeight="1">
      <c r="A25" s="422">
        <v>5</v>
      </c>
      <c r="B25" s="423" t="s">
        <v>404</v>
      </c>
      <c r="C25" s="423"/>
      <c r="D25" s="423">
        <f t="shared" ref="D25:AB25" si="4">D8-D13</f>
        <v>41998.943999999996</v>
      </c>
      <c r="E25" s="423">
        <f t="shared" si="4"/>
        <v>41998.943999999996</v>
      </c>
      <c r="F25" s="423">
        <f t="shared" si="4"/>
        <v>47248.812000000005</v>
      </c>
      <c r="G25" s="423">
        <f t="shared" si="4"/>
        <v>47248.812000000005</v>
      </c>
      <c r="H25" s="423">
        <f t="shared" si="4"/>
        <v>52498.680000000008</v>
      </c>
      <c r="I25" s="423">
        <f t="shared" si="4"/>
        <v>52498.680000000008</v>
      </c>
      <c r="J25" s="423">
        <f t="shared" si="4"/>
        <v>57748.54800000001</v>
      </c>
      <c r="K25" s="423">
        <f t="shared" si="4"/>
        <v>57748.54800000001</v>
      </c>
      <c r="L25" s="423">
        <f t="shared" si="4"/>
        <v>62998.416000000027</v>
      </c>
      <c r="M25" s="423">
        <f t="shared" si="4"/>
        <v>62998.416000000027</v>
      </c>
      <c r="N25" s="423">
        <f t="shared" si="4"/>
        <v>68248.283999999985</v>
      </c>
      <c r="O25" s="50">
        <f t="shared" si="4"/>
        <v>73498.151999999973</v>
      </c>
      <c r="P25" s="50">
        <f t="shared" si="4"/>
        <v>78748.01999999999</v>
      </c>
      <c r="Q25" s="50">
        <f t="shared" si="4"/>
        <v>83997.887999999992</v>
      </c>
      <c r="R25" s="50">
        <f t="shared" si="4"/>
        <v>89247.755999999994</v>
      </c>
      <c r="S25" s="50">
        <f t="shared" si="4"/>
        <v>94497.624000000011</v>
      </c>
      <c r="T25" s="50">
        <f t="shared" si="4"/>
        <v>99747.492000000013</v>
      </c>
      <c r="U25" s="50">
        <f t="shared" si="4"/>
        <v>104997.36000000002</v>
      </c>
      <c r="V25" s="50">
        <f t="shared" si="4"/>
        <v>104997.36000000002</v>
      </c>
      <c r="W25" s="50">
        <f t="shared" si="4"/>
        <v>104997.36000000002</v>
      </c>
      <c r="X25" s="50">
        <f t="shared" si="4"/>
        <v>104997.36000000002</v>
      </c>
      <c r="Y25" s="50">
        <f t="shared" si="4"/>
        <v>104997.36000000002</v>
      </c>
      <c r="Z25" s="50">
        <f t="shared" si="4"/>
        <v>104997.36000000002</v>
      </c>
      <c r="AA25" s="50">
        <f t="shared" si="4"/>
        <v>104997.36000000002</v>
      </c>
      <c r="AB25" s="50">
        <f t="shared" si="4"/>
        <v>104997.36000000002</v>
      </c>
    </row>
    <row r="26" spans="1:28" ht="24.95" customHeight="1">
      <c r="A26" s="425">
        <v>6</v>
      </c>
      <c r="B26" s="424" t="s">
        <v>30</v>
      </c>
      <c r="C26" s="424"/>
      <c r="D26" s="424">
        <f>'Khấu hao- Bảng 3'!E10</f>
        <v>10291.430453391886</v>
      </c>
      <c r="E26" s="424">
        <f>'Khấu hao- Bảng 3'!F10</f>
        <v>10291.430453391886</v>
      </c>
      <c r="F26" s="424">
        <f>'Khấu hao- Bảng 3'!G10</f>
        <v>11577.85926006587</v>
      </c>
      <c r="G26" s="424">
        <f>'Khấu hao- Bảng 3'!H10</f>
        <v>11577.85926006587</v>
      </c>
      <c r="H26" s="424">
        <f>'Khấu hao- Bảng 3'!I10</f>
        <v>12864.288066739859</v>
      </c>
      <c r="I26" s="424">
        <f>'Khấu hao- Bảng 3'!J10</f>
        <v>12864.288066739859</v>
      </c>
      <c r="J26" s="424">
        <f>'Khấu hao- Bảng 3'!K10</f>
        <v>14150.716873413841</v>
      </c>
      <c r="K26" s="424">
        <f>'Khấu hao- Bảng 3'!L10</f>
        <v>14150.716873413841</v>
      </c>
      <c r="L26" s="424">
        <f>'Khấu hao- Bảng 3'!M10</f>
        <v>15437.14568008783</v>
      </c>
      <c r="M26" s="424">
        <f>'Khấu hao- Bảng 3'!N10</f>
        <v>15437.14568008783</v>
      </c>
      <c r="N26" s="424">
        <f>'Khấu hao- Bảng 3'!O10</f>
        <v>16723.574486761816</v>
      </c>
      <c r="O26" s="424">
        <f>'Khấu hao- Bảng 3'!P10</f>
        <v>18010.003293435799</v>
      </c>
      <c r="P26" s="424">
        <f>'Khấu hao- Bảng 3'!Q10</f>
        <v>19296.432100109785</v>
      </c>
      <c r="Q26" s="424">
        <f>'Khấu hao- Bảng 3'!R10</f>
        <v>20582.860906783771</v>
      </c>
      <c r="R26" s="424">
        <f>'Khấu hao- Bảng 3'!S10</f>
        <v>21869.289713457758</v>
      </c>
      <c r="S26" s="424">
        <f>'Khấu hao- Bảng 3'!T10</f>
        <v>18339.043661747295</v>
      </c>
      <c r="T26" s="424">
        <f>'Khấu hao- Bảng 3'!U10</f>
        <v>19357.879420733258</v>
      </c>
      <c r="U26" s="424">
        <f>'Khấu hao- Bảng 3'!V10</f>
        <v>20376.71517971922</v>
      </c>
      <c r="V26" s="424">
        <f>'Khấu hao- Bảng 3'!W10</f>
        <v>20376.71517971922</v>
      </c>
      <c r="W26" s="424">
        <f>'Khấu hao- Bảng 3'!X10</f>
        <v>20376.71517971922</v>
      </c>
      <c r="X26" s="424">
        <f>'Khấu hao- Bảng 3'!Y10</f>
        <v>20376.71517971922</v>
      </c>
      <c r="Y26" s="424">
        <f>'Khấu hao- Bảng 3'!Z10</f>
        <v>20376.71517971922</v>
      </c>
      <c r="Z26" s="424">
        <f>'Khấu hao- Bảng 3'!AA10</f>
        <v>20376.71517971922</v>
      </c>
      <c r="AA26" s="424">
        <f>'Khấu hao- Bảng 3'!AB10</f>
        <v>20376.71517971922</v>
      </c>
      <c r="AB26" s="424">
        <f>'Khấu hao- Bảng 3'!AC10</f>
        <v>20376.71517971922</v>
      </c>
    </row>
    <row r="27" spans="1:28" ht="24.95" customHeight="1">
      <c r="A27" s="425">
        <v>7</v>
      </c>
      <c r="B27" s="424" t="s">
        <v>309</v>
      </c>
      <c r="C27" s="424"/>
      <c r="D27" s="424">
        <f>'VLD- Bảng 6'!D17</f>
        <v>1005.13935936</v>
      </c>
      <c r="E27" s="424">
        <f>'VLD- Bảng 6'!E17</f>
        <v>1005.13935936</v>
      </c>
      <c r="F27" s="424">
        <f>'VLD- Bảng 6'!F17</f>
        <v>1130.7817792800001</v>
      </c>
      <c r="G27" s="424">
        <f>'VLD- Bảng 6'!G17</f>
        <v>1130.7817792800001</v>
      </c>
      <c r="H27" s="424">
        <f>'VLD- Bảng 6'!H17</f>
        <v>1256.4241992</v>
      </c>
      <c r="I27" s="424">
        <f>'VLD- Bảng 6'!I17</f>
        <v>1256.4241992</v>
      </c>
      <c r="J27" s="424">
        <f>'VLD- Bảng 6'!J17</f>
        <v>1382.06661912</v>
      </c>
      <c r="K27" s="424">
        <f>'VLD- Bảng 6'!K17</f>
        <v>1382.06661912</v>
      </c>
      <c r="L27" s="424">
        <f>'VLD- Bảng 6'!L17</f>
        <v>1507.7090390399999</v>
      </c>
      <c r="M27" s="424">
        <f>'VLD- Bảng 6'!M17</f>
        <v>1507.7090390399999</v>
      </c>
      <c r="N27" s="424">
        <f>'VLD- Bảng 6'!N17</f>
        <v>1633.3514589599999</v>
      </c>
      <c r="O27" s="424">
        <f>'VLD- Bảng 6'!O17</f>
        <v>1758.99387888</v>
      </c>
      <c r="P27" s="424">
        <f>'VLD- Bảng 6'!P17</f>
        <v>1884.6362988000003</v>
      </c>
      <c r="Q27" s="424">
        <f>'VLD- Bảng 6'!Q17</f>
        <v>2010.2787187199999</v>
      </c>
      <c r="R27" s="424">
        <f>'VLD- Bảng 6'!R17</f>
        <v>2135.9211386399998</v>
      </c>
      <c r="S27" s="424">
        <f>'VLD- Bảng 6'!S17</f>
        <v>2261.5635585600003</v>
      </c>
      <c r="T27" s="424">
        <f>'VLD- Bảng 6'!T17</f>
        <v>2387.2059784800003</v>
      </c>
      <c r="U27" s="424">
        <f>'VLD- Bảng 6'!U17</f>
        <v>2512.8483984</v>
      </c>
      <c r="V27" s="424">
        <f>'VLD- Bảng 6'!V17</f>
        <v>2512.8483984</v>
      </c>
      <c r="W27" s="424">
        <f>'VLD- Bảng 6'!W17</f>
        <v>2512.8483984</v>
      </c>
      <c r="X27" s="424">
        <f>'VLD- Bảng 6'!X17</f>
        <v>2512.8483984</v>
      </c>
      <c r="Y27" s="424">
        <f>'VLD- Bảng 6'!Y17</f>
        <v>2512.8483984</v>
      </c>
      <c r="Z27" s="424">
        <f>'VLD- Bảng 6'!Z17</f>
        <v>2512.8483984</v>
      </c>
      <c r="AA27" s="424">
        <f>'VLD- Bảng 6'!AA17</f>
        <v>2512.8483984</v>
      </c>
      <c r="AB27" s="424">
        <f>'VLD- Bảng 6'!AB17</f>
        <v>2512.8483984</v>
      </c>
    </row>
    <row r="28" spans="1:28" ht="24.95" customHeight="1">
      <c r="A28" s="425">
        <v>8</v>
      </c>
      <c r="B28" s="424" t="s">
        <v>92</v>
      </c>
      <c r="C28" s="424"/>
      <c r="D28" s="424">
        <f>'KH trả nợ-Bảng 5'!C12</f>
        <v>30975</v>
      </c>
      <c r="E28" s="424">
        <f>'KH trả nợ-Bảng 5'!D12</f>
        <v>30139.145552254027</v>
      </c>
      <c r="F28" s="424">
        <f>'KH trả nợ-Bảng 5'!E12</f>
        <v>29241.890322133975</v>
      </c>
      <c r="G28" s="424">
        <f>'KH trả nợ-Bảng 5'!F12</f>
        <v>27961.035689374978</v>
      </c>
      <c r="H28" s="424">
        <f>'KH trả nợ-Bảng 5'!G12</f>
        <v>26605.646311315519</v>
      </c>
      <c r="I28" s="424">
        <f>'KH trả nợ-Bảng 5'!H12</f>
        <v>24839.998055640979</v>
      </c>
      <c r="J28" s="424">
        <f>'KH trả nợ-Bảng 5'!I12</f>
        <v>22971.604227080126</v>
      </c>
      <c r="K28" s="424">
        <f>'KH trả nợ-Bảng 5'!J12</f>
        <v>20663.099065302918</v>
      </c>
      <c r="L28" s="424">
        <f>'KH trả nợ-Bảng 5'!K12</f>
        <v>18220.258718363257</v>
      </c>
      <c r="M28" s="424">
        <f>'KH trả nợ-Bảng 5'!L12</f>
        <v>15303.879181648779</v>
      </c>
      <c r="N28" s="424">
        <f>'KH trả nợ-Bảng 5'!M12</f>
        <v>12217.791388892576</v>
      </c>
      <c r="O28" s="424">
        <f>'KH trả nợ-Bảng 5'!N12</f>
        <v>8620.7329263849206</v>
      </c>
      <c r="P28" s="424">
        <f>'KH trả nợ-Bảng 5'!O12</f>
        <v>4482.96968710705</v>
      </c>
      <c r="Q28" s="424">
        <f>'KH trả nợ-Bảng 5'!P12</f>
        <v>0</v>
      </c>
      <c r="R28" s="424">
        <f>'KH trả nợ-Bảng 5'!Q12</f>
        <v>0</v>
      </c>
      <c r="S28" s="424">
        <f>'KH trả nợ-Bảng 5'!R12</f>
        <v>0</v>
      </c>
      <c r="T28" s="424">
        <f>'KH trả nợ-Bảng 5'!S12</f>
        <v>0</v>
      </c>
      <c r="U28" s="424">
        <f>'KH trả nợ-Bảng 5'!T12</f>
        <v>0</v>
      </c>
      <c r="V28" s="424">
        <f>'KH trả nợ-Bảng 5'!U12</f>
        <v>0</v>
      </c>
      <c r="W28" s="424">
        <f>'KH trả nợ-Bảng 5'!V12</f>
        <v>0</v>
      </c>
      <c r="X28" s="424">
        <f>'KH trả nợ-Bảng 5'!W12</f>
        <v>0</v>
      </c>
      <c r="Y28" s="424">
        <f>'KH trả nợ-Bảng 5'!X12</f>
        <v>0</v>
      </c>
      <c r="Z28" s="424">
        <f>'KH trả nợ-Bảng 5'!Y12</f>
        <v>0</v>
      </c>
      <c r="AA28" s="424">
        <f>'KH trả nợ-Bảng 5'!Z12</f>
        <v>0</v>
      </c>
      <c r="AB28" s="424">
        <f>'KH trả nợ-Bảng 5'!AA12</f>
        <v>0</v>
      </c>
    </row>
    <row r="29" spans="1:28" ht="24.95" customHeight="1">
      <c r="A29" s="422">
        <v>9</v>
      </c>
      <c r="B29" s="423" t="s">
        <v>366</v>
      </c>
      <c r="C29" s="423"/>
      <c r="D29" s="423">
        <f>D25-D26-D27-D28</f>
        <v>-272.62581275188859</v>
      </c>
      <c r="E29" s="423">
        <f t="shared" ref="E29:AB29" si="5">E25-E26-E27-E28</f>
        <v>563.22863499408413</v>
      </c>
      <c r="F29" s="423">
        <f t="shared" si="5"/>
        <v>5298.2806385201584</v>
      </c>
      <c r="G29" s="423">
        <f t="shared" si="5"/>
        <v>6579.1352712791559</v>
      </c>
      <c r="H29" s="423">
        <f t="shared" si="5"/>
        <v>11772.32142274463</v>
      </c>
      <c r="I29" s="423">
        <f t="shared" si="5"/>
        <v>13537.969678419169</v>
      </c>
      <c r="J29" s="423">
        <f t="shared" si="5"/>
        <v>19244.160280386044</v>
      </c>
      <c r="K29" s="423">
        <f t="shared" si="5"/>
        <v>21552.665442163252</v>
      </c>
      <c r="L29" s="423">
        <f t="shared" si="5"/>
        <v>27833.302562508943</v>
      </c>
      <c r="M29" s="423">
        <f t="shared" si="5"/>
        <v>30749.682099223421</v>
      </c>
      <c r="N29" s="423">
        <f t="shared" si="5"/>
        <v>37673.566665385588</v>
      </c>
      <c r="O29" s="423">
        <f t="shared" si="5"/>
        <v>45108.421901299254</v>
      </c>
      <c r="P29" s="423">
        <f t="shared" si="5"/>
        <v>53083.981913983152</v>
      </c>
      <c r="Q29" s="423">
        <f t="shared" si="5"/>
        <v>61404.748374496223</v>
      </c>
      <c r="R29" s="423">
        <f t="shared" si="5"/>
        <v>65242.545147902245</v>
      </c>
      <c r="S29" s="423">
        <f t="shared" si="5"/>
        <v>73897.016779692713</v>
      </c>
      <c r="T29" s="423">
        <f t="shared" si="5"/>
        <v>78002.406600786751</v>
      </c>
      <c r="U29" s="423">
        <f t="shared" si="5"/>
        <v>82107.79642188079</v>
      </c>
      <c r="V29" s="423">
        <f t="shared" si="5"/>
        <v>82107.79642188079</v>
      </c>
      <c r="W29" s="423">
        <f t="shared" si="5"/>
        <v>82107.79642188079</v>
      </c>
      <c r="X29" s="423">
        <f t="shared" si="5"/>
        <v>82107.79642188079</v>
      </c>
      <c r="Y29" s="423">
        <f t="shared" si="5"/>
        <v>82107.79642188079</v>
      </c>
      <c r="Z29" s="423">
        <f t="shared" si="5"/>
        <v>82107.79642188079</v>
      </c>
      <c r="AA29" s="423">
        <f t="shared" si="5"/>
        <v>82107.79642188079</v>
      </c>
      <c r="AB29" s="423">
        <f t="shared" si="5"/>
        <v>82107.79642188079</v>
      </c>
    </row>
    <row r="30" spans="1:28" ht="24.95" customHeight="1">
      <c r="A30" s="425">
        <v>10</v>
      </c>
      <c r="B30" s="424" t="s">
        <v>95</v>
      </c>
      <c r="C30" s="424"/>
      <c r="D30" s="433">
        <f>IF(D29&lt;0,0,D29*'Thong so - Độ nhậy - Bảng 1'!$C$31)</f>
        <v>0</v>
      </c>
      <c r="E30" s="433">
        <f>IF(E29&lt;0,0,E29*'Thong so - Độ nhậy - Bảng 1'!$C$31)</f>
        <v>112.64572699881683</v>
      </c>
      <c r="F30" s="433">
        <f>IF(F29&lt;0,0,F29*'Thong so - Độ nhậy - Bảng 1'!$C$31)</f>
        <v>1059.6561277040316</v>
      </c>
      <c r="G30" s="433">
        <f>IF(G29&lt;0,0,G29*'Thong so - Độ nhậy - Bảng 1'!$C$31)</f>
        <v>1315.8270542558312</v>
      </c>
      <c r="H30" s="433">
        <f>IF(H29&lt;0,0,H29*'Thong so - Độ nhậy - Bảng 1'!$C$31)</f>
        <v>2354.4642845489261</v>
      </c>
      <c r="I30" s="433">
        <f>IF(I29&lt;0,0,I29*'Thong so - Độ nhậy - Bảng 1'!$C$31)</f>
        <v>2707.5939356838339</v>
      </c>
      <c r="J30" s="433">
        <f>IF(J29&lt;0,0,J29*'Thong so - Độ nhậy - Bảng 1'!$C$31)</f>
        <v>3848.832056077209</v>
      </c>
      <c r="K30" s="433">
        <f>IF(K29&lt;0,0,K29*'Thong so - Độ nhậy - Bảng 1'!$C$31)</f>
        <v>4310.5330884326504</v>
      </c>
      <c r="L30" s="433">
        <f>IF(L29&lt;0,0,L29*'Thong so - Độ nhậy - Bảng 1'!$C$31)</f>
        <v>5566.6605125017886</v>
      </c>
      <c r="M30" s="433">
        <f>IF(M29&lt;0,0,M29*'Thong so - Độ nhậy - Bảng 1'!$C$31)</f>
        <v>6149.9364198446847</v>
      </c>
      <c r="N30" s="433">
        <f>IF(N29&lt;0,0,N29*'Thong so - Độ nhậy - Bảng 1'!$C$31)</f>
        <v>7534.7133330771176</v>
      </c>
      <c r="O30" s="433">
        <f>IF(O29&lt;0,0,O29*'Thong so - Độ nhậy - Bảng 1'!$C$31)</f>
        <v>9021.6843802598505</v>
      </c>
      <c r="P30" s="433">
        <f>IF(P29&lt;0,0,P29*'Thong so - Độ nhậy - Bảng 1'!$C$31)</f>
        <v>10616.79638279663</v>
      </c>
      <c r="Q30" s="433">
        <f>IF(Q29&lt;0,0,Q29*'Thong so - Độ nhậy - Bảng 1'!$C$31)</f>
        <v>12280.949674899246</v>
      </c>
      <c r="R30" s="433">
        <f>IF(R29&lt;0,0,R29*'Thong so - Độ nhậy - Bảng 1'!$C$31)</f>
        <v>13048.509029580449</v>
      </c>
      <c r="S30" s="433">
        <f>IF(S29&lt;0,0,S29*'Thong so - Độ nhậy - Bảng 1'!$C$31)</f>
        <v>14779.403355938543</v>
      </c>
      <c r="T30" s="433">
        <f>IF(T29&lt;0,0,T29*'Thong so - Độ nhậy - Bảng 1'!$C$31)</f>
        <v>15600.481320157351</v>
      </c>
      <c r="U30" s="433">
        <f>IF(U29&lt;0,0,U29*'Thong so - Độ nhậy - Bảng 1'!$C$31)</f>
        <v>16421.559284376159</v>
      </c>
      <c r="V30" s="433">
        <f>IF(V29&lt;0,0,V29*'Thong so - Độ nhậy - Bảng 1'!$C$31)</f>
        <v>16421.559284376159</v>
      </c>
      <c r="W30" s="433">
        <f>IF(W29&lt;0,0,W29*'Thong so - Độ nhậy - Bảng 1'!$C$31)</f>
        <v>16421.559284376159</v>
      </c>
      <c r="X30" s="433">
        <f>IF(X29&lt;0,0,X29*'Thong so - Độ nhậy - Bảng 1'!$C$31)</f>
        <v>16421.559284376159</v>
      </c>
      <c r="Y30" s="433">
        <f>IF(Y29&lt;0,0,Y29*'Thong so - Độ nhậy - Bảng 1'!$C$31)</f>
        <v>16421.559284376159</v>
      </c>
      <c r="Z30" s="433">
        <f>IF(Z29&lt;0,0,Z29*'Thong so - Độ nhậy - Bảng 1'!$C$31)</f>
        <v>16421.559284376159</v>
      </c>
      <c r="AA30" s="433">
        <f>IF(AA29&lt;0,0,AA29*'Thong so - Độ nhậy - Bảng 1'!$C$31)</f>
        <v>16421.559284376159</v>
      </c>
      <c r="AB30" s="433">
        <f>IF(AB29&lt;0,0,AB29*'Thong so - Độ nhậy - Bảng 1'!$C$31)</f>
        <v>16421.559284376159</v>
      </c>
    </row>
    <row r="31" spans="1:28" ht="24.95" customHeight="1">
      <c r="A31" s="422">
        <v>12</v>
      </c>
      <c r="B31" s="423" t="s">
        <v>97</v>
      </c>
      <c r="C31" s="423"/>
      <c r="D31" s="434">
        <f t="shared" ref="D31:AB31" si="6">D29-D30</f>
        <v>-272.62581275188859</v>
      </c>
      <c r="E31" s="434">
        <f t="shared" si="6"/>
        <v>450.58290799526731</v>
      </c>
      <c r="F31" s="434">
        <f t="shared" si="6"/>
        <v>4238.6245108161265</v>
      </c>
      <c r="G31" s="434">
        <f t="shared" si="6"/>
        <v>5263.3082170233247</v>
      </c>
      <c r="H31" s="434">
        <f t="shared" si="6"/>
        <v>9417.8571381957045</v>
      </c>
      <c r="I31" s="434">
        <f t="shared" si="6"/>
        <v>10830.375742735336</v>
      </c>
      <c r="J31" s="434">
        <f t="shared" si="6"/>
        <v>15395.328224308836</v>
      </c>
      <c r="K31" s="434">
        <f t="shared" si="6"/>
        <v>17242.132353730602</v>
      </c>
      <c r="L31" s="434">
        <f t="shared" si="6"/>
        <v>22266.642050007154</v>
      </c>
      <c r="M31" s="434">
        <f t="shared" si="6"/>
        <v>24599.745679378735</v>
      </c>
      <c r="N31" s="434">
        <f t="shared" si="6"/>
        <v>30138.85333230847</v>
      </c>
      <c r="O31" s="434">
        <f t="shared" si="6"/>
        <v>36086.737521039402</v>
      </c>
      <c r="P31" s="434">
        <f t="shared" si="6"/>
        <v>42467.185531186522</v>
      </c>
      <c r="Q31" s="434">
        <f t="shared" si="6"/>
        <v>49123.798699596977</v>
      </c>
      <c r="R31" s="434">
        <f t="shared" si="6"/>
        <v>52194.036118321797</v>
      </c>
      <c r="S31" s="434">
        <f t="shared" si="6"/>
        <v>59117.61342375417</v>
      </c>
      <c r="T31" s="434">
        <f t="shared" si="6"/>
        <v>62401.925280629403</v>
      </c>
      <c r="U31" s="434">
        <f t="shared" si="6"/>
        <v>65686.237137504635</v>
      </c>
      <c r="V31" s="434">
        <f t="shared" si="6"/>
        <v>65686.237137504635</v>
      </c>
      <c r="W31" s="434">
        <f t="shared" si="6"/>
        <v>65686.237137504635</v>
      </c>
      <c r="X31" s="434">
        <f t="shared" si="6"/>
        <v>65686.237137504635</v>
      </c>
      <c r="Y31" s="434">
        <f t="shared" si="6"/>
        <v>65686.237137504635</v>
      </c>
      <c r="Z31" s="434">
        <f t="shared" si="6"/>
        <v>65686.237137504635</v>
      </c>
      <c r="AA31" s="434">
        <f t="shared" si="6"/>
        <v>65686.237137504635</v>
      </c>
      <c r="AB31" s="434">
        <f t="shared" si="6"/>
        <v>65686.237137504635</v>
      </c>
    </row>
    <row r="32" spans="1:28">
      <c r="D32" s="93"/>
      <c r="E32" s="274">
        <f>E26+E31</f>
        <v>10742.013361387153</v>
      </c>
      <c r="F32" s="93"/>
      <c r="G32" s="93"/>
      <c r="H32" s="93"/>
      <c r="I32" s="93"/>
      <c r="J32" s="93"/>
      <c r="K32" s="93"/>
      <c r="L32" s="93"/>
      <c r="M32" s="93"/>
    </row>
    <row r="33" spans="2:18">
      <c r="D33" s="274">
        <f>D13+D27</f>
        <v>46458.589359360005</v>
      </c>
      <c r="E33" s="274">
        <f>E27+E32</f>
        <v>11747.152720747154</v>
      </c>
      <c r="F33" s="93">
        <f t="shared" ref="F33:M33" si="7">IF(F30&lt;=0,0,1)</f>
        <v>1</v>
      </c>
      <c r="G33" s="93">
        <f t="shared" si="7"/>
        <v>1</v>
      </c>
      <c r="H33" s="93">
        <f t="shared" si="7"/>
        <v>1</v>
      </c>
      <c r="I33" s="93">
        <f t="shared" si="7"/>
        <v>1</v>
      </c>
      <c r="J33" s="93">
        <f t="shared" si="7"/>
        <v>1</v>
      </c>
      <c r="K33" s="93">
        <f t="shared" si="7"/>
        <v>1</v>
      </c>
      <c r="L33" s="93">
        <f t="shared" si="7"/>
        <v>1</v>
      </c>
      <c r="M33" s="93">
        <f t="shared" si="7"/>
        <v>1</v>
      </c>
    </row>
    <row r="34" spans="2:18">
      <c r="D34" s="93">
        <f>D33+B34</f>
        <v>46458.589359360005</v>
      </c>
      <c r="E34" s="274">
        <f>E28+E33</f>
        <v>41886.298273001179</v>
      </c>
      <c r="F34" s="93">
        <f t="shared" ref="F34:M34" si="8">F33+E34</f>
        <v>41887.298273001179</v>
      </c>
      <c r="G34" s="93">
        <f t="shared" si="8"/>
        <v>41888.298273001179</v>
      </c>
      <c r="H34" s="93">
        <f t="shared" si="8"/>
        <v>41889.298273001179</v>
      </c>
      <c r="I34" s="93">
        <f t="shared" si="8"/>
        <v>41890.298273001179</v>
      </c>
      <c r="J34" s="93">
        <f t="shared" si="8"/>
        <v>41891.298273001179</v>
      </c>
      <c r="K34" s="93">
        <f t="shared" si="8"/>
        <v>41892.298273001179</v>
      </c>
      <c r="L34" s="93">
        <f t="shared" si="8"/>
        <v>41893.298273001179</v>
      </c>
      <c r="M34" s="93">
        <f t="shared" si="8"/>
        <v>41894.298273001179</v>
      </c>
    </row>
    <row r="35" spans="2:18">
      <c r="D35" s="96" t="e">
        <f>IF(D33&lt;=0,0,SUM(D30:$M$30,#REF!))</f>
        <v>#REF!</v>
      </c>
      <c r="E35" s="274">
        <f>E29+E34</f>
        <v>42449.526907995263</v>
      </c>
      <c r="F35" s="96" t="e">
        <f>IF(F33&lt;=0,0,SUM(F30:$M$30,#REF!))</f>
        <v>#REF!</v>
      </c>
      <c r="G35" s="96" t="e">
        <f>IF(G33&lt;=0,0,SUM(G30:$M$30,#REF!))</f>
        <v>#REF!</v>
      </c>
      <c r="H35" s="96" t="e">
        <f>IF(H33&lt;=0,0,SUM(H30:$M$30,#REF!))</f>
        <v>#REF!</v>
      </c>
      <c r="I35" s="96" t="e">
        <f>IF(I33&lt;=0,0,SUM(I30:$M$30,#REF!))</f>
        <v>#REF!</v>
      </c>
      <c r="J35" s="96" t="e">
        <f>IF(J33&lt;=0,0,SUM(J30:$M$30,#REF!))</f>
        <v>#REF!</v>
      </c>
      <c r="K35" s="96" t="e">
        <f>IF(K33&lt;=0,0,SUM(K30:$M$30,#REF!))</f>
        <v>#REF!</v>
      </c>
      <c r="L35" s="96" t="e">
        <f>IF(L33&lt;=0,0,SUM(L30:$M$30,#REF!))</f>
        <v>#REF!</v>
      </c>
      <c r="M35" s="96" t="e">
        <f>IF(M33&lt;=0,0,SUM(M30:$M$30,#REF!))</f>
        <v>#REF!</v>
      </c>
    </row>
    <row r="36" spans="2:18">
      <c r="D36" s="100" t="e">
        <f>#REF!/D30*100</f>
        <v>#REF!</v>
      </c>
      <c r="E36" s="274">
        <f>E30+E35</f>
        <v>42562.17263499408</v>
      </c>
      <c r="F36" s="100" t="e">
        <f>#REF!/F30*100</f>
        <v>#REF!</v>
      </c>
      <c r="G36" s="100" t="e">
        <f>#REF!/G30*100</f>
        <v>#REF!</v>
      </c>
      <c r="H36" s="100" t="e">
        <f>#REF!/H30*100</f>
        <v>#REF!</v>
      </c>
      <c r="I36" s="100" t="e">
        <f>#REF!/I30*100</f>
        <v>#REF!</v>
      </c>
      <c r="J36" s="100" t="e">
        <f>#REF!/J30*100</f>
        <v>#REF!</v>
      </c>
      <c r="K36" s="100" t="e">
        <f>#REF!/K30*100</f>
        <v>#REF!</v>
      </c>
      <c r="L36" s="100" t="e">
        <f>#REF!/L30*100</f>
        <v>#REF!</v>
      </c>
      <c r="M36" s="100" t="e">
        <f>#REF!/M30*100</f>
        <v>#REF!</v>
      </c>
    </row>
    <row r="37" spans="2:18"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2:18">
      <c r="D38" s="125">
        <f t="shared" ref="D38:M38" si="9">D26</f>
        <v>10291.430453391886</v>
      </c>
      <c r="E38" s="125">
        <f t="shared" si="9"/>
        <v>10291.430453391886</v>
      </c>
      <c r="F38" s="125">
        <f t="shared" si="9"/>
        <v>11577.85926006587</v>
      </c>
      <c r="G38" s="125">
        <f t="shared" si="9"/>
        <v>11577.85926006587</v>
      </c>
      <c r="H38" s="125">
        <f t="shared" si="9"/>
        <v>12864.288066739859</v>
      </c>
      <c r="I38" s="125">
        <f t="shared" si="9"/>
        <v>12864.288066739859</v>
      </c>
      <c r="J38" s="125">
        <f t="shared" si="9"/>
        <v>14150.716873413841</v>
      </c>
      <c r="K38" s="125">
        <f t="shared" si="9"/>
        <v>14150.716873413841</v>
      </c>
      <c r="L38" s="125">
        <f t="shared" si="9"/>
        <v>15437.14568008783</v>
      </c>
      <c r="M38" s="125">
        <f t="shared" si="9"/>
        <v>15437.14568008783</v>
      </c>
    </row>
    <row r="39" spans="2:18">
      <c r="D39" s="125">
        <f>D31</f>
        <v>-272.62581275188859</v>
      </c>
      <c r="E39" s="125">
        <f t="shared" ref="E39:M39" si="10">E31</f>
        <v>450.58290799526731</v>
      </c>
      <c r="F39" s="125">
        <f t="shared" si="10"/>
        <v>4238.6245108161265</v>
      </c>
      <c r="G39" s="125">
        <f t="shared" si="10"/>
        <v>5263.3082170233247</v>
      </c>
      <c r="H39" s="125">
        <f t="shared" si="10"/>
        <v>9417.8571381957045</v>
      </c>
      <c r="I39" s="125">
        <f t="shared" si="10"/>
        <v>10830.375742735336</v>
      </c>
      <c r="J39" s="125">
        <f t="shared" si="10"/>
        <v>15395.328224308836</v>
      </c>
      <c r="K39" s="125">
        <f t="shared" si="10"/>
        <v>17242.132353730602</v>
      </c>
      <c r="L39" s="125">
        <f t="shared" si="10"/>
        <v>22266.642050007154</v>
      </c>
      <c r="M39" s="125">
        <f t="shared" si="10"/>
        <v>24599.745679378735</v>
      </c>
    </row>
    <row r="40" spans="2:18">
      <c r="D40" s="125">
        <f>SUM(D38:D39)</f>
        <v>10018.804640639997</v>
      </c>
      <c r="E40" s="125">
        <f t="shared" ref="E40:M40" si="11">SUM(E38:E39)</f>
        <v>10742.013361387153</v>
      </c>
      <c r="F40" s="125">
        <f t="shared" si="11"/>
        <v>15816.483770881998</v>
      </c>
      <c r="G40" s="125">
        <f t="shared" si="11"/>
        <v>16841.167477089195</v>
      </c>
      <c r="H40" s="125">
        <f t="shared" si="11"/>
        <v>22282.145204935565</v>
      </c>
      <c r="I40" s="125">
        <f t="shared" si="11"/>
        <v>23694.663809475194</v>
      </c>
      <c r="J40" s="125">
        <f t="shared" si="11"/>
        <v>29546.045097722679</v>
      </c>
      <c r="K40" s="125">
        <f t="shared" si="11"/>
        <v>31392.849227144441</v>
      </c>
      <c r="L40" s="125">
        <f t="shared" si="11"/>
        <v>37703.787730094984</v>
      </c>
      <c r="M40" s="125">
        <f t="shared" si="11"/>
        <v>40036.891359466565</v>
      </c>
    </row>
    <row r="41" spans="2:18">
      <c r="B41" s="111">
        <f>'Thong so - Độ nhậy - Bảng 1'!C5</f>
        <v>425835</v>
      </c>
      <c r="C41" s="111"/>
      <c r="D41" s="126">
        <f>B41-D40</f>
        <v>415816.19535936002</v>
      </c>
      <c r="E41" s="126">
        <f t="shared" ref="E41:M41" si="12">D41-E40</f>
        <v>405074.18199797289</v>
      </c>
      <c r="F41" s="126">
        <f t="shared" si="12"/>
        <v>389257.69822709088</v>
      </c>
      <c r="G41" s="126">
        <f t="shared" si="12"/>
        <v>372416.53075000166</v>
      </c>
      <c r="H41" s="126">
        <f t="shared" si="12"/>
        <v>350134.38554506609</v>
      </c>
      <c r="I41" s="126">
        <f t="shared" si="12"/>
        <v>326439.72173559089</v>
      </c>
      <c r="J41" s="126">
        <f t="shared" si="12"/>
        <v>296893.67663786822</v>
      </c>
      <c r="K41" s="126">
        <f t="shared" si="12"/>
        <v>265500.82741072378</v>
      </c>
      <c r="L41" s="126">
        <f t="shared" si="12"/>
        <v>227797.0396806288</v>
      </c>
      <c r="M41" s="126">
        <f t="shared" si="12"/>
        <v>187760.14832116224</v>
      </c>
    </row>
    <row r="43" spans="2:18">
      <c r="D43" s="371" t="e">
        <f>D26/#REF!</f>
        <v>#REF!</v>
      </c>
    </row>
    <row r="44" spans="2:18">
      <c r="D44" s="1" t="e">
        <f>H27/#REF!</f>
        <v>#REF!</v>
      </c>
      <c r="F44" s="1">
        <v>1</v>
      </c>
      <c r="G44" s="1">
        <v>2</v>
      </c>
      <c r="H44" s="1">
        <v>3</v>
      </c>
      <c r="I44" s="1">
        <v>4</v>
      </c>
      <c r="J44" s="1">
        <v>5</v>
      </c>
      <c r="K44" s="1">
        <v>6</v>
      </c>
      <c r="L44" s="1">
        <v>7</v>
      </c>
      <c r="M44" s="1">
        <v>8</v>
      </c>
      <c r="N44" s="1">
        <v>9</v>
      </c>
      <c r="O44" s="1">
        <v>10</v>
      </c>
      <c r="P44" s="1">
        <v>11</v>
      </c>
      <c r="Q44" s="1">
        <v>12</v>
      </c>
      <c r="R44" s="1">
        <v>13</v>
      </c>
    </row>
  </sheetData>
  <mergeCells count="2">
    <mergeCell ref="A1:R2"/>
    <mergeCell ref="D3:N3"/>
  </mergeCells>
  <printOptions horizontalCentered="1"/>
  <pageMargins left="0.19685039400000001" right="0.19685039400000001" top="0.35433070900000002" bottom="0.27559055100000002" header="0.196850393700787" footer="0.196850393700787"/>
  <pageSetup paperSize="9" scale="60" fitToWidth="3" orientation="landscape" horizontalDpi="300" verticalDpi="300" r:id="rId1"/>
  <headerFooter alignWithMargins="0"/>
  <ignoredErrors>
    <ignoredError sqref="F35:M35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53"/>
  <sheetViews>
    <sheetView showGridLines="0" topLeftCell="J1" zoomScale="70" zoomScaleNormal="70" zoomScaleSheetLayoutView="100" workbookViewId="0">
      <selection activeCell="Q18" sqref="A1:Q18"/>
    </sheetView>
  </sheetViews>
  <sheetFormatPr defaultColWidth="11.42578125" defaultRowHeight="12.75"/>
  <cols>
    <col min="1" max="1" width="23.140625" style="1" customWidth="1"/>
    <col min="2" max="2" width="15.42578125" style="1" customWidth="1"/>
    <col min="3" max="3" width="14.42578125" style="1" customWidth="1"/>
    <col min="4" max="4" width="13.85546875" style="1" customWidth="1"/>
    <col min="5" max="5" width="14.28515625" style="1" customWidth="1"/>
    <col min="6" max="7" width="14.42578125" style="1" customWidth="1"/>
    <col min="8" max="8" width="14.7109375" style="1" customWidth="1"/>
    <col min="9" max="11" width="14.28515625" style="1" customWidth="1"/>
    <col min="12" max="18" width="12" style="1" bestFit="1" customWidth="1"/>
    <col min="19" max="19" width="8.42578125" style="1" customWidth="1"/>
    <col min="20" max="20" width="8.28515625" style="1" customWidth="1"/>
    <col min="21" max="25" width="8.140625" style="1" bestFit="1" customWidth="1"/>
    <col min="26" max="26" width="8.42578125" style="1" customWidth="1"/>
    <col min="27" max="27" width="9.42578125" style="1" customWidth="1"/>
    <col min="28" max="16384" width="11.42578125" style="1"/>
  </cols>
  <sheetData>
    <row r="1" spans="1:27" ht="23.25" customHeight="1">
      <c r="A1" s="667" t="s">
        <v>412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2"/>
    </row>
    <row r="2" spans="1:27" ht="15.75" hidden="1" customHeight="1">
      <c r="B2" s="291">
        <v>0</v>
      </c>
      <c r="C2" s="291">
        <v>1</v>
      </c>
      <c r="D2" s="291">
        <v>2</v>
      </c>
      <c r="E2" s="291">
        <v>3</v>
      </c>
      <c r="F2" s="291">
        <v>4</v>
      </c>
      <c r="G2" s="291">
        <v>5</v>
      </c>
      <c r="H2" s="291">
        <v>6</v>
      </c>
      <c r="I2" s="291">
        <v>7</v>
      </c>
      <c r="J2" s="291">
        <v>8</v>
      </c>
      <c r="K2" s="291">
        <v>9</v>
      </c>
      <c r="L2" s="291">
        <v>10</v>
      </c>
      <c r="M2" s="276">
        <v>10</v>
      </c>
      <c r="N2" s="276">
        <v>11</v>
      </c>
      <c r="O2" s="276">
        <v>14</v>
      </c>
      <c r="P2" s="276">
        <v>15</v>
      </c>
      <c r="Q2" s="276">
        <v>16</v>
      </c>
      <c r="R2" s="276">
        <v>17</v>
      </c>
      <c r="S2" s="276">
        <v>18</v>
      </c>
      <c r="T2" s="276">
        <v>19</v>
      </c>
      <c r="U2" s="276">
        <v>20</v>
      </c>
      <c r="V2" s="276">
        <v>21</v>
      </c>
      <c r="W2" s="276">
        <v>22</v>
      </c>
      <c r="X2" s="276">
        <v>23</v>
      </c>
      <c r="Y2" s="276">
        <v>24</v>
      </c>
      <c r="Z2" s="276">
        <v>25</v>
      </c>
      <c r="AA2" s="4"/>
    </row>
    <row r="3" spans="1:27" ht="24.95" customHeight="1">
      <c r="A3" s="390" t="s">
        <v>367</v>
      </c>
      <c r="B3" s="401" t="s">
        <v>19</v>
      </c>
      <c r="C3" s="390" t="s">
        <v>315</v>
      </c>
      <c r="D3" s="390" t="s">
        <v>316</v>
      </c>
      <c r="E3" s="390" t="s">
        <v>319</v>
      </c>
      <c r="F3" s="390" t="s">
        <v>320</v>
      </c>
      <c r="G3" s="390" t="s">
        <v>321</v>
      </c>
      <c r="H3" s="390" t="s">
        <v>322</v>
      </c>
      <c r="I3" s="390" t="s">
        <v>323</v>
      </c>
      <c r="J3" s="390" t="s">
        <v>324</v>
      </c>
      <c r="K3" s="390" t="s">
        <v>325</v>
      </c>
      <c r="L3" s="390" t="s">
        <v>326</v>
      </c>
      <c r="M3" s="390" t="s">
        <v>327</v>
      </c>
      <c r="N3" s="390" t="s">
        <v>328</v>
      </c>
      <c r="O3" s="390" t="s">
        <v>329</v>
      </c>
      <c r="P3" s="390" t="s">
        <v>330</v>
      </c>
      <c r="Q3" s="390" t="s">
        <v>492</v>
      </c>
      <c r="R3" s="390" t="s">
        <v>493</v>
      </c>
      <c r="S3" s="390" t="s">
        <v>494</v>
      </c>
      <c r="T3" s="390" t="s">
        <v>495</v>
      </c>
      <c r="U3" s="390" t="s">
        <v>496</v>
      </c>
      <c r="V3" s="390" t="s">
        <v>497</v>
      </c>
      <c r="W3" s="390" t="s">
        <v>498</v>
      </c>
      <c r="X3" s="390" t="s">
        <v>499</v>
      </c>
      <c r="Y3" s="390" t="s">
        <v>500</v>
      </c>
      <c r="Z3" s="390" t="s">
        <v>501</v>
      </c>
      <c r="AA3" s="390" t="s">
        <v>502</v>
      </c>
    </row>
    <row r="4" spans="1:27" ht="24.95" customHeight="1">
      <c r="A4" s="402" t="s">
        <v>410</v>
      </c>
      <c r="B4" s="403"/>
      <c r="C4" s="533">
        <f>SUM(C5:C6)</f>
        <v>7960.51854996162</v>
      </c>
      <c r="D4" s="533">
        <f t="shared" ref="D4:Z4" si="0">SUM(D5:D6)</f>
        <v>8545.287905905263</v>
      </c>
      <c r="E4" s="533">
        <f t="shared" si="0"/>
        <v>12198.615550085678</v>
      </c>
      <c r="F4" s="533">
        <f t="shared" si="0"/>
        <v>12908.470267232946</v>
      </c>
      <c r="G4" s="533">
        <f t="shared" si="0"/>
        <v>16815.697673090865</v>
      </c>
      <c r="H4" s="533">
        <f t="shared" si="0"/>
        <v>17794.226938674776</v>
      </c>
      <c r="I4" s="533">
        <f t="shared" si="0"/>
        <v>21985.763445497214</v>
      </c>
      <c r="J4" s="533">
        <f t="shared" si="0"/>
        <v>23265.146161330122</v>
      </c>
      <c r="K4" s="533">
        <f t="shared" si="0"/>
        <v>27775.043206804534</v>
      </c>
      <c r="L4" s="533">
        <f t="shared" si="0"/>
        <v>29391.312311963833</v>
      </c>
      <c r="M4" s="534">
        <f t="shared" si="0"/>
        <v>34257.699642930056</v>
      </c>
      <c r="N4" s="534">
        <f t="shared" si="0"/>
        <v>39407.268945503536</v>
      </c>
      <c r="O4" s="534">
        <f t="shared" si="0"/>
        <v>44856.498979714976</v>
      </c>
      <c r="P4" s="534">
        <f t="shared" si="0"/>
        <v>50497.043796348938</v>
      </c>
      <c r="Q4" s="534">
        <f t="shared" si="0"/>
        <v>53653.109033620756</v>
      </c>
      <c r="R4" s="534">
        <f t="shared" si="0"/>
        <v>55625.254692892413</v>
      </c>
      <c r="S4" s="534">
        <f t="shared" si="0"/>
        <v>58715.546620275338</v>
      </c>
      <c r="T4" s="534">
        <f t="shared" si="0"/>
        <v>61805.838547658248</v>
      </c>
      <c r="U4" s="534">
        <f t="shared" si="0"/>
        <v>61805.838547658248</v>
      </c>
      <c r="V4" s="534">
        <f t="shared" si="0"/>
        <v>61805.838547658248</v>
      </c>
      <c r="W4" s="534">
        <f t="shared" si="0"/>
        <v>61805.838547658248</v>
      </c>
      <c r="X4" s="534">
        <f t="shared" si="0"/>
        <v>61805.838547658248</v>
      </c>
      <c r="Y4" s="534">
        <f t="shared" si="0"/>
        <v>61805.838547658248</v>
      </c>
      <c r="Z4" s="534">
        <f t="shared" si="0"/>
        <v>61805.838547658248</v>
      </c>
      <c r="AA4" s="535"/>
    </row>
    <row r="5" spans="1:27" ht="24.95" customHeight="1">
      <c r="A5" s="404" t="s">
        <v>369</v>
      </c>
      <c r="B5" s="405"/>
      <c r="C5" s="536">
        <f>'Thong so - Độ nhậy - Bảng 1'!$N$11*'KQKD- Bảng 4'!D26</f>
        <v>8233.1443627135086</v>
      </c>
      <c r="D5" s="536">
        <f>'Thong so - Độ nhậy - Bảng 1'!$N$11*'KQKD- Bảng 4'!E26</f>
        <v>8233.1443627135086</v>
      </c>
      <c r="E5" s="536">
        <f>'Thong so - Độ nhậy - Bảng 1'!$N$11*'KQKD- Bảng 4'!F26</f>
        <v>9262.2874080526963</v>
      </c>
      <c r="F5" s="536">
        <f>'Thong so - Độ nhậy - Bảng 1'!$N$11*'KQKD- Bảng 4'!G26</f>
        <v>9262.2874080526963</v>
      </c>
      <c r="G5" s="536">
        <f>'Thong so - Độ nhậy - Bảng 1'!$N$11*'KQKD- Bảng 4'!H26</f>
        <v>10291.430453391888</v>
      </c>
      <c r="H5" s="536">
        <f>'Thong so - Độ nhậy - Bảng 1'!$N$11*'KQKD- Bảng 4'!I26</f>
        <v>10291.430453391888</v>
      </c>
      <c r="I5" s="536">
        <f>'Thong so - Độ nhậy - Bảng 1'!$N$11*'KQKD- Bảng 4'!J26</f>
        <v>11320.573498731073</v>
      </c>
      <c r="J5" s="536">
        <f>'Thong so - Độ nhậy - Bảng 1'!$N$11*'KQKD- Bảng 4'!K26</f>
        <v>11320.573498731073</v>
      </c>
      <c r="K5" s="536">
        <f>'Thong so - Độ nhậy - Bảng 1'!$N$11*'KQKD- Bảng 4'!L26</f>
        <v>12349.716544070265</v>
      </c>
      <c r="L5" s="536">
        <f>'Thong so - Độ nhậy - Bảng 1'!$N$11*'KQKD- Bảng 4'!M26</f>
        <v>12349.716544070265</v>
      </c>
      <c r="M5" s="536">
        <f>'Thong so - Độ nhậy - Bảng 1'!$N$11*'KQKD- Bảng 4'!N26</f>
        <v>13378.859589409454</v>
      </c>
      <c r="N5" s="536">
        <f>'Thong so - Độ nhậy - Bảng 1'!$N$11*'KQKD- Bảng 4'!O26</f>
        <v>14408.00263474864</v>
      </c>
      <c r="O5" s="536">
        <f>'Thong so - Độ nhậy - Bảng 1'!$N$11*'KQKD- Bảng 4'!P26</f>
        <v>15437.14568008783</v>
      </c>
      <c r="P5" s="536">
        <f>'Thong so - Độ nhậy - Bảng 1'!$N$11*'KQKD- Bảng 4'!Q26</f>
        <v>16466.288725427017</v>
      </c>
      <c r="Q5" s="536">
        <f>'Thong so - Độ nhậy - Bảng 1'!$N$11*'KQKD- Bảng 4'!R26</f>
        <v>17495.431770766209</v>
      </c>
      <c r="R5" s="536">
        <f>'Thong so - Độ nhậy - Bảng 1'!$N$11*'KQKD- Bảng 4'!S26</f>
        <v>14671.234929397837</v>
      </c>
      <c r="S5" s="536">
        <f>'Thong so - Độ nhậy - Bảng 1'!$N$11*'KQKD- Bảng 4'!T26</f>
        <v>15486.303536586607</v>
      </c>
      <c r="T5" s="536">
        <f>'Thong so - Độ nhậy - Bảng 1'!$N$11*'KQKD- Bảng 4'!U26</f>
        <v>16301.372143775377</v>
      </c>
      <c r="U5" s="536">
        <f>'Thong so - Độ nhậy - Bảng 1'!$N$11*'KQKD- Bảng 4'!V26</f>
        <v>16301.372143775377</v>
      </c>
      <c r="V5" s="536">
        <f>'Thong so - Độ nhậy - Bảng 1'!$N$11*'KQKD- Bảng 4'!W26</f>
        <v>16301.372143775377</v>
      </c>
      <c r="W5" s="536">
        <f>'Thong so - Độ nhậy - Bảng 1'!$N$11*'KQKD- Bảng 4'!X26</f>
        <v>16301.372143775377</v>
      </c>
      <c r="X5" s="536">
        <f>'Thong so - Độ nhậy - Bảng 1'!$N$11*'KQKD- Bảng 4'!Y26</f>
        <v>16301.372143775377</v>
      </c>
      <c r="Y5" s="536">
        <f>'Thong so - Độ nhậy - Bảng 1'!$N$11*'KQKD- Bảng 4'!Z26</f>
        <v>16301.372143775377</v>
      </c>
      <c r="Z5" s="536">
        <f>'Thong so - Độ nhậy - Bảng 1'!$N$11*'KQKD- Bảng 4'!AA26</f>
        <v>16301.372143775377</v>
      </c>
      <c r="AA5" s="536">
        <f>'Thong so - Độ nhậy - Bảng 1'!$N$11*'KQKD- Bảng 4'!AB26</f>
        <v>16301.372143775377</v>
      </c>
    </row>
    <row r="6" spans="1:27" ht="24.95" customHeight="1">
      <c r="A6" s="404" t="s">
        <v>411</v>
      </c>
      <c r="B6" s="405"/>
      <c r="C6" s="536">
        <f>IF('KQKD- Bảng 4'!D31&gt;0,'KQKD- Bảng 4'!D31*'Thong so - Độ nhậy - Bảng 1'!$N$12,'KQKD- Bảng 4'!D31)</f>
        <v>-272.62581275188859</v>
      </c>
      <c r="D6" s="536">
        <f>IF('KQKD- Bảng 4'!E31&gt;0,'KQKD- Bảng 4'!E31*'Thong so - Độ nhậy - Bảng 1'!$N$12,'KQKD- Bảng 4'!E31)</f>
        <v>312.14354319175419</v>
      </c>
      <c r="E6" s="536">
        <f>IF('KQKD- Bảng 4'!F31&gt;0,'KQKD- Bảng 4'!F31*'Thong so - Độ nhậy - Bảng 1'!$N$12,'KQKD- Bảng 4'!F31)</f>
        <v>2936.3281420329827</v>
      </c>
      <c r="F6" s="536">
        <f>IF('KQKD- Bảng 4'!G31&gt;0,'KQKD- Bảng 4'!G31*'Thong so - Độ nhậy - Bảng 1'!$N$12,'KQKD- Bảng 4'!G31)</f>
        <v>3646.1828591802496</v>
      </c>
      <c r="G6" s="536">
        <f>IF('KQKD- Bảng 4'!H31&gt;0,'KQKD- Bảng 4'!H31*'Thong so - Độ nhậy - Bảng 1'!$N$12,'KQKD- Bảng 4'!H31)</f>
        <v>6524.2672196989752</v>
      </c>
      <c r="H6" s="536">
        <f>IF('KQKD- Bảng 4'!I31&gt;0,'KQKD- Bảng 4'!I31*'Thong so - Độ nhậy - Bảng 1'!$N$12,'KQKD- Bảng 4'!I31)</f>
        <v>7502.7964852828882</v>
      </c>
      <c r="I6" s="536">
        <f>IF('KQKD- Bảng 4'!J31&gt;0,'KQKD- Bảng 4'!J31*'Thong so - Độ nhậy - Bảng 1'!$N$12,'KQKD- Bảng 4'!J31)</f>
        <v>10665.189946766141</v>
      </c>
      <c r="J6" s="536">
        <f>IF('KQKD- Bảng 4'!K31&gt;0,'KQKD- Bảng 4'!K31*'Thong so - Độ nhậy - Bảng 1'!$N$12,'KQKD- Bảng 4'!K31)</f>
        <v>11944.572662599046</v>
      </c>
      <c r="K6" s="536">
        <f>IF('KQKD- Bảng 4'!L31&gt;0,'KQKD- Bảng 4'!L31*'Thong so - Độ nhậy - Bảng 1'!$N$12,'KQKD- Bảng 4'!L31)</f>
        <v>15425.326662734269</v>
      </c>
      <c r="L6" s="536">
        <f>IF('KQKD- Bảng 4'!M31&gt;0,'KQKD- Bảng 4'!M31*'Thong so - Độ nhậy - Bảng 1'!$N$12,'KQKD- Bảng 4'!M31)</f>
        <v>17041.59576789357</v>
      </c>
      <c r="M6" s="536">
        <f>IF('KQKD- Bảng 4'!N31&gt;0,'KQKD- Bảng 4'!N31*'Thong so - Độ nhậy - Bảng 1'!$N$12,'KQKD- Bảng 4'!N31)</f>
        <v>20878.840053520602</v>
      </c>
      <c r="N6" s="536">
        <f>IF('KQKD- Bảng 4'!O31&gt;0,'KQKD- Bảng 4'!O31*'Thong so - Độ nhậy - Bảng 1'!$N$12,'KQKD- Bảng 4'!O31)</f>
        <v>24999.266310754898</v>
      </c>
      <c r="O6" s="536">
        <f>IF('KQKD- Bảng 4'!P31&gt;0,'KQKD- Bảng 4'!P31*'Thong so - Độ nhậy - Bảng 1'!$N$12,'KQKD- Bảng 4'!P31)</f>
        <v>29419.353299627142</v>
      </c>
      <c r="P6" s="536">
        <f>IF('KQKD- Bảng 4'!Q31&gt;0,'KQKD- Bảng 4'!Q31*'Thong so - Độ nhậy - Bảng 1'!$N$12,'KQKD- Bảng 4'!Q31)</f>
        <v>34030.755070921921</v>
      </c>
      <c r="Q6" s="536">
        <f>IF('KQKD- Bảng 4'!R31&gt;0,'KQKD- Bảng 4'!R31*'Thong so - Độ nhậy - Bảng 1'!$N$12,'KQKD- Bảng 4'!R31)</f>
        <v>36157.677262854551</v>
      </c>
      <c r="R6" s="536">
        <f>IF('KQKD- Bảng 4'!S31&gt;0,'KQKD- Bảng 4'!S31*'Thong so - Độ nhậy - Bảng 1'!$N$12,'KQKD- Bảng 4'!S31)</f>
        <v>40954.01976349458</v>
      </c>
      <c r="S6" s="536">
        <f>IF('KQKD- Bảng 4'!T31&gt;0,'KQKD- Bảng 4'!T31*'Thong so - Độ nhậy - Bảng 1'!$N$12,'KQKD- Bảng 4'!T31)</f>
        <v>43229.243083688729</v>
      </c>
      <c r="T6" s="536">
        <f>IF('KQKD- Bảng 4'!U31&gt;0,'KQKD- Bảng 4'!U31*'Thong so - Độ nhậy - Bảng 1'!$N$12,'KQKD- Bảng 4'!U31)</f>
        <v>45504.466403882871</v>
      </c>
      <c r="U6" s="536">
        <f>IF('KQKD- Bảng 4'!V31&gt;0,'KQKD- Bảng 4'!V31*'Thong so - Độ nhậy - Bảng 1'!$N$12,'KQKD- Bảng 4'!V31)</f>
        <v>45504.466403882871</v>
      </c>
      <c r="V6" s="536">
        <f>IF('KQKD- Bảng 4'!W31&gt;0,'KQKD- Bảng 4'!W31*'Thong so - Độ nhậy - Bảng 1'!$N$12,'KQKD- Bảng 4'!W31)</f>
        <v>45504.466403882871</v>
      </c>
      <c r="W6" s="536">
        <f>IF('KQKD- Bảng 4'!X31&gt;0,'KQKD- Bảng 4'!X31*'Thong so - Độ nhậy - Bảng 1'!$N$12,'KQKD- Bảng 4'!X31)</f>
        <v>45504.466403882871</v>
      </c>
      <c r="X6" s="536">
        <f>IF('KQKD- Bảng 4'!Y31&gt;0,'KQKD- Bảng 4'!Y31*'Thong so - Độ nhậy - Bảng 1'!$N$12,'KQKD- Bảng 4'!Y31)</f>
        <v>45504.466403882871</v>
      </c>
      <c r="Y6" s="536">
        <f>IF('KQKD- Bảng 4'!Z31&gt;0,'KQKD- Bảng 4'!Z31*'Thong so - Độ nhậy - Bảng 1'!$N$12,'KQKD- Bảng 4'!Z31)</f>
        <v>45504.466403882871</v>
      </c>
      <c r="Z6" s="536">
        <f>IF('KQKD- Bảng 4'!AA31&gt;0,'KQKD- Bảng 4'!AA31*'Thong so - Độ nhậy - Bảng 1'!$N$12,'KQKD- Bảng 4'!AA31)</f>
        <v>45504.466403882871</v>
      </c>
      <c r="AA6" s="536">
        <f>IF('KQKD- Bảng 4'!AB31&gt;0,'KQKD- Bảng 4'!AB31*'Thong so - Độ nhậy - Bảng 1'!$N$12,'KQKD- Bảng 4'!AB31)</f>
        <v>45504.466403882871</v>
      </c>
    </row>
    <row r="7" spans="1:27" ht="24.95" customHeight="1">
      <c r="A7" s="406" t="s">
        <v>53</v>
      </c>
      <c r="B7" s="407"/>
      <c r="C7" s="537"/>
      <c r="D7" s="537"/>
      <c r="E7" s="537"/>
      <c r="F7" s="537"/>
      <c r="G7" s="537"/>
      <c r="H7" s="537"/>
      <c r="I7" s="537"/>
      <c r="J7" s="537"/>
      <c r="K7" s="537"/>
      <c r="L7" s="538"/>
      <c r="M7" s="539"/>
      <c r="N7" s="539"/>
      <c r="O7" s="539"/>
      <c r="P7" s="539"/>
      <c r="Q7" s="539"/>
      <c r="R7" s="540"/>
      <c r="S7" s="540"/>
      <c r="T7" s="540"/>
      <c r="U7" s="540"/>
      <c r="V7" s="540"/>
      <c r="W7" s="540"/>
      <c r="X7" s="540"/>
      <c r="Y7" s="540"/>
      <c r="Z7" s="540"/>
      <c r="AA7" s="541"/>
    </row>
    <row r="8" spans="1:27" ht="24.95" customHeight="1">
      <c r="A8" s="408" t="s">
        <v>368</v>
      </c>
      <c r="B8" s="409"/>
      <c r="C8" s="542">
        <f>IF(C9&lt;C11,C9/C11*12/100+C3-1,0)</f>
        <v>0</v>
      </c>
      <c r="D8" s="542">
        <f t="shared" ref="D8:J8" si="1">IF(D9&lt;D4,IF(C13&gt;0,D9/D4+C2,0),0)</f>
        <v>0</v>
      </c>
      <c r="E8" s="542">
        <f t="shared" si="1"/>
        <v>0</v>
      </c>
      <c r="F8" s="542">
        <f t="shared" si="1"/>
        <v>0</v>
      </c>
      <c r="G8" s="542">
        <f t="shared" si="1"/>
        <v>0</v>
      </c>
      <c r="H8" s="542">
        <f t="shared" si="1"/>
        <v>0</v>
      </c>
      <c r="I8" s="542">
        <f t="shared" si="1"/>
        <v>0</v>
      </c>
      <c r="J8" s="542">
        <f t="shared" si="1"/>
        <v>0</v>
      </c>
      <c r="K8" s="542">
        <f>IF(K9&lt;K4,IF(J13&gt;0,K9/K4+J2,0),0)</f>
        <v>0</v>
      </c>
      <c r="L8" s="543"/>
      <c r="M8" s="543"/>
      <c r="N8" s="543"/>
      <c r="O8" s="543"/>
      <c r="P8" s="543"/>
      <c r="Q8" s="542"/>
      <c r="R8" s="540"/>
      <c r="S8" s="540"/>
      <c r="T8" s="540"/>
      <c r="U8" s="540"/>
      <c r="V8" s="540"/>
      <c r="W8" s="540"/>
      <c r="X8" s="540"/>
      <c r="Y8" s="540"/>
      <c r="Z8" s="540"/>
      <c r="AA8" s="535"/>
    </row>
    <row r="9" spans="1:27" ht="24.95" customHeight="1">
      <c r="A9" s="404" t="s">
        <v>370</v>
      </c>
      <c r="B9" s="405">
        <v>295000</v>
      </c>
      <c r="C9" s="536">
        <f>B13</f>
        <v>295000</v>
      </c>
      <c r="D9" s="536">
        <f>C13</f>
        <v>287039.48145003838</v>
      </c>
      <c r="E9" s="536">
        <f t="shared" ref="E9:N9" si="2">D13</f>
        <v>278494.1935441331</v>
      </c>
      <c r="F9" s="536">
        <f t="shared" si="2"/>
        <v>266295.57799404743</v>
      </c>
      <c r="G9" s="536">
        <f t="shared" si="2"/>
        <v>253387.10772681449</v>
      </c>
      <c r="H9" s="536">
        <f t="shared" si="2"/>
        <v>236571.41005372361</v>
      </c>
      <c r="I9" s="536">
        <f t="shared" si="2"/>
        <v>218777.18311504883</v>
      </c>
      <c r="J9" s="536">
        <f t="shared" si="2"/>
        <v>196791.4196695516</v>
      </c>
      <c r="K9" s="536">
        <f t="shared" si="2"/>
        <v>173526.27350822149</v>
      </c>
      <c r="L9" s="536">
        <f t="shared" si="2"/>
        <v>145751.23030141694</v>
      </c>
      <c r="M9" s="536">
        <f t="shared" si="2"/>
        <v>116359.91798945311</v>
      </c>
      <c r="N9" s="536">
        <f t="shared" si="2"/>
        <v>82102.218346523063</v>
      </c>
      <c r="O9" s="536">
        <f>N13</f>
        <v>42694.949401019527</v>
      </c>
      <c r="P9" s="536"/>
      <c r="Q9" s="536"/>
      <c r="R9" s="536"/>
      <c r="S9" s="536"/>
      <c r="T9" s="536"/>
      <c r="U9" s="536"/>
      <c r="V9" s="536"/>
      <c r="W9" s="536"/>
      <c r="X9" s="536"/>
      <c r="Y9" s="536"/>
      <c r="Z9" s="536"/>
      <c r="AA9" s="544"/>
    </row>
    <row r="10" spans="1:27" ht="24.95" customHeight="1">
      <c r="A10" s="404" t="s">
        <v>413</v>
      </c>
      <c r="B10" s="405"/>
      <c r="C10" s="536"/>
      <c r="D10" s="536"/>
      <c r="E10" s="536"/>
      <c r="F10" s="536"/>
      <c r="G10" s="536"/>
      <c r="H10" s="536"/>
      <c r="I10" s="536"/>
      <c r="J10" s="536"/>
      <c r="K10" s="536"/>
      <c r="L10" s="536"/>
      <c r="M10" s="536"/>
      <c r="N10" s="536"/>
      <c r="O10" s="536"/>
      <c r="P10" s="536"/>
      <c r="Q10" s="536"/>
      <c r="R10" s="536"/>
      <c r="S10" s="536"/>
      <c r="T10" s="536"/>
      <c r="U10" s="536"/>
      <c r="V10" s="536"/>
      <c r="W10" s="536"/>
      <c r="X10" s="536"/>
      <c r="Y10" s="536"/>
      <c r="Z10" s="536"/>
      <c r="AA10" s="544"/>
    </row>
    <row r="11" spans="1:27" ht="24.95" customHeight="1">
      <c r="A11" s="404" t="s">
        <v>371</v>
      </c>
      <c r="B11" s="405"/>
      <c r="C11" s="536">
        <f>C4</f>
        <v>7960.51854996162</v>
      </c>
      <c r="D11" s="536">
        <f t="shared" ref="D11:N11" si="3">D4</f>
        <v>8545.287905905263</v>
      </c>
      <c r="E11" s="536">
        <f t="shared" si="3"/>
        <v>12198.615550085678</v>
      </c>
      <c r="F11" s="536">
        <f t="shared" si="3"/>
        <v>12908.470267232946</v>
      </c>
      <c r="G11" s="536">
        <f t="shared" si="3"/>
        <v>16815.697673090865</v>
      </c>
      <c r="H11" s="536">
        <f t="shared" si="3"/>
        <v>17794.226938674776</v>
      </c>
      <c r="I11" s="536">
        <f t="shared" si="3"/>
        <v>21985.763445497214</v>
      </c>
      <c r="J11" s="536">
        <f t="shared" si="3"/>
        <v>23265.146161330122</v>
      </c>
      <c r="K11" s="536">
        <f t="shared" si="3"/>
        <v>27775.043206804534</v>
      </c>
      <c r="L11" s="536">
        <f t="shared" si="3"/>
        <v>29391.312311963833</v>
      </c>
      <c r="M11" s="536">
        <f t="shared" si="3"/>
        <v>34257.699642930056</v>
      </c>
      <c r="N11" s="536">
        <f t="shared" si="3"/>
        <v>39407.268945503536</v>
      </c>
      <c r="O11" s="536">
        <f>N13</f>
        <v>42694.949401019527</v>
      </c>
      <c r="P11" s="536"/>
      <c r="Q11" s="536"/>
      <c r="R11" s="536"/>
      <c r="S11" s="536"/>
      <c r="T11" s="536"/>
      <c r="U11" s="536"/>
      <c r="V11" s="536"/>
      <c r="W11" s="536"/>
      <c r="X11" s="536"/>
      <c r="Y11" s="536"/>
      <c r="Z11" s="536"/>
      <c r="AA11" s="535"/>
    </row>
    <row r="12" spans="1:27" ht="24.95" customHeight="1">
      <c r="A12" s="404" t="s">
        <v>372</v>
      </c>
      <c r="B12" s="405"/>
      <c r="C12" s="536">
        <f>C9*'Thong so - Độ nhậy - Bảng 1'!$N$16</f>
        <v>30975</v>
      </c>
      <c r="D12" s="536">
        <f>D9*'Thong so - Độ nhậy - Bảng 1'!$N$16</f>
        <v>30139.145552254027</v>
      </c>
      <c r="E12" s="536">
        <f>E9*'Thong so - Độ nhậy - Bảng 1'!$N$16</f>
        <v>29241.890322133975</v>
      </c>
      <c r="F12" s="536">
        <f>F9*'Thong so - Độ nhậy - Bảng 1'!$N$16</f>
        <v>27961.035689374978</v>
      </c>
      <c r="G12" s="536">
        <f>G9*'Thong so - Độ nhậy - Bảng 1'!$N$16</f>
        <v>26605.646311315519</v>
      </c>
      <c r="H12" s="536">
        <f>H9*'Thong so - Độ nhậy - Bảng 1'!$N$16</f>
        <v>24839.998055640979</v>
      </c>
      <c r="I12" s="536">
        <f>I9*'Thong so - Độ nhậy - Bảng 1'!$N$16</f>
        <v>22971.604227080126</v>
      </c>
      <c r="J12" s="536">
        <f>J9*'Thong so - Độ nhậy - Bảng 1'!$N$16</f>
        <v>20663.099065302918</v>
      </c>
      <c r="K12" s="536">
        <f>K9*'Thong so - Độ nhậy - Bảng 1'!$N$16</f>
        <v>18220.258718363257</v>
      </c>
      <c r="L12" s="536">
        <f>L9*'Thong so - Độ nhậy - Bảng 1'!$N$16</f>
        <v>15303.879181648779</v>
      </c>
      <c r="M12" s="536">
        <f>M9*'Thong so - Độ nhậy - Bảng 1'!$N$16</f>
        <v>12217.791388892576</v>
      </c>
      <c r="N12" s="536">
        <f>N9*'Thong so - Độ nhậy - Bảng 1'!$N$16</f>
        <v>8620.7329263849206</v>
      </c>
      <c r="O12" s="536">
        <f>O9*'Thong so - Độ nhậy - Bảng 1'!$N$16</f>
        <v>4482.96968710705</v>
      </c>
      <c r="P12" s="536"/>
      <c r="Q12" s="536"/>
      <c r="R12" s="538"/>
      <c r="S12" s="538"/>
      <c r="T12" s="538"/>
      <c r="U12" s="538"/>
      <c r="V12" s="538"/>
      <c r="W12" s="538"/>
      <c r="X12" s="538"/>
      <c r="Y12" s="538"/>
      <c r="Z12" s="538"/>
      <c r="AA12" s="535"/>
    </row>
    <row r="13" spans="1:27" ht="24.95" customHeight="1">
      <c r="A13" s="410" t="s">
        <v>408</v>
      </c>
      <c r="B13" s="411">
        <f>IF(B9&gt;B11,B9-B11,0)</f>
        <v>295000</v>
      </c>
      <c r="C13" s="538">
        <f>IF(C9&gt;C11,C9-C11,0)</f>
        <v>287039.48145003838</v>
      </c>
      <c r="D13" s="538">
        <f>IF(D9&gt;D11,D9-D11,0)+D10</f>
        <v>278494.1935441331</v>
      </c>
      <c r="E13" s="538">
        <f t="shared" ref="E13:O13" si="4">IF(E9&gt;E11,E9-E11,0)</f>
        <v>266295.57799404743</v>
      </c>
      <c r="F13" s="538">
        <f t="shared" si="4"/>
        <v>253387.10772681449</v>
      </c>
      <c r="G13" s="538">
        <f t="shared" si="4"/>
        <v>236571.41005372361</v>
      </c>
      <c r="H13" s="538">
        <f t="shared" si="4"/>
        <v>218777.18311504883</v>
      </c>
      <c r="I13" s="538">
        <f t="shared" si="4"/>
        <v>196791.4196695516</v>
      </c>
      <c r="J13" s="545">
        <f t="shared" si="4"/>
        <v>173526.27350822149</v>
      </c>
      <c r="K13" s="545">
        <f t="shared" si="4"/>
        <v>145751.23030141694</v>
      </c>
      <c r="L13" s="545">
        <f t="shared" si="4"/>
        <v>116359.91798945311</v>
      </c>
      <c r="M13" s="545">
        <f t="shared" si="4"/>
        <v>82102.218346523063</v>
      </c>
      <c r="N13" s="545">
        <f t="shared" si="4"/>
        <v>42694.949401019527</v>
      </c>
      <c r="O13" s="545">
        <f t="shared" si="4"/>
        <v>0</v>
      </c>
      <c r="P13" s="545"/>
      <c r="Q13" s="545"/>
      <c r="R13" s="540"/>
      <c r="S13" s="540"/>
      <c r="T13" s="540"/>
      <c r="U13" s="540"/>
      <c r="V13" s="540"/>
      <c r="W13" s="540"/>
      <c r="X13" s="540"/>
      <c r="Y13" s="540"/>
      <c r="Z13" s="540"/>
      <c r="AA13" s="541"/>
    </row>
    <row r="14" spans="1:27" ht="24.95" customHeight="1">
      <c r="A14" s="412" t="s">
        <v>409</v>
      </c>
      <c r="B14" s="413"/>
      <c r="C14" s="546">
        <f>C15+C16</f>
        <v>7960.51854996162</v>
      </c>
      <c r="D14" s="546">
        <f t="shared" ref="D14:O14" si="5">D15+D16</f>
        <v>8545.287905905263</v>
      </c>
      <c r="E14" s="546">
        <f t="shared" si="5"/>
        <v>12198.615550085678</v>
      </c>
      <c r="F14" s="546">
        <f t="shared" si="5"/>
        <v>12908.470267232946</v>
      </c>
      <c r="G14" s="546">
        <f t="shared" si="5"/>
        <v>16815.697673090865</v>
      </c>
      <c r="H14" s="546">
        <f t="shared" si="5"/>
        <v>17794.226938674776</v>
      </c>
      <c r="I14" s="546">
        <f t="shared" si="5"/>
        <v>21985.763445497214</v>
      </c>
      <c r="J14" s="546">
        <f t="shared" si="5"/>
        <v>23265.146161330122</v>
      </c>
      <c r="K14" s="546">
        <f t="shared" si="5"/>
        <v>27775.043206804534</v>
      </c>
      <c r="L14" s="546">
        <f t="shared" si="5"/>
        <v>29391.312311963833</v>
      </c>
      <c r="M14" s="546">
        <f t="shared" si="5"/>
        <v>34257.699642930056</v>
      </c>
      <c r="N14" s="546">
        <f t="shared" si="5"/>
        <v>39407.268945503536</v>
      </c>
      <c r="O14" s="546">
        <f t="shared" si="5"/>
        <v>42694.949401019527</v>
      </c>
      <c r="P14" s="547"/>
      <c r="Q14" s="547"/>
      <c r="R14" s="536"/>
      <c r="S14" s="536"/>
      <c r="T14" s="536"/>
      <c r="U14" s="536"/>
      <c r="V14" s="536"/>
      <c r="W14" s="536"/>
      <c r="X14" s="536"/>
      <c r="Y14" s="536"/>
      <c r="Z14" s="536"/>
      <c r="AA14" s="535"/>
    </row>
    <row r="15" spans="1:27" ht="24.95" customHeight="1">
      <c r="A15" s="414" t="s">
        <v>373</v>
      </c>
      <c r="B15" s="409"/>
      <c r="C15" s="409">
        <f>C11</f>
        <v>7960.51854996162</v>
      </c>
      <c r="D15" s="409">
        <f t="shared" ref="D15:O15" si="6">D11</f>
        <v>8545.287905905263</v>
      </c>
      <c r="E15" s="409">
        <f t="shared" si="6"/>
        <v>12198.615550085678</v>
      </c>
      <c r="F15" s="409">
        <f t="shared" si="6"/>
        <v>12908.470267232946</v>
      </c>
      <c r="G15" s="409">
        <f t="shared" si="6"/>
        <v>16815.697673090865</v>
      </c>
      <c r="H15" s="409">
        <f t="shared" si="6"/>
        <v>17794.226938674776</v>
      </c>
      <c r="I15" s="409">
        <f t="shared" si="6"/>
        <v>21985.763445497214</v>
      </c>
      <c r="J15" s="409">
        <f t="shared" si="6"/>
        <v>23265.146161330122</v>
      </c>
      <c r="K15" s="409">
        <f t="shared" si="6"/>
        <v>27775.043206804534</v>
      </c>
      <c r="L15" s="409">
        <f t="shared" si="6"/>
        <v>29391.312311963833</v>
      </c>
      <c r="M15" s="409">
        <f t="shared" si="6"/>
        <v>34257.699642930056</v>
      </c>
      <c r="N15" s="409">
        <f t="shared" si="6"/>
        <v>39407.268945503536</v>
      </c>
      <c r="O15" s="409">
        <f t="shared" si="6"/>
        <v>42694.949401019527</v>
      </c>
      <c r="P15" s="38"/>
      <c r="Q15" s="38"/>
      <c r="R15" s="37"/>
      <c r="S15" s="37"/>
      <c r="T15" s="37"/>
      <c r="U15" s="37"/>
      <c r="V15" s="37"/>
      <c r="W15" s="37"/>
      <c r="X15" s="37"/>
      <c r="Y15" s="37"/>
      <c r="Z15" s="37"/>
      <c r="AA15" s="5"/>
    </row>
    <row r="16" spans="1:27" ht="24.95" customHeight="1">
      <c r="A16" s="410" t="s">
        <v>374</v>
      </c>
      <c r="B16" s="411"/>
      <c r="C16" s="411"/>
      <c r="D16" s="411"/>
      <c r="E16" s="411"/>
      <c r="F16" s="411"/>
      <c r="G16" s="411"/>
      <c r="H16" s="411"/>
      <c r="I16" s="411"/>
      <c r="J16" s="411"/>
      <c r="K16" s="411"/>
      <c r="L16" s="38"/>
      <c r="M16" s="38"/>
      <c r="N16" s="38"/>
      <c r="O16" s="38"/>
      <c r="P16" s="38"/>
      <c r="Q16" s="38"/>
      <c r="R16" s="37"/>
      <c r="S16" s="37"/>
      <c r="T16" s="37"/>
      <c r="U16" s="37"/>
      <c r="V16" s="37"/>
      <c r="W16" s="37"/>
      <c r="X16" s="37"/>
      <c r="Y16" s="37"/>
      <c r="Z16" s="37"/>
      <c r="AA16" s="5"/>
    </row>
    <row r="17" spans="1:27" ht="24.95" customHeight="1">
      <c r="A17" s="664" t="s">
        <v>89</v>
      </c>
      <c r="B17" s="415">
        <v>13</v>
      </c>
      <c r="C17" s="416" t="s">
        <v>405</v>
      </c>
      <c r="D17" s="417"/>
      <c r="E17" s="418"/>
      <c r="F17" s="666"/>
      <c r="G17" s="666"/>
      <c r="H17" s="666"/>
      <c r="I17" s="666"/>
      <c r="J17" s="666"/>
      <c r="K17" s="666"/>
      <c r="L17" s="364"/>
      <c r="M17" s="55"/>
      <c r="N17" s="55"/>
      <c r="O17" s="55"/>
      <c r="P17" s="55"/>
      <c r="Q17" s="55"/>
      <c r="R17" s="47"/>
      <c r="S17" s="47"/>
      <c r="T17" s="47"/>
      <c r="U17" s="47"/>
      <c r="V17" s="47"/>
      <c r="W17" s="47"/>
      <c r="X17" s="47"/>
      <c r="Y17" s="47"/>
      <c r="Z17" s="47"/>
      <c r="AA17" s="5"/>
    </row>
    <row r="18" spans="1:27" ht="24.95" customHeight="1">
      <c r="A18" s="665"/>
      <c r="B18" s="419">
        <f>B17+2</f>
        <v>15</v>
      </c>
      <c r="C18" s="661" t="s">
        <v>406</v>
      </c>
      <c r="D18" s="662"/>
      <c r="E18" s="663"/>
      <c r="F18" s="666"/>
      <c r="G18" s="666"/>
      <c r="H18" s="666"/>
      <c r="I18" s="666"/>
      <c r="J18" s="666"/>
      <c r="K18" s="666"/>
      <c r="L18" s="365"/>
      <c r="M18" s="52"/>
      <c r="N18" s="52"/>
      <c r="O18" s="52"/>
      <c r="P18" s="52"/>
      <c r="Q18" s="52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27" ht="12.75" customHeight="1">
      <c r="A19" s="1" t="s">
        <v>41</v>
      </c>
      <c r="B19" s="1">
        <v>2</v>
      </c>
      <c r="C19" s="1" t="s">
        <v>27</v>
      </c>
      <c r="M19" s="293"/>
      <c r="N19" s="293"/>
      <c r="O19" s="293"/>
      <c r="P19" s="293"/>
      <c r="Q19" s="293"/>
      <c r="R19" s="37"/>
      <c r="S19" s="37"/>
      <c r="T19" s="37"/>
      <c r="U19" s="37"/>
      <c r="V19" s="37"/>
      <c r="W19" s="37"/>
      <c r="X19" s="37"/>
      <c r="Y19" s="37"/>
      <c r="Z19" s="37"/>
      <c r="AA19" s="5"/>
    </row>
    <row r="20" spans="1:27" ht="15.75" customHeight="1"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5"/>
    </row>
    <row r="21" spans="1:27"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5"/>
    </row>
    <row r="22" spans="1:27"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5"/>
    </row>
    <row r="23" spans="1:27"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5"/>
    </row>
    <row r="24" spans="1:27"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5"/>
    </row>
    <row r="25" spans="1:27"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5"/>
    </row>
    <row r="26" spans="1:27"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4"/>
    </row>
    <row r="27" spans="1:27"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4"/>
    </row>
    <row r="28" spans="1:27">
      <c r="AA28" s="4"/>
    </row>
    <row r="30" spans="1:27"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1:27"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3:27"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3:27"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3:27"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103"/>
    </row>
    <row r="36" spans="13:27"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3:27"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3:27"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3:27"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3:27"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103"/>
    </row>
    <row r="41" spans="13:27"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3:27"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3:27"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3:27"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3:27"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 spans="13:27"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3:27"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3:27"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3:27"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3:27"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3:27"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3:27"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3:27"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</row>
  </sheetData>
  <mergeCells count="4">
    <mergeCell ref="C18:E18"/>
    <mergeCell ref="A17:A18"/>
    <mergeCell ref="F17:K18"/>
    <mergeCell ref="A1:K1"/>
  </mergeCells>
  <printOptions horizontalCentered="1"/>
  <pageMargins left="0.196850393700787" right="0.196850393700787" top="0.35433070866141703" bottom="0.27559055118110198" header="0.196850393700787" footer="0.196850393700787"/>
  <pageSetup paperSize="9" orientation="landscape" r:id="rId1"/>
  <headerFooter alignWithMargins="0"/>
  <ignoredErrors>
    <ignoredError sqref="D1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B48"/>
  <sheetViews>
    <sheetView showGridLines="0" zoomScale="85" zoomScaleNormal="85" zoomScaleSheetLayoutView="100" workbookViewId="0">
      <selection activeCell="F20" sqref="F20"/>
    </sheetView>
  </sheetViews>
  <sheetFormatPr defaultColWidth="11.42578125" defaultRowHeight="12.75"/>
  <cols>
    <col min="1" max="1" width="5" style="136" customWidth="1"/>
    <col min="2" max="2" width="23.7109375" style="1" customWidth="1"/>
    <col min="3" max="3" width="11.5703125" style="1" customWidth="1"/>
    <col min="4" max="4" width="8.42578125" style="1" customWidth="1"/>
    <col min="5" max="5" width="8.85546875" style="1" customWidth="1"/>
    <col min="6" max="6" width="10" style="1" customWidth="1"/>
    <col min="7" max="7" width="9.85546875" style="1" customWidth="1"/>
    <col min="8" max="9" width="8.42578125" style="1" customWidth="1"/>
    <col min="10" max="10" width="8" style="1" customWidth="1"/>
    <col min="11" max="11" width="8.28515625" style="1" customWidth="1"/>
    <col min="12" max="12" width="8.42578125" style="1" customWidth="1"/>
    <col min="13" max="13" width="8.85546875" style="1" customWidth="1"/>
    <col min="14" max="14" width="9.85546875" style="1" customWidth="1"/>
    <col min="15" max="15" width="9.28515625" style="1" customWidth="1"/>
    <col min="16" max="16" width="9.42578125" style="1" customWidth="1"/>
    <col min="17" max="17" width="8.5703125" style="1" customWidth="1"/>
    <col min="18" max="18" width="8.28515625" style="1" customWidth="1"/>
    <col min="19" max="16384" width="11.42578125" style="1"/>
  </cols>
  <sheetData>
    <row r="2" spans="1:28" ht="30" customHeight="1">
      <c r="A2" s="674" t="s">
        <v>345</v>
      </c>
      <c r="B2" s="674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4"/>
      <c r="P2" s="674"/>
      <c r="Q2" s="674"/>
      <c r="R2" s="674"/>
    </row>
    <row r="3" spans="1:28" ht="15.75" customHeight="1">
      <c r="A3" s="669" t="s">
        <v>7</v>
      </c>
      <c r="B3" s="669" t="s">
        <v>8</v>
      </c>
      <c r="C3" s="671" t="s">
        <v>19</v>
      </c>
      <c r="D3" s="673" t="s">
        <v>10</v>
      </c>
      <c r="E3" s="673"/>
      <c r="F3" s="673"/>
      <c r="G3" s="673"/>
      <c r="H3" s="673"/>
      <c r="I3" s="673"/>
      <c r="J3" s="673"/>
      <c r="K3" s="673"/>
      <c r="L3" s="673"/>
      <c r="M3" s="673"/>
      <c r="N3" s="673"/>
      <c r="O3" s="673"/>
      <c r="P3" s="673"/>
      <c r="Q3" s="673"/>
      <c r="R3" s="673"/>
    </row>
    <row r="4" spans="1:28" ht="16.5" customHeight="1">
      <c r="A4" s="670"/>
      <c r="B4" s="670"/>
      <c r="C4" s="672"/>
      <c r="D4" s="22">
        <v>1</v>
      </c>
      <c r="E4" s="23">
        <v>2</v>
      </c>
      <c r="F4" s="22">
        <v>3</v>
      </c>
      <c r="G4" s="23">
        <v>4</v>
      </c>
      <c r="H4" s="22">
        <v>5</v>
      </c>
      <c r="I4" s="23">
        <v>6</v>
      </c>
      <c r="J4" s="22">
        <v>7</v>
      </c>
      <c r="K4" s="23">
        <v>8</v>
      </c>
      <c r="L4" s="22">
        <v>9</v>
      </c>
      <c r="M4" s="23">
        <v>10</v>
      </c>
      <c r="N4" s="22">
        <v>11</v>
      </c>
      <c r="O4" s="23">
        <v>12</v>
      </c>
      <c r="P4" s="22">
        <v>13</v>
      </c>
      <c r="Q4" s="23">
        <v>14</v>
      </c>
      <c r="R4" s="22">
        <v>15</v>
      </c>
      <c r="S4" s="23">
        <v>16</v>
      </c>
      <c r="T4" s="22">
        <v>17</v>
      </c>
      <c r="U4" s="23">
        <v>18</v>
      </c>
      <c r="V4" s="22">
        <v>19</v>
      </c>
      <c r="W4" s="23">
        <v>20</v>
      </c>
      <c r="X4" s="22">
        <v>21</v>
      </c>
      <c r="Y4" s="23">
        <v>22</v>
      </c>
      <c r="Z4" s="22">
        <v>23</v>
      </c>
      <c r="AA4" s="23">
        <v>24</v>
      </c>
      <c r="AB4" s="22">
        <v>25</v>
      </c>
    </row>
    <row r="5" spans="1:28" ht="24.95" customHeight="1">
      <c r="A5" s="137">
        <v>1</v>
      </c>
      <c r="B5" s="38" t="s">
        <v>31</v>
      </c>
      <c r="C5" s="38"/>
      <c r="D5" s="38">
        <f>'KQKD- Bảng 4'!D8</f>
        <v>87452.394</v>
      </c>
      <c r="E5" s="38">
        <f>'KQKD- Bảng 4'!E8</f>
        <v>87452.394</v>
      </c>
      <c r="F5" s="38">
        <f>'KQKD- Bảng 4'!F8</f>
        <v>98383.943250000011</v>
      </c>
      <c r="G5" s="38">
        <f>'KQKD- Bảng 4'!G8</f>
        <v>98383.943250000011</v>
      </c>
      <c r="H5" s="38">
        <f>'KQKD- Bảng 4'!H8</f>
        <v>109315.49250000001</v>
      </c>
      <c r="I5" s="38">
        <f>'KQKD- Bảng 4'!I8</f>
        <v>109315.49250000001</v>
      </c>
      <c r="J5" s="38">
        <f>'KQKD- Bảng 4'!J8</f>
        <v>120247.04175</v>
      </c>
      <c r="K5" s="38">
        <f>'KQKD- Bảng 4'!K8</f>
        <v>120247.04175</v>
      </c>
      <c r="L5" s="38">
        <f>'KQKD- Bảng 4'!L8</f>
        <v>131178.59100000001</v>
      </c>
      <c r="M5" s="38">
        <f>'KQKD- Bảng 4'!M8</f>
        <v>131178.59100000001</v>
      </c>
      <c r="N5" s="38">
        <f>'KQKD- Bảng 4'!N8</f>
        <v>142110.14025</v>
      </c>
      <c r="O5" s="38">
        <f>'KQKD- Bảng 4'!O8</f>
        <v>153041.68949999998</v>
      </c>
      <c r="P5" s="38">
        <f>'KQKD- Bảng 4'!P8</f>
        <v>163973.23874999999</v>
      </c>
      <c r="Q5" s="38">
        <f>'KQKD- Bảng 4'!Q8</f>
        <v>174904.788</v>
      </c>
      <c r="R5" s="38">
        <f>'KQKD- Bảng 4'!R8</f>
        <v>185836.33724999998</v>
      </c>
      <c r="S5" s="38">
        <f>'KQKD- Bảng 4'!S8</f>
        <v>196767.88650000002</v>
      </c>
      <c r="T5" s="38">
        <f>'KQKD- Bảng 4'!T8</f>
        <v>207699.43575</v>
      </c>
      <c r="U5" s="38">
        <f>'KQKD- Bảng 4'!U8</f>
        <v>218630.98500000002</v>
      </c>
      <c r="V5" s="38">
        <f>'KQKD- Bảng 4'!V8</f>
        <v>218630.98500000002</v>
      </c>
      <c r="W5" s="38">
        <f>'KQKD- Bảng 4'!W8</f>
        <v>218630.98500000002</v>
      </c>
      <c r="X5" s="38">
        <f>'KQKD- Bảng 4'!X8</f>
        <v>218630.98500000002</v>
      </c>
      <c r="Y5" s="38">
        <f>'KQKD- Bảng 4'!Y8</f>
        <v>218630.98500000002</v>
      </c>
      <c r="Z5" s="38">
        <f>'KQKD- Bảng 4'!Z8</f>
        <v>218630.98500000002</v>
      </c>
      <c r="AA5" s="38">
        <f>'KQKD- Bảng 4'!AA8</f>
        <v>218630.98500000002</v>
      </c>
      <c r="AB5" s="38">
        <f>'KQKD- Bảng 4'!AB8</f>
        <v>218630.98500000002</v>
      </c>
    </row>
    <row r="6" spans="1:28" ht="24.95" customHeight="1">
      <c r="A6" s="137">
        <v>2</v>
      </c>
      <c r="B6" s="38" t="s">
        <v>37</v>
      </c>
      <c r="C6" s="38"/>
      <c r="D6" s="38">
        <f>'KQKD- Bảng 4'!D21+'KQKD- Bảng 4'!D22+'KQKD- Bảng 4'!D23+'KQKD- Bảng 4'!D24</f>
        <v>8562.9000000000015</v>
      </c>
      <c r="E6" s="38">
        <f>'KQKD- Bảng 4'!E21+'KQKD- Bảng 4'!E22+'KQKD- Bảng 4'!E23+'KQKD- Bảng 4'!E24</f>
        <v>8562.9000000000015</v>
      </c>
      <c r="F6" s="38">
        <f>'KQKD- Bảng 4'!F21+'KQKD- Bảng 4'!F22+'KQKD- Bảng 4'!F23+'KQKD- Bảng 4'!F24</f>
        <v>9633.2625000000007</v>
      </c>
      <c r="G6" s="38">
        <f>'KQKD- Bảng 4'!G21+'KQKD- Bảng 4'!G22+'KQKD- Bảng 4'!G23+'KQKD- Bảng 4'!G24</f>
        <v>9633.2625000000007</v>
      </c>
      <c r="H6" s="38">
        <f>'KQKD- Bảng 4'!H21+'KQKD- Bảng 4'!H22+'KQKD- Bảng 4'!H23+'KQKD- Bảng 4'!H24</f>
        <v>10703.625</v>
      </c>
      <c r="I6" s="38">
        <f>'KQKD- Bảng 4'!I21+'KQKD- Bảng 4'!I22+'KQKD- Bảng 4'!I23+'KQKD- Bảng 4'!I24</f>
        <v>10703.625</v>
      </c>
      <c r="J6" s="38">
        <f>'KQKD- Bảng 4'!J21+'KQKD- Bảng 4'!J22+'KQKD- Bảng 4'!J23+'KQKD- Bảng 4'!J24</f>
        <v>11773.987499999999</v>
      </c>
      <c r="K6" s="38">
        <f>'KQKD- Bảng 4'!K21+'KQKD- Bảng 4'!K22+'KQKD- Bảng 4'!K23+'KQKD- Bảng 4'!K24</f>
        <v>11773.987499999999</v>
      </c>
      <c r="L6" s="38">
        <f>'KQKD- Bảng 4'!L21+'KQKD- Bảng 4'!L22+'KQKD- Bảng 4'!L23+'KQKD- Bảng 4'!L24</f>
        <v>12844.349999999999</v>
      </c>
      <c r="M6" s="38">
        <f>'KQKD- Bảng 4'!M21+'KQKD- Bảng 4'!M22+'KQKD- Bảng 4'!M23+'KQKD- Bảng 4'!M24</f>
        <v>12844.349999999999</v>
      </c>
      <c r="N6" s="38">
        <f>'KQKD- Bảng 4'!N21+'KQKD- Bảng 4'!N22+'KQKD- Bảng 4'!N23+'KQKD- Bảng 4'!N24</f>
        <v>13914.712500000001</v>
      </c>
      <c r="O6" s="38">
        <f>'KQKD- Bảng 4'!O21+'KQKD- Bảng 4'!O22+'KQKD- Bảng 4'!O23+'KQKD- Bảng 4'!O24</f>
        <v>14985.074999999997</v>
      </c>
      <c r="P6" s="38">
        <f>'KQKD- Bảng 4'!P21+'KQKD- Bảng 4'!P22+'KQKD- Bảng 4'!P23+'KQKD- Bảng 4'!P24</f>
        <v>16055.4375</v>
      </c>
      <c r="Q6" s="38">
        <f>'KQKD- Bảng 4'!Q21+'KQKD- Bảng 4'!Q22+'KQKD- Bảng 4'!Q23+'KQKD- Bảng 4'!Q24</f>
        <v>17125.800000000003</v>
      </c>
      <c r="R6" s="38">
        <f>'KQKD- Bảng 4'!R21+'KQKD- Bảng 4'!R22+'KQKD- Bảng 4'!R23+'KQKD- Bảng 4'!R24</f>
        <v>18196.162499999999</v>
      </c>
      <c r="S6" s="38">
        <f>'KQKD- Bảng 4'!S21+'KQKD- Bảng 4'!S22+'KQKD- Bảng 4'!S23+'KQKD- Bảng 4'!S24</f>
        <v>19266.525000000001</v>
      </c>
      <c r="T6" s="38">
        <f>'KQKD- Bảng 4'!T21+'KQKD- Bảng 4'!T22+'KQKD- Bảng 4'!T23+'KQKD- Bảng 4'!T24</f>
        <v>20336.887499999997</v>
      </c>
      <c r="U6" s="38">
        <f>'KQKD- Bảng 4'!U21+'KQKD- Bảng 4'!U22+'KQKD- Bảng 4'!U23+'KQKD- Bảng 4'!U24</f>
        <v>21407.25</v>
      </c>
      <c r="V6" s="38">
        <f>'KQKD- Bảng 4'!V21+'KQKD- Bảng 4'!V22+'KQKD- Bảng 4'!V23+'KQKD- Bảng 4'!V24</f>
        <v>21407.25</v>
      </c>
      <c r="W6" s="38">
        <f>'KQKD- Bảng 4'!W21+'KQKD- Bảng 4'!W22+'KQKD- Bảng 4'!W23+'KQKD- Bảng 4'!W24</f>
        <v>21407.25</v>
      </c>
      <c r="X6" s="38">
        <f>'KQKD- Bảng 4'!X21+'KQKD- Bảng 4'!X22+'KQKD- Bảng 4'!X23+'KQKD- Bảng 4'!X24</f>
        <v>21407.25</v>
      </c>
      <c r="Y6" s="38">
        <f>'KQKD- Bảng 4'!Y21+'KQKD- Bảng 4'!Y22+'KQKD- Bảng 4'!Y23+'KQKD- Bảng 4'!Y24</f>
        <v>21407.25</v>
      </c>
      <c r="Z6" s="38">
        <f>'KQKD- Bảng 4'!Z21+'KQKD- Bảng 4'!Z22+'KQKD- Bảng 4'!Z23+'KQKD- Bảng 4'!Z24</f>
        <v>21407.25</v>
      </c>
      <c r="AA6" s="38">
        <f>'KQKD- Bảng 4'!AA21+'KQKD- Bảng 4'!AA22+'KQKD- Bảng 4'!AA23+'KQKD- Bảng 4'!AA24</f>
        <v>21407.25</v>
      </c>
      <c r="AB6" s="38">
        <f>'KQKD- Bảng 4'!AB21+'KQKD- Bảng 4'!AB22+'KQKD- Bảng 4'!AB23+'KQKD- Bảng 4'!AB24</f>
        <v>21407.25</v>
      </c>
    </row>
    <row r="7" spans="1:28" ht="24.95" customHeight="1">
      <c r="A7" s="137">
        <v>3</v>
      </c>
      <c r="B7" s="38" t="s">
        <v>117</v>
      </c>
      <c r="C7" s="38"/>
      <c r="D7" s="38">
        <f>'KQKD- Bảng 4'!D16</f>
        <v>36890.550000000003</v>
      </c>
      <c r="E7" s="38">
        <f>'KQKD- Bảng 4'!E16</f>
        <v>36890.550000000003</v>
      </c>
      <c r="F7" s="38">
        <f>'KQKD- Bảng 4'!F16</f>
        <v>41501.868750000001</v>
      </c>
      <c r="G7" s="38">
        <f>'KQKD- Bảng 4'!G16</f>
        <v>41501.868750000001</v>
      </c>
      <c r="H7" s="38">
        <f>'KQKD- Bảng 4'!H16</f>
        <v>46113.1875</v>
      </c>
      <c r="I7" s="38">
        <f>'KQKD- Bảng 4'!I16</f>
        <v>46113.1875</v>
      </c>
      <c r="J7" s="38">
        <f>'KQKD- Bảng 4'!J16</f>
        <v>50724.506249999999</v>
      </c>
      <c r="K7" s="38">
        <f>'KQKD- Bảng 4'!K16</f>
        <v>50724.506249999999</v>
      </c>
      <c r="L7" s="38">
        <f>'KQKD- Bảng 4'!L16</f>
        <v>55335.824999999997</v>
      </c>
      <c r="M7" s="38">
        <f>'KQKD- Bảng 4'!M16</f>
        <v>55335.824999999997</v>
      </c>
      <c r="N7" s="38">
        <f>'KQKD- Bảng 4'!N16</f>
        <v>59947.143749999996</v>
      </c>
      <c r="O7" s="38">
        <f>'KQKD- Bảng 4'!O16</f>
        <v>64558.462500000001</v>
      </c>
      <c r="P7" s="38">
        <f>'KQKD- Bảng 4'!P16</f>
        <v>69169.78125</v>
      </c>
      <c r="Q7" s="38">
        <f>'KQKD- Bảng 4'!Q16</f>
        <v>73781.100000000006</v>
      </c>
      <c r="R7" s="38">
        <f>'KQKD- Bảng 4'!R16</f>
        <v>78392.418749999997</v>
      </c>
      <c r="S7" s="38">
        <f>'KQKD- Bảng 4'!S16</f>
        <v>83003.737500000003</v>
      </c>
      <c r="T7" s="38">
        <f>'KQKD- Bảng 4'!T16</f>
        <v>87615.056249999994</v>
      </c>
      <c r="U7" s="38">
        <f>'KQKD- Bảng 4'!U16</f>
        <v>92226.375</v>
      </c>
      <c r="V7" s="38">
        <f>'KQKD- Bảng 4'!V16</f>
        <v>92226.375</v>
      </c>
      <c r="W7" s="38">
        <f>'KQKD- Bảng 4'!W16</f>
        <v>92226.375</v>
      </c>
      <c r="X7" s="38">
        <f>'KQKD- Bảng 4'!X16</f>
        <v>92226.375</v>
      </c>
      <c r="Y7" s="38">
        <f>'KQKD- Bảng 4'!Y16</f>
        <v>92226.375</v>
      </c>
      <c r="Z7" s="38">
        <f>'KQKD- Bảng 4'!Z16</f>
        <v>92226.375</v>
      </c>
      <c r="AA7" s="38">
        <f>'KQKD- Bảng 4'!AA16</f>
        <v>92226.375</v>
      </c>
      <c r="AB7" s="38">
        <f>'KQKD- Bảng 4'!AB16</f>
        <v>92226.375</v>
      </c>
    </row>
    <row r="8" spans="1:28" ht="24.95" customHeight="1">
      <c r="A8" s="137">
        <v>4</v>
      </c>
      <c r="B8" s="38" t="s">
        <v>42</v>
      </c>
      <c r="C8" s="38"/>
      <c r="D8" s="38">
        <f>D5*'Thong so - Độ nhậy - Bảng 1'!$C$24</f>
        <v>874.52394000000004</v>
      </c>
      <c r="E8" s="38">
        <f>E5*'Thong so - Độ nhậy - Bảng 1'!$C$24</f>
        <v>874.52394000000004</v>
      </c>
      <c r="F8" s="38">
        <f>F5*'Thong so - Độ nhậy - Bảng 1'!$C$24</f>
        <v>983.83943250000016</v>
      </c>
      <c r="G8" s="38">
        <f>G5*'Thong so - Độ nhậy - Bảng 1'!$C$24</f>
        <v>983.83943250000016</v>
      </c>
      <c r="H8" s="38">
        <f>H5*'Thong so - Độ nhậy - Bảng 1'!$C$24</f>
        <v>1093.154925</v>
      </c>
      <c r="I8" s="38">
        <f>I5*'Thong so - Độ nhậy - Bảng 1'!$C$24</f>
        <v>1093.154925</v>
      </c>
      <c r="J8" s="38">
        <f>J5*'Thong so - Độ nhậy - Bảng 1'!$C$24</f>
        <v>1202.4704175000002</v>
      </c>
      <c r="K8" s="38">
        <f>K5*'Thong so - Độ nhậy - Bảng 1'!$C$24</f>
        <v>1202.4704175000002</v>
      </c>
      <c r="L8" s="38">
        <f>L5*'Thong so - Độ nhậy - Bảng 1'!$C$24</f>
        <v>1311.7859100000003</v>
      </c>
      <c r="M8" s="38">
        <f>M5*'Thong so - Độ nhậy - Bảng 1'!$C$24</f>
        <v>1311.7859100000003</v>
      </c>
      <c r="N8" s="38">
        <f>N5*'Thong so - Độ nhậy - Bảng 1'!$C$24</f>
        <v>1421.1014024999999</v>
      </c>
      <c r="O8" s="38">
        <f>O5*'Thong so - Độ nhậy - Bảng 1'!$C$24</f>
        <v>1530.4168949999998</v>
      </c>
      <c r="P8" s="38">
        <f>P5*'Thong so - Độ nhậy - Bảng 1'!$C$24</f>
        <v>1639.7323875</v>
      </c>
      <c r="Q8" s="38">
        <f>Q5*'Thong so - Độ nhậy - Bảng 1'!$C$24</f>
        <v>1749.0478800000001</v>
      </c>
      <c r="R8" s="38">
        <f>R5*'Thong so - Độ nhậy - Bảng 1'!$C$24</f>
        <v>1858.3633725</v>
      </c>
      <c r="S8" s="38">
        <f>S5*'Thong so - Độ nhậy - Bảng 1'!$C$24</f>
        <v>1967.6788650000003</v>
      </c>
      <c r="T8" s="38">
        <f>T5*'Thong so - Độ nhậy - Bảng 1'!$C$24</f>
        <v>2076.9943575000002</v>
      </c>
      <c r="U8" s="38">
        <f>U5*'Thong so - Độ nhậy - Bảng 1'!$C$24</f>
        <v>2186.3098500000001</v>
      </c>
      <c r="V8" s="38">
        <f>V5*'Thong so - Độ nhậy - Bảng 1'!$C$24</f>
        <v>2186.3098500000001</v>
      </c>
      <c r="W8" s="38">
        <f>W5*'Thong so - Độ nhậy - Bảng 1'!$C$24</f>
        <v>2186.3098500000001</v>
      </c>
      <c r="X8" s="38">
        <f>X5*'Thong so - Độ nhậy - Bảng 1'!$C$24</f>
        <v>2186.3098500000001</v>
      </c>
      <c r="Y8" s="38">
        <f>Y5*'Thong so - Độ nhậy - Bảng 1'!$C$24</f>
        <v>2186.3098500000001</v>
      </c>
      <c r="Z8" s="38">
        <f>Z5*'Thong so - Độ nhậy - Bảng 1'!$C$24</f>
        <v>2186.3098500000001</v>
      </c>
      <c r="AA8" s="38">
        <f>AA5*'Thong so - Độ nhậy - Bảng 1'!$C$24</f>
        <v>2186.3098500000001</v>
      </c>
      <c r="AB8" s="38">
        <f>AB5*'Thong so - Độ nhậy - Bảng 1'!$C$24</f>
        <v>2186.3098500000001</v>
      </c>
    </row>
    <row r="9" spans="1:28" ht="24.95" customHeight="1">
      <c r="A9" s="137">
        <v>5</v>
      </c>
      <c r="B9" s="52" t="s">
        <v>47</v>
      </c>
      <c r="C9" s="52"/>
      <c r="D9" s="44">
        <f>C8-D8</f>
        <v>-874.52394000000004</v>
      </c>
      <c r="E9" s="44">
        <f t="shared" ref="E9:AB9" si="0">D8-E8</f>
        <v>0</v>
      </c>
      <c r="F9" s="44">
        <f t="shared" si="0"/>
        <v>-109.31549250000012</v>
      </c>
      <c r="G9" s="44">
        <f t="shared" si="0"/>
        <v>0</v>
      </c>
      <c r="H9" s="44">
        <f t="shared" si="0"/>
        <v>-109.31549249999989</v>
      </c>
      <c r="I9" s="44">
        <f t="shared" si="0"/>
        <v>0</v>
      </c>
      <c r="J9" s="44">
        <f t="shared" si="0"/>
        <v>-109.31549250000012</v>
      </c>
      <c r="K9" s="44">
        <f t="shared" si="0"/>
        <v>0</v>
      </c>
      <c r="L9" s="44">
        <f t="shared" si="0"/>
        <v>-109.31549250000012</v>
      </c>
      <c r="M9" s="44">
        <f t="shared" si="0"/>
        <v>0</v>
      </c>
      <c r="N9" s="44">
        <f t="shared" si="0"/>
        <v>-109.31549249999966</v>
      </c>
      <c r="O9" s="44">
        <f t="shared" si="0"/>
        <v>-109.31549249999989</v>
      </c>
      <c r="P9" s="44">
        <f t="shared" si="0"/>
        <v>-109.31549250000012</v>
      </c>
      <c r="Q9" s="44">
        <f t="shared" si="0"/>
        <v>-109.31549250000012</v>
      </c>
      <c r="R9" s="44">
        <f t="shared" si="0"/>
        <v>-109.31549249999989</v>
      </c>
      <c r="S9" s="44">
        <f t="shared" si="0"/>
        <v>-109.31549250000035</v>
      </c>
      <c r="T9" s="44">
        <f t="shared" si="0"/>
        <v>-109.31549249999989</v>
      </c>
      <c r="U9" s="44">
        <f t="shared" si="0"/>
        <v>-109.31549249999989</v>
      </c>
      <c r="V9" s="44">
        <f t="shared" si="0"/>
        <v>0</v>
      </c>
      <c r="W9" s="44">
        <f t="shared" si="0"/>
        <v>0</v>
      </c>
      <c r="X9" s="44">
        <f t="shared" si="0"/>
        <v>0</v>
      </c>
      <c r="Y9" s="44">
        <f t="shared" si="0"/>
        <v>0</v>
      </c>
      <c r="Z9" s="44">
        <f t="shared" si="0"/>
        <v>0</v>
      </c>
      <c r="AA9" s="44">
        <f t="shared" si="0"/>
        <v>0</v>
      </c>
      <c r="AB9" s="44">
        <f t="shared" si="0"/>
        <v>0</v>
      </c>
    </row>
    <row r="10" spans="1:28" ht="24.95" customHeight="1">
      <c r="A10" s="137">
        <v>6</v>
      </c>
      <c r="B10" s="38" t="s">
        <v>54</v>
      </c>
      <c r="C10" s="38"/>
      <c r="D10" s="38">
        <f>D6*'Thong so - Độ nhậy - Bảng 1'!$C$25</f>
        <v>85.629000000000019</v>
      </c>
      <c r="E10" s="38">
        <f>E6*'Thong so - Độ nhậy - Bảng 1'!$C$25</f>
        <v>85.629000000000019</v>
      </c>
      <c r="F10" s="38">
        <f>F6*'Thong so - Độ nhậy - Bảng 1'!$C$25</f>
        <v>96.332625000000007</v>
      </c>
      <c r="G10" s="38">
        <f>G6*'Thong so - Độ nhậy - Bảng 1'!$C$25</f>
        <v>96.332625000000007</v>
      </c>
      <c r="H10" s="38">
        <f>H6*'Thong so - Độ nhậy - Bảng 1'!$C$25</f>
        <v>107.03625</v>
      </c>
      <c r="I10" s="38">
        <f>I6*'Thong so - Độ nhậy - Bảng 1'!$C$25</f>
        <v>107.03625</v>
      </c>
      <c r="J10" s="38">
        <f>J6*'Thong so - Độ nhậy - Bảng 1'!$C$25</f>
        <v>117.739875</v>
      </c>
      <c r="K10" s="38">
        <f>K6*'Thong so - Độ nhậy - Bảng 1'!$C$25</f>
        <v>117.739875</v>
      </c>
      <c r="L10" s="38">
        <f>L6*'Thong so - Độ nhậy - Bảng 1'!$C$25</f>
        <v>128.4435</v>
      </c>
      <c r="M10" s="38">
        <f>M6*'Thong so - Độ nhậy - Bảng 1'!$C$25</f>
        <v>128.4435</v>
      </c>
      <c r="N10" s="38">
        <f>N6*'Thong so - Độ nhậy - Bảng 1'!$C$25</f>
        <v>139.14712500000002</v>
      </c>
      <c r="O10" s="38">
        <f>O6*'Thong so - Độ nhậy - Bảng 1'!$C$25</f>
        <v>149.85074999999998</v>
      </c>
      <c r="P10" s="38">
        <f>P6*'Thong so - Độ nhậy - Bảng 1'!$C$25</f>
        <v>160.55437499999999</v>
      </c>
      <c r="Q10" s="38">
        <f>Q6*'Thong so - Độ nhậy - Bảng 1'!$C$25</f>
        <v>171.25800000000004</v>
      </c>
      <c r="R10" s="38">
        <f>R6*'Thong so - Độ nhậy - Bảng 1'!$C$25</f>
        <v>181.961625</v>
      </c>
      <c r="S10" s="38">
        <f>S6*'Thong so - Độ nhậy - Bảng 1'!$C$25</f>
        <v>192.66525000000001</v>
      </c>
      <c r="T10" s="38">
        <f>T6*'Thong so - Độ nhậy - Bảng 1'!$C$25</f>
        <v>203.36887499999997</v>
      </c>
      <c r="U10" s="38">
        <f>U6*'Thong so - Độ nhậy - Bảng 1'!$C$25</f>
        <v>214.07249999999999</v>
      </c>
      <c r="V10" s="38">
        <f>V6*'Thong so - Độ nhậy - Bảng 1'!$C$25</f>
        <v>214.07249999999999</v>
      </c>
      <c r="W10" s="38">
        <f>W6*'Thong so - Độ nhậy - Bảng 1'!$C$25</f>
        <v>214.07249999999999</v>
      </c>
      <c r="X10" s="38">
        <f>X6*'Thong so - Độ nhậy - Bảng 1'!$C$25</f>
        <v>214.07249999999999</v>
      </c>
      <c r="Y10" s="38">
        <f>Y6*'Thong so - Độ nhậy - Bảng 1'!$C$25</f>
        <v>214.07249999999999</v>
      </c>
      <c r="Z10" s="38">
        <f>Z6*'Thong so - Độ nhậy - Bảng 1'!$C$25</f>
        <v>214.07249999999999</v>
      </c>
      <c r="AA10" s="38">
        <f>AA6*'Thong so - Độ nhậy - Bảng 1'!$C$25</f>
        <v>214.07249999999999</v>
      </c>
      <c r="AB10" s="38">
        <f>AB6*'Thong so - Độ nhậy - Bảng 1'!$C$25</f>
        <v>214.07249999999999</v>
      </c>
    </row>
    <row r="11" spans="1:28" ht="24.95" customHeight="1">
      <c r="A11" s="137">
        <v>7</v>
      </c>
      <c r="B11" s="38" t="s">
        <v>57</v>
      </c>
      <c r="C11" s="38"/>
      <c r="D11" s="38">
        <f>C10-D10</f>
        <v>-85.629000000000019</v>
      </c>
      <c r="E11" s="38">
        <f t="shared" ref="E11:AB11" si="1">D10-E10</f>
        <v>0</v>
      </c>
      <c r="F11" s="38">
        <f t="shared" si="1"/>
        <v>-10.703624999999988</v>
      </c>
      <c r="G11" s="38">
        <f t="shared" si="1"/>
        <v>0</v>
      </c>
      <c r="H11" s="38">
        <f t="shared" si="1"/>
        <v>-10.703624999999988</v>
      </c>
      <c r="I11" s="38">
        <f t="shared" si="1"/>
        <v>0</v>
      </c>
      <c r="J11" s="38">
        <f t="shared" si="1"/>
        <v>-10.703625000000002</v>
      </c>
      <c r="K11" s="38">
        <f t="shared" si="1"/>
        <v>0</v>
      </c>
      <c r="L11" s="38">
        <f t="shared" si="1"/>
        <v>-10.703625000000002</v>
      </c>
      <c r="M11" s="38">
        <f t="shared" si="1"/>
        <v>0</v>
      </c>
      <c r="N11" s="38">
        <f t="shared" si="1"/>
        <v>-10.703625000000017</v>
      </c>
      <c r="O11" s="38">
        <f t="shared" si="1"/>
        <v>-10.70362499999996</v>
      </c>
      <c r="P11" s="38">
        <f t="shared" si="1"/>
        <v>-10.703625000000017</v>
      </c>
      <c r="Q11" s="38">
        <f t="shared" si="1"/>
        <v>-10.703625000000045</v>
      </c>
      <c r="R11" s="38">
        <f t="shared" si="1"/>
        <v>-10.70362499999996</v>
      </c>
      <c r="S11" s="38">
        <f t="shared" si="1"/>
        <v>-10.703625000000017</v>
      </c>
      <c r="T11" s="38">
        <f t="shared" si="1"/>
        <v>-10.70362499999996</v>
      </c>
      <c r="U11" s="38">
        <f t="shared" si="1"/>
        <v>-10.703625000000017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Y11" s="38">
        <f t="shared" si="1"/>
        <v>0</v>
      </c>
      <c r="Z11" s="38">
        <f t="shared" si="1"/>
        <v>0</v>
      </c>
      <c r="AA11" s="38">
        <f t="shared" si="1"/>
        <v>0</v>
      </c>
      <c r="AB11" s="38">
        <f t="shared" si="1"/>
        <v>0</v>
      </c>
    </row>
    <row r="12" spans="1:28" ht="24.95" customHeight="1">
      <c r="A12" s="137">
        <v>8</v>
      </c>
      <c r="B12" s="38" t="s">
        <v>61</v>
      </c>
      <c r="C12" s="38"/>
      <c r="D12" s="38">
        <f>D5*'Thong so - Độ nhậy - Bảng 1'!$C$26</f>
        <v>874.52394000000004</v>
      </c>
      <c r="E12" s="38">
        <f>E5*'Thong so - Độ nhậy - Bảng 1'!$C$26</f>
        <v>874.52394000000004</v>
      </c>
      <c r="F12" s="38">
        <f>F5*'Thong so - Độ nhậy - Bảng 1'!$C$26</f>
        <v>983.83943250000016</v>
      </c>
      <c r="G12" s="38">
        <f>G5*'Thong so - Độ nhậy - Bảng 1'!$C$26</f>
        <v>983.83943250000016</v>
      </c>
      <c r="H12" s="38">
        <f>H5*'Thong so - Độ nhậy - Bảng 1'!$C$26</f>
        <v>1093.154925</v>
      </c>
      <c r="I12" s="38">
        <f>I5*'Thong so - Độ nhậy - Bảng 1'!$C$26</f>
        <v>1093.154925</v>
      </c>
      <c r="J12" s="38">
        <f>J5*'Thong so - Độ nhậy - Bảng 1'!$C$26</f>
        <v>1202.4704175000002</v>
      </c>
      <c r="K12" s="38">
        <f>K5*'Thong so - Độ nhậy - Bảng 1'!$C$26</f>
        <v>1202.4704175000002</v>
      </c>
      <c r="L12" s="38">
        <f>L5*'Thong so - Độ nhậy - Bảng 1'!$C$26</f>
        <v>1311.7859100000003</v>
      </c>
      <c r="M12" s="38">
        <f>M5*'Thong so - Độ nhậy - Bảng 1'!$C$26</f>
        <v>1311.7859100000003</v>
      </c>
      <c r="N12" s="38">
        <f>N5*'Thong so - Độ nhậy - Bảng 1'!$C$26</f>
        <v>1421.1014024999999</v>
      </c>
      <c r="O12" s="38">
        <f>O5*'Thong so - Độ nhậy - Bảng 1'!$C$26</f>
        <v>1530.4168949999998</v>
      </c>
      <c r="P12" s="38">
        <f>P5*'Thong so - Độ nhậy - Bảng 1'!$C$26</f>
        <v>1639.7323875</v>
      </c>
      <c r="Q12" s="38">
        <f>Q5*'Thong so - Độ nhậy - Bảng 1'!$C$26</f>
        <v>1749.0478800000001</v>
      </c>
      <c r="R12" s="38">
        <f>R5*'Thong so - Độ nhậy - Bảng 1'!$C$26</f>
        <v>1858.3633725</v>
      </c>
      <c r="S12" s="38">
        <f>S5*'Thong so - Độ nhậy - Bảng 1'!$C$26</f>
        <v>1967.6788650000003</v>
      </c>
      <c r="T12" s="38">
        <f>T5*'Thong so - Độ nhậy - Bảng 1'!$C$26</f>
        <v>2076.9943575000002</v>
      </c>
      <c r="U12" s="38">
        <f>U5*'Thong so - Độ nhậy - Bảng 1'!$C$26</f>
        <v>2186.3098500000001</v>
      </c>
      <c r="V12" s="38">
        <f>V5*'Thong so - Độ nhậy - Bảng 1'!$C$26</f>
        <v>2186.3098500000001</v>
      </c>
      <c r="W12" s="38">
        <f>W5*'Thong so - Độ nhậy - Bảng 1'!$C$26</f>
        <v>2186.3098500000001</v>
      </c>
      <c r="X12" s="38">
        <f>X5*'Thong so - Độ nhậy - Bảng 1'!$C$26</f>
        <v>2186.3098500000001</v>
      </c>
      <c r="Y12" s="38">
        <f>Y5*'Thong so - Độ nhậy - Bảng 1'!$C$26</f>
        <v>2186.3098500000001</v>
      </c>
      <c r="Z12" s="38">
        <f>Z5*'Thong so - Độ nhậy - Bảng 1'!$C$26</f>
        <v>2186.3098500000001</v>
      </c>
      <c r="AA12" s="38">
        <f>AA5*'Thong so - Độ nhậy - Bảng 1'!$C$26</f>
        <v>2186.3098500000001</v>
      </c>
      <c r="AB12" s="38">
        <f>AB5*'Thong so - Độ nhậy - Bảng 1'!$C$26</f>
        <v>2186.3098500000001</v>
      </c>
    </row>
    <row r="13" spans="1:28" ht="24.95" customHeight="1">
      <c r="A13" s="137">
        <v>9</v>
      </c>
      <c r="B13" s="38" t="s">
        <v>66</v>
      </c>
      <c r="C13" s="38"/>
      <c r="D13" s="38">
        <f>-C12+D12</f>
        <v>874.52394000000004</v>
      </c>
      <c r="E13" s="38">
        <f t="shared" ref="E13:AB13" si="2">-D12+E12</f>
        <v>0</v>
      </c>
      <c r="F13" s="38">
        <f t="shared" si="2"/>
        <v>109.31549250000012</v>
      </c>
      <c r="G13" s="38">
        <f t="shared" si="2"/>
        <v>0</v>
      </c>
      <c r="H13" s="38">
        <f t="shared" si="2"/>
        <v>109.31549249999989</v>
      </c>
      <c r="I13" s="38">
        <f t="shared" si="2"/>
        <v>0</v>
      </c>
      <c r="J13" s="38">
        <f t="shared" si="2"/>
        <v>109.31549250000012</v>
      </c>
      <c r="K13" s="38">
        <f t="shared" si="2"/>
        <v>0</v>
      </c>
      <c r="L13" s="38">
        <f t="shared" si="2"/>
        <v>109.31549250000012</v>
      </c>
      <c r="M13" s="38">
        <f t="shared" si="2"/>
        <v>0</v>
      </c>
      <c r="N13" s="38">
        <f t="shared" si="2"/>
        <v>109.31549249999966</v>
      </c>
      <c r="O13" s="38">
        <f t="shared" si="2"/>
        <v>109.31549249999989</v>
      </c>
      <c r="P13" s="38">
        <f t="shared" si="2"/>
        <v>109.31549250000012</v>
      </c>
      <c r="Q13" s="38">
        <f t="shared" si="2"/>
        <v>109.31549250000012</v>
      </c>
      <c r="R13" s="38">
        <f t="shared" si="2"/>
        <v>109.31549249999989</v>
      </c>
      <c r="S13" s="38">
        <f t="shared" si="2"/>
        <v>109.31549250000035</v>
      </c>
      <c r="T13" s="38">
        <f t="shared" si="2"/>
        <v>109.31549249999989</v>
      </c>
      <c r="U13" s="38">
        <f t="shared" si="2"/>
        <v>109.31549249999989</v>
      </c>
      <c r="V13" s="38">
        <f t="shared" si="2"/>
        <v>0</v>
      </c>
      <c r="W13" s="38">
        <f t="shared" si="2"/>
        <v>0</v>
      </c>
      <c r="X13" s="38">
        <f t="shared" si="2"/>
        <v>0</v>
      </c>
      <c r="Y13" s="38">
        <f t="shared" si="2"/>
        <v>0</v>
      </c>
      <c r="Z13" s="38">
        <f t="shared" si="2"/>
        <v>0</v>
      </c>
      <c r="AA13" s="38">
        <f t="shared" si="2"/>
        <v>0</v>
      </c>
      <c r="AB13" s="38">
        <f t="shared" si="2"/>
        <v>0</v>
      </c>
    </row>
    <row r="14" spans="1:28" ht="24.95" customHeight="1">
      <c r="A14" s="137">
        <v>10</v>
      </c>
      <c r="B14" s="38" t="s">
        <v>119</v>
      </c>
      <c r="C14" s="38"/>
      <c r="D14" s="38">
        <f>D7/'Thong so - Độ nhậy - Bảng 1'!$C$27</f>
        <v>12296.85</v>
      </c>
      <c r="E14" s="38">
        <f>E7/'Thong so - Độ nhậy - Bảng 1'!$C$27</f>
        <v>12296.85</v>
      </c>
      <c r="F14" s="38">
        <f>F7/'Thong so - Độ nhậy - Bảng 1'!$C$27</f>
        <v>13833.956250000001</v>
      </c>
      <c r="G14" s="38">
        <f>G7/'Thong so - Độ nhậy - Bảng 1'!$C$27</f>
        <v>13833.956250000001</v>
      </c>
      <c r="H14" s="38">
        <f>H7/'Thong so - Độ nhậy - Bảng 1'!$C$27</f>
        <v>15371.0625</v>
      </c>
      <c r="I14" s="38">
        <f>I7/'Thong so - Độ nhậy - Bảng 1'!$C$27</f>
        <v>15371.0625</v>
      </c>
      <c r="J14" s="38">
        <f>J7/'Thong so - Độ nhậy - Bảng 1'!$C$27</f>
        <v>16908.168750000001</v>
      </c>
      <c r="K14" s="38">
        <f>K7/'Thong so - Độ nhậy - Bảng 1'!$C$27</f>
        <v>16908.168750000001</v>
      </c>
      <c r="L14" s="38">
        <f>L7/'Thong so - Độ nhậy - Bảng 1'!$C$27</f>
        <v>18445.274999999998</v>
      </c>
      <c r="M14" s="38">
        <f>M7/'Thong so - Độ nhậy - Bảng 1'!$C$27</f>
        <v>18445.274999999998</v>
      </c>
      <c r="N14" s="38">
        <f>N7/'Thong so - Độ nhậy - Bảng 1'!$C$27</f>
        <v>19982.381249999999</v>
      </c>
      <c r="O14" s="38">
        <f>O7/'Thong so - Độ nhậy - Bảng 1'!$C$27</f>
        <v>21519.487499999999</v>
      </c>
      <c r="P14" s="38">
        <f>P7/'Thong so - Độ nhậy - Bảng 1'!$C$27</f>
        <v>23056.59375</v>
      </c>
      <c r="Q14" s="38">
        <f>Q7/'Thong so - Độ nhậy - Bảng 1'!$C$27</f>
        <v>24593.7</v>
      </c>
      <c r="R14" s="38">
        <f>R7/'Thong so - Độ nhậy - Bảng 1'!$C$27</f>
        <v>26130.806249999998</v>
      </c>
      <c r="S14" s="38">
        <f>S7/'Thong so - Độ nhậy - Bảng 1'!$C$27</f>
        <v>27667.912500000002</v>
      </c>
      <c r="T14" s="38">
        <f>T7/'Thong so - Độ nhậy - Bảng 1'!$C$27</f>
        <v>29205.018749999999</v>
      </c>
      <c r="U14" s="38">
        <f>U7/'Thong so - Độ nhậy - Bảng 1'!$C$27</f>
        <v>30742.125</v>
      </c>
      <c r="V14" s="38">
        <f>V7/'Thong so - Độ nhậy - Bảng 1'!$C$27</f>
        <v>30742.125</v>
      </c>
      <c r="W14" s="38">
        <f>W7/'Thong so - Độ nhậy - Bảng 1'!$C$27</f>
        <v>30742.125</v>
      </c>
      <c r="X14" s="38">
        <f>X7/'Thong so - Độ nhậy - Bảng 1'!$C$27</f>
        <v>30742.125</v>
      </c>
      <c r="Y14" s="38">
        <f>Y7/'Thong so - Độ nhậy - Bảng 1'!$C$27</f>
        <v>30742.125</v>
      </c>
      <c r="Z14" s="38">
        <f>Z7/'Thong so - Độ nhậy - Bảng 1'!$C$27</f>
        <v>30742.125</v>
      </c>
      <c r="AA14" s="38">
        <f>AA7/'Thong so - Độ nhậy - Bảng 1'!$C$27</f>
        <v>30742.125</v>
      </c>
      <c r="AB14" s="38">
        <f>AB7/'Thong so - Độ nhậy - Bảng 1'!$C$27</f>
        <v>30742.125</v>
      </c>
    </row>
    <row r="15" spans="1:28" ht="24.95" customHeight="1">
      <c r="A15" s="137">
        <v>11</v>
      </c>
      <c r="B15" s="38" t="s">
        <v>118</v>
      </c>
      <c r="C15" s="38"/>
      <c r="D15" s="38">
        <f>D8-D10+D12+D14</f>
        <v>13960.26888</v>
      </c>
      <c r="E15" s="38">
        <f t="shared" ref="E15:AB15" si="3">E8-E10+E12+E14</f>
        <v>13960.26888</v>
      </c>
      <c r="F15" s="38">
        <f t="shared" si="3"/>
        <v>15705.302490000002</v>
      </c>
      <c r="G15" s="38">
        <f t="shared" si="3"/>
        <v>15705.302490000002</v>
      </c>
      <c r="H15" s="38">
        <f t="shared" si="3"/>
        <v>17450.3361</v>
      </c>
      <c r="I15" s="38">
        <f t="shared" si="3"/>
        <v>17450.3361</v>
      </c>
      <c r="J15" s="38">
        <f t="shared" si="3"/>
        <v>19195.369709999999</v>
      </c>
      <c r="K15" s="38">
        <f t="shared" si="3"/>
        <v>19195.369709999999</v>
      </c>
      <c r="L15" s="38">
        <f t="shared" si="3"/>
        <v>20940.403319999998</v>
      </c>
      <c r="M15" s="38">
        <f t="shared" si="3"/>
        <v>20940.403319999998</v>
      </c>
      <c r="N15" s="38">
        <f t="shared" si="3"/>
        <v>22685.43693</v>
      </c>
      <c r="O15" s="38">
        <f t="shared" si="3"/>
        <v>24430.470539999998</v>
      </c>
      <c r="P15" s="38">
        <f t="shared" si="3"/>
        <v>26175.504150000001</v>
      </c>
      <c r="Q15" s="38">
        <f t="shared" si="3"/>
        <v>27920.537759999999</v>
      </c>
      <c r="R15" s="38">
        <f t="shared" si="3"/>
        <v>29665.571369999998</v>
      </c>
      <c r="S15" s="38">
        <f t="shared" si="3"/>
        <v>31410.604980000004</v>
      </c>
      <c r="T15" s="38">
        <f t="shared" si="3"/>
        <v>33155.638590000002</v>
      </c>
      <c r="U15" s="38">
        <f t="shared" si="3"/>
        <v>34900.672200000001</v>
      </c>
      <c r="V15" s="38">
        <f t="shared" si="3"/>
        <v>34900.672200000001</v>
      </c>
      <c r="W15" s="38">
        <f t="shared" si="3"/>
        <v>34900.672200000001</v>
      </c>
      <c r="X15" s="38">
        <f t="shared" si="3"/>
        <v>34900.672200000001</v>
      </c>
      <c r="Y15" s="38">
        <f t="shared" si="3"/>
        <v>34900.672200000001</v>
      </c>
      <c r="Z15" s="38">
        <f t="shared" si="3"/>
        <v>34900.672200000001</v>
      </c>
      <c r="AA15" s="38">
        <f t="shared" si="3"/>
        <v>34900.672200000001</v>
      </c>
      <c r="AB15" s="38">
        <f t="shared" si="3"/>
        <v>34900.672200000001</v>
      </c>
    </row>
    <row r="16" spans="1:28" ht="24.95" customHeight="1">
      <c r="A16" s="137">
        <v>12</v>
      </c>
      <c r="B16" s="38" t="s">
        <v>123</v>
      </c>
      <c r="C16" s="38"/>
      <c r="D16" s="38">
        <f>'Thong so - Độ nhậy - Bảng 1'!$C$28*D15</f>
        <v>12564.241991999999</v>
      </c>
      <c r="E16" s="38">
        <f>'Thong so - Độ nhậy - Bảng 1'!$C$28*E15</f>
        <v>12564.241991999999</v>
      </c>
      <c r="F16" s="38">
        <f>'Thong so - Độ nhậy - Bảng 1'!$C$28*F15</f>
        <v>14134.772241000002</v>
      </c>
      <c r="G16" s="38">
        <f>'Thong so - Độ nhậy - Bảng 1'!$C$28*G15</f>
        <v>14134.772241000002</v>
      </c>
      <c r="H16" s="38">
        <f>'Thong so - Độ nhậy - Bảng 1'!$C$28*H15</f>
        <v>15705.30249</v>
      </c>
      <c r="I16" s="38">
        <f>'Thong so - Độ nhậy - Bảng 1'!$C$28*I15</f>
        <v>15705.30249</v>
      </c>
      <c r="J16" s="38">
        <f>'Thong so - Độ nhậy - Bảng 1'!$C$28*J15</f>
        <v>17275.832739000001</v>
      </c>
      <c r="K16" s="38">
        <f>'Thong so - Độ nhậy - Bảng 1'!$C$28*K15</f>
        <v>17275.832739000001</v>
      </c>
      <c r="L16" s="38">
        <f>'Thong so - Độ nhậy - Bảng 1'!$C$28*L15</f>
        <v>18846.362987999997</v>
      </c>
      <c r="M16" s="38">
        <f>'Thong so - Độ nhậy - Bảng 1'!$C$28*M15</f>
        <v>18846.362987999997</v>
      </c>
      <c r="N16" s="38">
        <f>'Thong so - Độ nhậy - Bảng 1'!$C$28*N15</f>
        <v>20416.893237</v>
      </c>
      <c r="O16" s="38">
        <f>'Thong so - Độ nhậy - Bảng 1'!$C$28*O15</f>
        <v>21987.423486</v>
      </c>
      <c r="P16" s="38">
        <f>'Thong so - Độ nhậy - Bảng 1'!$C$28*P15</f>
        <v>23557.953735000003</v>
      </c>
      <c r="Q16" s="38">
        <f>'Thong so - Độ nhậy - Bảng 1'!$C$28*Q15</f>
        <v>25128.483983999999</v>
      </c>
      <c r="R16" s="38">
        <f>'Thong so - Độ nhậy - Bảng 1'!$C$28*R15</f>
        <v>26699.014232999998</v>
      </c>
      <c r="S16" s="38">
        <f>'Thong so - Độ nhậy - Bảng 1'!$C$28*S15</f>
        <v>28269.544482000005</v>
      </c>
      <c r="T16" s="38">
        <f>'Thong so - Độ nhậy - Bảng 1'!$C$28*T15</f>
        <v>29840.074731000004</v>
      </c>
      <c r="U16" s="38">
        <f>'Thong so - Độ nhậy - Bảng 1'!$C$28*U15</f>
        <v>31410.60498</v>
      </c>
      <c r="V16" s="38">
        <f>'Thong so - Độ nhậy - Bảng 1'!$C$28*V15</f>
        <v>31410.60498</v>
      </c>
      <c r="W16" s="38">
        <f>'Thong so - Độ nhậy - Bảng 1'!$C$28*W15</f>
        <v>31410.60498</v>
      </c>
      <c r="X16" s="38">
        <f>'Thong so - Độ nhậy - Bảng 1'!$C$28*X15</f>
        <v>31410.60498</v>
      </c>
      <c r="Y16" s="38">
        <f>'Thong so - Độ nhậy - Bảng 1'!$C$28*Y15</f>
        <v>31410.60498</v>
      </c>
      <c r="Z16" s="38">
        <f>'Thong so - Độ nhậy - Bảng 1'!$C$28*Z15</f>
        <v>31410.60498</v>
      </c>
      <c r="AA16" s="38">
        <f>'Thong so - Độ nhậy - Bảng 1'!$C$28*AA15</f>
        <v>31410.60498</v>
      </c>
      <c r="AB16" s="38">
        <f>'Thong so - Độ nhậy - Bảng 1'!$C$28*AB15</f>
        <v>31410.60498</v>
      </c>
    </row>
    <row r="17" spans="1:28" ht="24.95" customHeight="1">
      <c r="A17" s="137">
        <v>12</v>
      </c>
      <c r="B17" s="38" t="s">
        <v>116</v>
      </c>
      <c r="C17" s="38"/>
      <c r="D17" s="38">
        <f>D16*'Thong so - Độ nhậy - Bảng 1'!$N$20</f>
        <v>1005.13935936</v>
      </c>
      <c r="E17" s="38">
        <f>E16*'Thong so - Độ nhậy - Bảng 1'!$N$20</f>
        <v>1005.13935936</v>
      </c>
      <c r="F17" s="38">
        <f>F16*'Thong so - Độ nhậy - Bảng 1'!$N$20</f>
        <v>1130.7817792800001</v>
      </c>
      <c r="G17" s="38">
        <f>G16*'Thong so - Độ nhậy - Bảng 1'!$N$20</f>
        <v>1130.7817792800001</v>
      </c>
      <c r="H17" s="38">
        <f>H16*'Thong so - Độ nhậy - Bảng 1'!$N$20</f>
        <v>1256.4241992</v>
      </c>
      <c r="I17" s="38">
        <f>I16*'Thong so - Độ nhậy - Bảng 1'!$N$20</f>
        <v>1256.4241992</v>
      </c>
      <c r="J17" s="38">
        <f>J16*'Thong so - Độ nhậy - Bảng 1'!$N$20</f>
        <v>1382.06661912</v>
      </c>
      <c r="K17" s="38">
        <f>K16*'Thong so - Độ nhậy - Bảng 1'!$N$20</f>
        <v>1382.06661912</v>
      </c>
      <c r="L17" s="38">
        <f>L16*'Thong so - Độ nhậy - Bảng 1'!$N$20</f>
        <v>1507.7090390399999</v>
      </c>
      <c r="M17" s="38">
        <f>M16*'Thong so - Độ nhậy - Bảng 1'!$N$20</f>
        <v>1507.7090390399999</v>
      </c>
      <c r="N17" s="38">
        <f>N16*'Thong so - Độ nhậy - Bảng 1'!$N$20</f>
        <v>1633.3514589599999</v>
      </c>
      <c r="O17" s="38">
        <f>O16*'Thong so - Độ nhậy - Bảng 1'!$N$20</f>
        <v>1758.99387888</v>
      </c>
      <c r="P17" s="38">
        <f>P16*'Thong so - Độ nhậy - Bảng 1'!$N$20</f>
        <v>1884.6362988000003</v>
      </c>
      <c r="Q17" s="38">
        <f>Q16*'Thong so - Độ nhậy - Bảng 1'!$N$20</f>
        <v>2010.2787187199999</v>
      </c>
      <c r="R17" s="38">
        <f>R16*'Thong so - Độ nhậy - Bảng 1'!$N$20</f>
        <v>2135.9211386399998</v>
      </c>
      <c r="S17" s="38">
        <f>S16*'Thong so - Độ nhậy - Bảng 1'!$N$20</f>
        <v>2261.5635585600003</v>
      </c>
      <c r="T17" s="38">
        <f>T16*'Thong so - Độ nhậy - Bảng 1'!$N$20</f>
        <v>2387.2059784800003</v>
      </c>
      <c r="U17" s="38">
        <f>U16*'Thong so - Độ nhậy - Bảng 1'!$N$20</f>
        <v>2512.8483984</v>
      </c>
      <c r="V17" s="38">
        <f>V16*'Thong so - Độ nhậy - Bảng 1'!$N$20</f>
        <v>2512.8483984</v>
      </c>
      <c r="W17" s="38">
        <f>W16*'Thong so - Độ nhậy - Bảng 1'!$N$20</f>
        <v>2512.8483984</v>
      </c>
      <c r="X17" s="38">
        <f>X16*'Thong so - Độ nhậy - Bảng 1'!$N$20</f>
        <v>2512.8483984</v>
      </c>
      <c r="Y17" s="38">
        <f>Y16*'Thong so - Độ nhậy - Bảng 1'!$N$20</f>
        <v>2512.8483984</v>
      </c>
      <c r="Z17" s="38">
        <f>Z16*'Thong so - Độ nhậy - Bảng 1'!$N$20</f>
        <v>2512.8483984</v>
      </c>
      <c r="AA17" s="38">
        <f>AA16*'Thong so - Độ nhậy - Bảng 1'!$N$20</f>
        <v>2512.8483984</v>
      </c>
      <c r="AB17" s="38">
        <f>AB16*'Thong so - Độ nhậy - Bảng 1'!$N$20</f>
        <v>2512.8483984</v>
      </c>
    </row>
    <row r="18" spans="1:28" ht="24.95" customHeight="1">
      <c r="A18" s="137"/>
      <c r="B18" s="52"/>
      <c r="C18" s="52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</row>
    <row r="19" spans="1:28">
      <c r="A19" s="2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28">
      <c r="A20" s="2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28">
      <c r="A21" s="2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28">
      <c r="A22" s="3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</row>
    <row r="23" spans="1:28">
      <c r="A23" s="39"/>
      <c r="B23" s="4"/>
      <c r="C23" s="4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28">
      <c r="A24" s="3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28">
      <c r="N25" s="4"/>
    </row>
    <row r="48" spans="1:1">
      <c r="A48" s="138"/>
    </row>
  </sheetData>
  <mergeCells count="5">
    <mergeCell ref="A3:A4"/>
    <mergeCell ref="B3:B4"/>
    <mergeCell ref="C3:C4"/>
    <mergeCell ref="D3:R3"/>
    <mergeCell ref="A2:R2"/>
  </mergeCells>
  <printOptions horizontalCentered="1"/>
  <pageMargins left="0.196850393700787" right="0.196850393700787" top="0.35433070866141703" bottom="0.27559055118110198" header="0.196850393700787" footer="0.196850393700787"/>
  <pageSetup paperSize="9" orientation="landscape" r:id="rId1"/>
  <headerFooter alignWithMargins="0"/>
  <ignoredErrors>
    <ignoredError sqref="D10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37"/>
  <sheetViews>
    <sheetView showGridLines="0" zoomScale="80" zoomScaleNormal="80" zoomScaleSheetLayoutView="100" workbookViewId="0">
      <selection activeCell="E19" sqref="E19"/>
    </sheetView>
  </sheetViews>
  <sheetFormatPr defaultColWidth="11.42578125" defaultRowHeight="12.75"/>
  <cols>
    <col min="1" max="1" width="5.7109375" style="136" customWidth="1"/>
    <col min="2" max="2" width="21.7109375" style="1" customWidth="1"/>
    <col min="3" max="3" width="14.7109375" style="1" customWidth="1"/>
    <col min="4" max="4" width="10" style="1" customWidth="1"/>
    <col min="5" max="5" width="10.7109375" style="1" customWidth="1"/>
    <col min="6" max="7" width="10.85546875" style="1" customWidth="1"/>
    <col min="8" max="9" width="10.7109375" style="1" customWidth="1"/>
    <col min="10" max="10" width="11" style="1" customWidth="1"/>
    <col min="11" max="11" width="10.85546875" style="1" customWidth="1"/>
    <col min="12" max="12" width="10.7109375" style="1" customWidth="1"/>
    <col min="13" max="13" width="10.5703125" style="1" customWidth="1"/>
    <col min="14" max="14" width="11.140625" style="1" customWidth="1"/>
    <col min="15" max="15" width="10.5703125" style="1" customWidth="1"/>
    <col min="16" max="16" width="11.42578125" style="1"/>
    <col min="17" max="17" width="11" style="1" bestFit="1" customWidth="1"/>
    <col min="18" max="16384" width="11.42578125" style="1"/>
  </cols>
  <sheetData>
    <row r="1" spans="1:29" ht="15.75" customHeight="1">
      <c r="A1" s="677" t="s">
        <v>346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</row>
    <row r="2" spans="1:29" ht="12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</row>
    <row r="3" spans="1:29" ht="24.95" customHeight="1">
      <c r="A3" s="675" t="s">
        <v>7</v>
      </c>
      <c r="B3" s="675" t="s">
        <v>8</v>
      </c>
      <c r="C3" s="6">
        <v>2016</v>
      </c>
      <c r="D3" s="6">
        <v>2017</v>
      </c>
      <c r="E3" s="6">
        <v>2018</v>
      </c>
      <c r="F3" s="6">
        <v>2019</v>
      </c>
      <c r="G3" s="6">
        <v>2020</v>
      </c>
      <c r="H3" s="6">
        <v>2021</v>
      </c>
      <c r="I3" s="6">
        <v>2022</v>
      </c>
      <c r="J3" s="6">
        <v>2023</v>
      </c>
      <c r="K3" s="6">
        <v>2024</v>
      </c>
      <c r="L3" s="6">
        <v>2025</v>
      </c>
      <c r="M3" s="6">
        <v>2026</v>
      </c>
      <c r="N3" s="6">
        <v>2027</v>
      </c>
      <c r="O3" s="6">
        <v>2028</v>
      </c>
      <c r="P3" s="6">
        <v>2029</v>
      </c>
      <c r="Q3" s="6">
        <v>2030</v>
      </c>
      <c r="R3" s="6">
        <v>2031</v>
      </c>
      <c r="S3" s="6">
        <v>2032</v>
      </c>
      <c r="T3" s="6">
        <v>2033</v>
      </c>
      <c r="U3" s="6">
        <v>2034</v>
      </c>
      <c r="V3" s="6">
        <v>2035</v>
      </c>
      <c r="W3" s="6">
        <v>2036</v>
      </c>
      <c r="X3" s="6">
        <v>2037</v>
      </c>
      <c r="Y3" s="6">
        <v>2038</v>
      </c>
      <c r="Z3" s="6">
        <v>2039</v>
      </c>
      <c r="AA3" s="6">
        <v>2040</v>
      </c>
      <c r="AB3" s="6">
        <v>2041</v>
      </c>
      <c r="AC3" s="6">
        <v>2042</v>
      </c>
    </row>
    <row r="4" spans="1:29" ht="24.95" customHeight="1">
      <c r="A4" s="675"/>
      <c r="B4" s="676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24.95" customHeight="1">
      <c r="A5" s="282">
        <v>1</v>
      </c>
      <c r="B5" s="25" t="s">
        <v>24</v>
      </c>
      <c r="C5" s="25"/>
      <c r="D5" s="25"/>
      <c r="E5" s="25"/>
      <c r="F5" s="26"/>
      <c r="G5" s="26"/>
      <c r="H5" s="26"/>
      <c r="I5" s="26"/>
      <c r="J5" s="26"/>
      <c r="K5" s="26"/>
      <c r="L5" s="26"/>
      <c r="M5" s="26"/>
      <c r="N5" s="26"/>
      <c r="O5" s="26"/>
      <c r="P5" s="3"/>
      <c r="Q5" s="3"/>
      <c r="R5" s="3"/>
    </row>
    <row r="6" spans="1:29" ht="24.95" customHeight="1">
      <c r="A6" s="133"/>
      <c r="B6" s="40" t="s">
        <v>32</v>
      </c>
      <c r="C6" s="40"/>
      <c r="D6" s="40"/>
      <c r="E6" s="37">
        <f>'KQKD- Bảng 4'!D8</f>
        <v>87452.394</v>
      </c>
      <c r="F6" s="37">
        <f>'KQKD- Bảng 4'!E8</f>
        <v>87452.394</v>
      </c>
      <c r="G6" s="37">
        <f>'KQKD- Bảng 4'!F8</f>
        <v>98383.943250000011</v>
      </c>
      <c r="H6" s="37">
        <f>'KQKD- Bảng 4'!G8</f>
        <v>98383.943250000011</v>
      </c>
      <c r="I6" s="37">
        <f>'KQKD- Bảng 4'!H8</f>
        <v>109315.49250000001</v>
      </c>
      <c r="J6" s="37">
        <f>'KQKD- Bảng 4'!I8</f>
        <v>109315.49250000001</v>
      </c>
      <c r="K6" s="37">
        <f>'KQKD- Bảng 4'!J8</f>
        <v>120247.04175</v>
      </c>
      <c r="L6" s="37">
        <f>'KQKD- Bảng 4'!K8</f>
        <v>120247.04175</v>
      </c>
      <c r="M6" s="37">
        <f>'KQKD- Bảng 4'!L8</f>
        <v>131178.59100000001</v>
      </c>
      <c r="N6" s="37">
        <f>'KQKD- Bảng 4'!M8</f>
        <v>131178.59100000001</v>
      </c>
      <c r="O6" s="37">
        <f>'KQKD- Bảng 4'!N8</f>
        <v>142110.14025</v>
      </c>
      <c r="P6" s="37">
        <f>'KQKD- Bảng 4'!O8</f>
        <v>153041.68949999998</v>
      </c>
      <c r="Q6" s="37">
        <f>'KQKD- Bảng 4'!P8</f>
        <v>163973.23874999999</v>
      </c>
      <c r="R6" s="37">
        <f>'KQKD- Bảng 4'!Q8</f>
        <v>174904.788</v>
      </c>
      <c r="S6" s="37">
        <f>'KQKD- Bảng 4'!R8</f>
        <v>185836.33724999998</v>
      </c>
      <c r="T6" s="37">
        <f>'KQKD- Bảng 4'!S8</f>
        <v>196767.88650000002</v>
      </c>
      <c r="U6" s="37">
        <f>'KQKD- Bảng 4'!T8</f>
        <v>207699.43575</v>
      </c>
      <c r="V6" s="37">
        <f>'KQKD- Bảng 4'!U8</f>
        <v>218630.98500000002</v>
      </c>
      <c r="W6" s="37">
        <f>'KQKD- Bảng 4'!V8</f>
        <v>218630.98500000002</v>
      </c>
      <c r="X6" s="37">
        <f>'KQKD- Bảng 4'!W8</f>
        <v>218630.98500000002</v>
      </c>
      <c r="Y6" s="37">
        <f>'KQKD- Bảng 4'!X8</f>
        <v>218630.98500000002</v>
      </c>
      <c r="Z6" s="37">
        <f>'KQKD- Bảng 4'!Y8</f>
        <v>218630.98500000002</v>
      </c>
      <c r="AA6" s="37">
        <f>'KQKD- Bảng 4'!Z8</f>
        <v>218630.98500000002</v>
      </c>
      <c r="AB6" s="37">
        <f>'KQKD- Bảng 4'!AA8</f>
        <v>218630.98500000002</v>
      </c>
      <c r="AC6" s="37">
        <f>'KQKD- Bảng 4'!AB8</f>
        <v>218630.98500000002</v>
      </c>
    </row>
    <row r="7" spans="1:29" ht="24.95" customHeight="1">
      <c r="A7" s="133"/>
      <c r="B7" s="40" t="s">
        <v>38</v>
      </c>
      <c r="C7" s="40"/>
      <c r="D7" s="40"/>
      <c r="E7" s="37">
        <f>'VLD- Bảng 6'!D9</f>
        <v>-874.52394000000004</v>
      </c>
      <c r="F7" s="37">
        <f>'VLD- Bảng 6'!E9</f>
        <v>0</v>
      </c>
      <c r="G7" s="37">
        <f>'VLD- Bảng 6'!F9</f>
        <v>-109.31549250000012</v>
      </c>
      <c r="H7" s="37">
        <f>'VLD- Bảng 6'!G9</f>
        <v>0</v>
      </c>
      <c r="I7" s="37">
        <f>'VLD- Bảng 6'!H9</f>
        <v>-109.31549249999989</v>
      </c>
      <c r="J7" s="37">
        <f>'VLD- Bảng 6'!I9</f>
        <v>0</v>
      </c>
      <c r="K7" s="37">
        <f>'VLD- Bảng 6'!J9</f>
        <v>-109.31549250000012</v>
      </c>
      <c r="L7" s="37">
        <f>'VLD- Bảng 6'!K9</f>
        <v>0</v>
      </c>
      <c r="M7" s="37">
        <f>'VLD- Bảng 6'!L9</f>
        <v>-109.31549250000012</v>
      </c>
      <c r="N7" s="37">
        <f>'VLD- Bảng 6'!M9</f>
        <v>0</v>
      </c>
      <c r="O7" s="37">
        <f>'VLD- Bảng 6'!N9</f>
        <v>-109.31549249999966</v>
      </c>
      <c r="P7" s="37">
        <f>'VLD- Bảng 6'!O9</f>
        <v>-109.31549249999989</v>
      </c>
      <c r="Q7" s="37">
        <f>'VLD- Bảng 6'!P9</f>
        <v>-109.31549250000012</v>
      </c>
      <c r="R7" s="37">
        <f>'VLD- Bảng 6'!Q9</f>
        <v>-109.31549250000012</v>
      </c>
      <c r="S7" s="37">
        <f>'VLD- Bảng 6'!R9</f>
        <v>-109.31549249999989</v>
      </c>
      <c r="T7" s="37">
        <f>'VLD- Bảng 6'!S9</f>
        <v>-109.31549250000035</v>
      </c>
      <c r="U7" s="37">
        <f>'VLD- Bảng 6'!T9</f>
        <v>-109.31549249999989</v>
      </c>
      <c r="V7" s="37">
        <f>'VLD- Bảng 6'!U9</f>
        <v>-109.31549249999989</v>
      </c>
      <c r="W7" s="37">
        <f>'VLD- Bảng 6'!V9</f>
        <v>0</v>
      </c>
      <c r="X7" s="37">
        <f>'VLD- Bảng 6'!W9</f>
        <v>0</v>
      </c>
      <c r="Y7" s="37">
        <f>'VLD- Bảng 6'!X9</f>
        <v>0</v>
      </c>
      <c r="Z7" s="37">
        <f>'VLD- Bảng 6'!Y9</f>
        <v>0</v>
      </c>
      <c r="AA7" s="37">
        <f>'VLD- Bảng 6'!Z9</f>
        <v>0</v>
      </c>
      <c r="AB7" s="37">
        <f>'VLD- Bảng 6'!AA9</f>
        <v>0</v>
      </c>
      <c r="AC7" s="37">
        <f>'VLD- Bảng 6'!AB9</f>
        <v>0</v>
      </c>
    </row>
    <row r="8" spans="1:29" ht="24.95" customHeight="1">
      <c r="A8" s="133"/>
      <c r="B8" s="40" t="s">
        <v>43</v>
      </c>
      <c r="C8" s="40"/>
      <c r="D8" s="40"/>
      <c r="E8" s="40"/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</row>
    <row r="9" spans="1:29" ht="24.95" customHeight="1">
      <c r="A9" s="133"/>
      <c r="B9" s="36" t="s">
        <v>48</v>
      </c>
      <c r="C9" s="36"/>
      <c r="D9" s="36"/>
      <c r="E9" s="36"/>
      <c r="F9" s="37"/>
      <c r="G9" s="12"/>
      <c r="H9" s="12"/>
      <c r="I9" s="12"/>
      <c r="J9" s="12"/>
      <c r="K9" s="12"/>
      <c r="L9" s="12"/>
      <c r="M9" s="12"/>
      <c r="N9" s="36"/>
      <c r="O9" s="36"/>
      <c r="P9" s="36"/>
      <c r="Q9" s="36"/>
      <c r="R9" s="36"/>
    </row>
    <row r="10" spans="1:29" ht="24.95" customHeight="1">
      <c r="A10" s="283"/>
      <c r="B10" s="58" t="s">
        <v>55</v>
      </c>
      <c r="C10" s="58">
        <v>0</v>
      </c>
      <c r="D10" s="308">
        <f t="shared" ref="D10:AC10" si="0">SUM(D6:D9)</f>
        <v>0</v>
      </c>
      <c r="E10" s="59">
        <f t="shared" si="0"/>
        <v>86577.870060000001</v>
      </c>
      <c r="F10" s="59">
        <f t="shared" si="0"/>
        <v>87452.394</v>
      </c>
      <c r="G10" s="59">
        <f t="shared" si="0"/>
        <v>98274.627757500013</v>
      </c>
      <c r="H10" s="59">
        <f t="shared" si="0"/>
        <v>98383.943250000011</v>
      </c>
      <c r="I10" s="59">
        <f t="shared" si="0"/>
        <v>109206.17700750001</v>
      </c>
      <c r="J10" s="59">
        <f t="shared" si="0"/>
        <v>109315.49250000001</v>
      </c>
      <c r="K10" s="59">
        <f t="shared" si="0"/>
        <v>120137.72625750001</v>
      </c>
      <c r="L10" s="59">
        <f t="shared" si="0"/>
        <v>120247.04175</v>
      </c>
      <c r="M10" s="59">
        <f t="shared" si="0"/>
        <v>131069.27550750002</v>
      </c>
      <c r="N10" s="59">
        <f t="shared" si="0"/>
        <v>131178.59100000001</v>
      </c>
      <c r="O10" s="59">
        <f t="shared" si="0"/>
        <v>142000.8247575</v>
      </c>
      <c r="P10" s="59">
        <f t="shared" si="0"/>
        <v>152932.37400749998</v>
      </c>
      <c r="Q10" s="59">
        <f t="shared" si="0"/>
        <v>163863.92325749999</v>
      </c>
      <c r="R10" s="59">
        <f t="shared" si="0"/>
        <v>174795.4725075</v>
      </c>
      <c r="S10" s="59">
        <f t="shared" si="0"/>
        <v>185727.02175749998</v>
      </c>
      <c r="T10" s="59">
        <f t="shared" si="0"/>
        <v>196658.57100750002</v>
      </c>
      <c r="U10" s="59">
        <f t="shared" si="0"/>
        <v>207590.12025750001</v>
      </c>
      <c r="V10" s="59">
        <f t="shared" si="0"/>
        <v>218521.66950750002</v>
      </c>
      <c r="W10" s="59">
        <f t="shared" si="0"/>
        <v>218630.98500000002</v>
      </c>
      <c r="X10" s="59">
        <f t="shared" si="0"/>
        <v>218630.98500000002</v>
      </c>
      <c r="Y10" s="59">
        <f t="shared" si="0"/>
        <v>218630.98500000002</v>
      </c>
      <c r="Z10" s="59">
        <f t="shared" si="0"/>
        <v>218630.98500000002</v>
      </c>
      <c r="AA10" s="59">
        <f t="shared" si="0"/>
        <v>218630.98500000002</v>
      </c>
      <c r="AB10" s="59">
        <f t="shared" si="0"/>
        <v>218630.98500000002</v>
      </c>
      <c r="AC10" s="59">
        <f t="shared" si="0"/>
        <v>218630.98500000002</v>
      </c>
    </row>
    <row r="11" spans="1:29" ht="24.95" customHeight="1">
      <c r="A11" s="284">
        <v>2</v>
      </c>
      <c r="B11" s="21" t="s">
        <v>58</v>
      </c>
      <c r="C11" s="21"/>
      <c r="D11" s="21"/>
      <c r="E11" s="21"/>
      <c r="F11" s="12"/>
      <c r="G11" s="12"/>
      <c r="H11" s="12"/>
      <c r="I11" s="12"/>
      <c r="J11" s="12"/>
      <c r="K11" s="12"/>
      <c r="L11" s="12"/>
      <c r="M11" s="12"/>
      <c r="N11" s="36"/>
      <c r="O11" s="21"/>
      <c r="P11" s="36"/>
      <c r="Q11" s="36"/>
      <c r="R11" s="36"/>
    </row>
    <row r="12" spans="1:29" ht="24.95" customHeight="1">
      <c r="A12" s="133"/>
      <c r="B12" s="40" t="s">
        <v>62</v>
      </c>
      <c r="C12" s="37">
        <v>113750</v>
      </c>
      <c r="D12" s="37">
        <v>312086</v>
      </c>
      <c r="E12" s="37"/>
      <c r="F12" s="37"/>
      <c r="G12" s="278">
        <v>0</v>
      </c>
      <c r="H12" s="278">
        <v>0</v>
      </c>
      <c r="I12" s="278">
        <v>0</v>
      </c>
      <c r="J12" s="278">
        <v>0</v>
      </c>
      <c r="K12" s="278">
        <v>0</v>
      </c>
      <c r="L12" s="278">
        <v>0</v>
      </c>
      <c r="M12" s="307">
        <v>0</v>
      </c>
      <c r="N12" s="293">
        <v>0</v>
      </c>
      <c r="O12" s="293">
        <v>0</v>
      </c>
      <c r="P12" s="293">
        <v>0</v>
      </c>
      <c r="Q12" s="293">
        <v>0</v>
      </c>
      <c r="R12" s="293">
        <v>0</v>
      </c>
      <c r="S12" s="293">
        <v>0</v>
      </c>
      <c r="T12" s="293">
        <v>0</v>
      </c>
      <c r="U12" s="293">
        <v>0</v>
      </c>
      <c r="V12" s="293">
        <v>0</v>
      </c>
      <c r="W12" s="293">
        <v>0</v>
      </c>
      <c r="X12" s="293">
        <v>0</v>
      </c>
      <c r="Y12" s="293">
        <v>0</v>
      </c>
      <c r="Z12" s="293">
        <v>0</v>
      </c>
      <c r="AA12" s="293">
        <v>0</v>
      </c>
      <c r="AB12" s="293">
        <v>0</v>
      </c>
      <c r="AC12" s="293">
        <v>0</v>
      </c>
    </row>
    <row r="13" spans="1:29" ht="24.95" customHeight="1">
      <c r="A13" s="133"/>
      <c r="B13" s="40" t="s">
        <v>67</v>
      </c>
      <c r="C13" s="40"/>
      <c r="D13" s="40"/>
      <c r="E13" s="37">
        <f>'KQKD- Bảng 4'!D13</f>
        <v>45453.450000000004</v>
      </c>
      <c r="F13" s="37">
        <f>'KQKD- Bảng 4'!E13</f>
        <v>45453.450000000004</v>
      </c>
      <c r="G13" s="37">
        <f>'KQKD- Bảng 4'!F13</f>
        <v>51135.131250000006</v>
      </c>
      <c r="H13" s="37">
        <f>'KQKD- Bảng 4'!G13</f>
        <v>51135.131250000006</v>
      </c>
      <c r="I13" s="37">
        <f>'KQKD- Bảng 4'!H13</f>
        <v>56816.8125</v>
      </c>
      <c r="J13" s="37">
        <f>'KQKD- Bảng 4'!I13</f>
        <v>56816.8125</v>
      </c>
      <c r="K13" s="37">
        <f>'KQKD- Bảng 4'!J13</f>
        <v>62498.493749999994</v>
      </c>
      <c r="L13" s="37">
        <f>'KQKD- Bảng 4'!K13</f>
        <v>62498.493749999994</v>
      </c>
      <c r="M13" s="37">
        <f>'KQKD- Bảng 4'!L13</f>
        <v>68180.174999999988</v>
      </c>
      <c r="N13" s="37">
        <f>'KQKD- Bảng 4'!M13</f>
        <v>68180.174999999988</v>
      </c>
      <c r="O13" s="37">
        <f>'KQKD- Bảng 4'!N13</f>
        <v>73861.856250000012</v>
      </c>
      <c r="P13" s="37">
        <f>'KQKD- Bảng 4'!O13</f>
        <v>79543.537500000006</v>
      </c>
      <c r="Q13" s="37">
        <f>'KQKD- Bảng 4'!P13</f>
        <v>85225.21875</v>
      </c>
      <c r="R13" s="37">
        <f>'KQKD- Bảng 4'!Q13</f>
        <v>90906.900000000009</v>
      </c>
      <c r="S13" s="37">
        <f>'KQKD- Bảng 4'!R13</f>
        <v>96588.581249999988</v>
      </c>
      <c r="T13" s="37">
        <f>'KQKD- Bảng 4'!S13</f>
        <v>102270.26250000001</v>
      </c>
      <c r="U13" s="37">
        <f>'KQKD- Bảng 4'!T13</f>
        <v>107951.94374999999</v>
      </c>
      <c r="V13" s="37">
        <f>'KQKD- Bảng 4'!U13</f>
        <v>113633.625</v>
      </c>
      <c r="W13" s="37">
        <f>'KQKD- Bảng 4'!V13</f>
        <v>113633.625</v>
      </c>
      <c r="X13" s="37">
        <f>'KQKD- Bảng 4'!W13</f>
        <v>113633.625</v>
      </c>
      <c r="Y13" s="37">
        <f>'KQKD- Bảng 4'!X13</f>
        <v>113633.625</v>
      </c>
      <c r="Z13" s="37">
        <f>'KQKD- Bảng 4'!Y13</f>
        <v>113633.625</v>
      </c>
      <c r="AA13" s="37">
        <f>'KQKD- Bảng 4'!Z13</f>
        <v>113633.625</v>
      </c>
      <c r="AB13" s="37">
        <f>'KQKD- Bảng 4'!AA13</f>
        <v>113633.625</v>
      </c>
      <c r="AC13" s="37">
        <f>'KQKD- Bảng 4'!AB13</f>
        <v>113633.625</v>
      </c>
    </row>
    <row r="14" spans="1:29" ht="24.95" customHeight="1">
      <c r="A14" s="133"/>
      <c r="B14" s="40" t="s">
        <v>72</v>
      </c>
      <c r="C14" s="40"/>
      <c r="D14" s="40"/>
      <c r="E14" s="37">
        <f>'VLD- Bảng 6'!D11</f>
        <v>-85.629000000000019</v>
      </c>
      <c r="F14" s="37">
        <f>'VLD- Bảng 6'!E11</f>
        <v>0</v>
      </c>
      <c r="G14" s="37">
        <f>'VLD- Bảng 6'!F11</f>
        <v>-10.703624999999988</v>
      </c>
      <c r="H14" s="37">
        <f>'VLD- Bảng 6'!G11</f>
        <v>0</v>
      </c>
      <c r="I14" s="37">
        <f>'VLD- Bảng 6'!H11</f>
        <v>-10.703624999999988</v>
      </c>
      <c r="J14" s="37">
        <f>'VLD- Bảng 6'!I11</f>
        <v>0</v>
      </c>
      <c r="K14" s="37">
        <f>'VLD- Bảng 6'!J11</f>
        <v>-10.703625000000002</v>
      </c>
      <c r="L14" s="37">
        <f>'VLD- Bảng 6'!K11</f>
        <v>0</v>
      </c>
      <c r="M14" s="37">
        <f>'VLD- Bảng 6'!L11</f>
        <v>-10.703625000000002</v>
      </c>
      <c r="N14" s="37">
        <f>'VLD- Bảng 6'!M11</f>
        <v>0</v>
      </c>
      <c r="O14" s="37">
        <f>'VLD- Bảng 6'!N11</f>
        <v>-10.703625000000017</v>
      </c>
      <c r="P14" s="37">
        <f>'VLD- Bảng 6'!O11</f>
        <v>-10.70362499999996</v>
      </c>
      <c r="Q14" s="37">
        <f>'VLD- Bảng 6'!P11</f>
        <v>-10.703625000000017</v>
      </c>
      <c r="R14" s="37">
        <f>'VLD- Bảng 6'!Q11</f>
        <v>-10.703625000000045</v>
      </c>
      <c r="S14" s="37">
        <f>'VLD- Bảng 6'!R11</f>
        <v>-10.70362499999996</v>
      </c>
      <c r="T14" s="37">
        <f>'VLD- Bảng 6'!S11</f>
        <v>-10.703625000000017</v>
      </c>
      <c r="U14" s="37">
        <f>'VLD- Bảng 6'!T11</f>
        <v>-10.70362499999996</v>
      </c>
      <c r="V14" s="37">
        <f>'VLD- Bảng 6'!U11</f>
        <v>-10.703625000000017</v>
      </c>
      <c r="W14" s="37">
        <f>'VLD- Bảng 6'!V11</f>
        <v>0</v>
      </c>
      <c r="X14" s="37">
        <f>'VLD- Bảng 6'!W11</f>
        <v>0</v>
      </c>
      <c r="Y14" s="37">
        <f>'VLD- Bảng 6'!X11</f>
        <v>0</v>
      </c>
      <c r="Z14" s="37">
        <f>'VLD- Bảng 6'!Y11</f>
        <v>0</v>
      </c>
      <c r="AA14" s="37">
        <f>'VLD- Bảng 6'!Z11</f>
        <v>0</v>
      </c>
      <c r="AB14" s="37">
        <f>'VLD- Bảng 6'!AA11</f>
        <v>0</v>
      </c>
      <c r="AC14" s="37">
        <f>'VLD- Bảng 6'!AB11</f>
        <v>0</v>
      </c>
    </row>
    <row r="15" spans="1:29" ht="24.95" customHeight="1">
      <c r="A15" s="133"/>
      <c r="B15" s="40" t="s">
        <v>76</v>
      </c>
      <c r="C15" s="40"/>
      <c r="D15" s="40"/>
      <c r="E15" s="37">
        <f>'VLD- Bảng 6'!D13</f>
        <v>874.52394000000004</v>
      </c>
      <c r="F15" s="37">
        <f>'VLD- Bảng 6'!E13</f>
        <v>0</v>
      </c>
      <c r="G15" s="37">
        <f>'VLD- Bảng 6'!F13</f>
        <v>109.31549250000012</v>
      </c>
      <c r="H15" s="37">
        <f>'VLD- Bảng 6'!G13</f>
        <v>0</v>
      </c>
      <c r="I15" s="37">
        <f>'VLD- Bảng 6'!H13</f>
        <v>109.31549249999989</v>
      </c>
      <c r="J15" s="37">
        <f>'VLD- Bảng 6'!I13</f>
        <v>0</v>
      </c>
      <c r="K15" s="37">
        <f>'VLD- Bảng 6'!J13</f>
        <v>109.31549250000012</v>
      </c>
      <c r="L15" s="37">
        <f>'VLD- Bảng 6'!K13</f>
        <v>0</v>
      </c>
      <c r="M15" s="37">
        <f>'VLD- Bảng 6'!L13</f>
        <v>109.31549250000012</v>
      </c>
      <c r="N15" s="37">
        <f>'VLD- Bảng 6'!M13</f>
        <v>0</v>
      </c>
      <c r="O15" s="37">
        <f>'VLD- Bảng 6'!N13</f>
        <v>109.31549249999966</v>
      </c>
      <c r="P15" s="37">
        <f>'VLD- Bảng 6'!O13</f>
        <v>109.31549249999989</v>
      </c>
      <c r="Q15" s="37">
        <f>'VLD- Bảng 6'!P13</f>
        <v>109.31549250000012</v>
      </c>
      <c r="R15" s="37">
        <f>'VLD- Bảng 6'!Q13</f>
        <v>109.31549250000012</v>
      </c>
      <c r="S15" s="37">
        <f>'VLD- Bảng 6'!R13</f>
        <v>109.31549249999989</v>
      </c>
      <c r="T15" s="37">
        <f>'VLD- Bảng 6'!S13</f>
        <v>109.31549250000035</v>
      </c>
      <c r="U15" s="37">
        <f>'VLD- Bảng 6'!T13</f>
        <v>109.31549249999989</v>
      </c>
      <c r="V15" s="37">
        <f>'VLD- Bảng 6'!U13</f>
        <v>109.31549249999989</v>
      </c>
      <c r="W15" s="37">
        <f>'VLD- Bảng 6'!V13</f>
        <v>0</v>
      </c>
      <c r="X15" s="37">
        <f>'VLD- Bảng 6'!W13</f>
        <v>0</v>
      </c>
      <c r="Y15" s="37">
        <f>'VLD- Bảng 6'!X13</f>
        <v>0</v>
      </c>
      <c r="Z15" s="37">
        <f>'VLD- Bảng 6'!Y13</f>
        <v>0</v>
      </c>
      <c r="AA15" s="37">
        <f>'VLD- Bảng 6'!Z13</f>
        <v>0</v>
      </c>
      <c r="AB15" s="37">
        <f>'VLD- Bảng 6'!AA13</f>
        <v>0</v>
      </c>
      <c r="AC15" s="37">
        <f>'VLD- Bảng 6'!AB13</f>
        <v>0</v>
      </c>
    </row>
    <row r="16" spans="1:29" ht="24.95" customHeight="1">
      <c r="A16" s="133"/>
      <c r="B16" s="40" t="s">
        <v>78</v>
      </c>
      <c r="C16" s="40"/>
      <c r="D16" s="40"/>
      <c r="E16" s="37">
        <f>'KQKD- Bảng 4'!D30</f>
        <v>0</v>
      </c>
      <c r="F16" s="37">
        <f>'KQKD- Bảng 4'!E30</f>
        <v>112.64572699881683</v>
      </c>
      <c r="G16" s="37">
        <f>'KQKD- Bảng 4'!F30</f>
        <v>1059.6561277040316</v>
      </c>
      <c r="H16" s="37">
        <f>'KQKD- Bảng 4'!G30</f>
        <v>1315.8270542558312</v>
      </c>
      <c r="I16" s="37">
        <f>'KQKD- Bảng 4'!H30</f>
        <v>2354.4642845489261</v>
      </c>
      <c r="J16" s="37">
        <f>'KQKD- Bảng 4'!I30</f>
        <v>2707.5939356838339</v>
      </c>
      <c r="K16" s="37">
        <f>'KQKD- Bảng 4'!J30</f>
        <v>3848.832056077209</v>
      </c>
      <c r="L16" s="37">
        <f>'KQKD- Bảng 4'!K30</f>
        <v>4310.5330884326504</v>
      </c>
      <c r="M16" s="37">
        <f>'KQKD- Bảng 4'!L30</f>
        <v>5566.6605125017886</v>
      </c>
      <c r="N16" s="37">
        <f>'KQKD- Bảng 4'!M30</f>
        <v>6149.9364198446847</v>
      </c>
      <c r="O16" s="37">
        <f>'KQKD- Bảng 4'!N30</f>
        <v>7534.7133330771176</v>
      </c>
      <c r="P16" s="37">
        <f>'KQKD- Bảng 4'!O30</f>
        <v>9021.6843802598505</v>
      </c>
      <c r="Q16" s="37">
        <f>'KQKD- Bảng 4'!P30</f>
        <v>10616.79638279663</v>
      </c>
      <c r="R16" s="37">
        <f>'KQKD- Bảng 4'!Q30</f>
        <v>12280.949674899246</v>
      </c>
      <c r="S16" s="37">
        <f>'KQKD- Bảng 4'!R30</f>
        <v>13048.509029580449</v>
      </c>
      <c r="T16" s="37">
        <f>'KQKD- Bảng 4'!S30</f>
        <v>14779.403355938543</v>
      </c>
      <c r="U16" s="37">
        <f>'KQKD- Bảng 4'!T30</f>
        <v>15600.481320157351</v>
      </c>
      <c r="V16" s="37">
        <f>'KQKD- Bảng 4'!U30</f>
        <v>16421.559284376159</v>
      </c>
      <c r="W16" s="37">
        <f>'KQKD- Bảng 4'!V30</f>
        <v>16421.559284376159</v>
      </c>
      <c r="X16" s="37">
        <f>'KQKD- Bảng 4'!W30</f>
        <v>16421.559284376159</v>
      </c>
      <c r="Y16" s="37">
        <f>'KQKD- Bảng 4'!X30</f>
        <v>16421.559284376159</v>
      </c>
      <c r="Z16" s="37">
        <f>'KQKD- Bảng 4'!Y30</f>
        <v>16421.559284376159</v>
      </c>
      <c r="AA16" s="37">
        <f>'KQKD- Bảng 4'!Z30</f>
        <v>16421.559284376159</v>
      </c>
      <c r="AB16" s="37">
        <f>'KQKD- Bảng 4'!AA30</f>
        <v>16421.559284376159</v>
      </c>
      <c r="AC16" s="37">
        <f>'KQKD- Bảng 4'!AB30</f>
        <v>16421.559284376159</v>
      </c>
    </row>
    <row r="17" spans="1:29" ht="24.95" customHeight="1">
      <c r="A17" s="283"/>
      <c r="B17" s="58" t="s">
        <v>81</v>
      </c>
      <c r="C17" s="76">
        <f>SUM(C12:C16)</f>
        <v>113750</v>
      </c>
      <c r="D17" s="76">
        <f>SUM(D12:D16)</f>
        <v>312086</v>
      </c>
      <c r="E17" s="279">
        <f>SUM(E12:E16)</f>
        <v>46242.344940000003</v>
      </c>
      <c r="F17" s="279">
        <f t="shared" ref="F17:AC17" si="1">SUM(F12:F16)</f>
        <v>45566.095726998821</v>
      </c>
      <c r="G17" s="279">
        <f t="shared" si="1"/>
        <v>52293.399245204033</v>
      </c>
      <c r="H17" s="279">
        <f t="shared" si="1"/>
        <v>52450.958304255837</v>
      </c>
      <c r="I17" s="279">
        <f t="shared" si="1"/>
        <v>59269.888652048925</v>
      </c>
      <c r="J17" s="279">
        <f t="shared" si="1"/>
        <v>59524.406435683835</v>
      </c>
      <c r="K17" s="279">
        <f t="shared" si="1"/>
        <v>66445.937673577195</v>
      </c>
      <c r="L17" s="279">
        <f t="shared" si="1"/>
        <v>66809.026838432648</v>
      </c>
      <c r="M17" s="279">
        <f t="shared" si="1"/>
        <v>73845.447380001773</v>
      </c>
      <c r="N17" s="279">
        <f t="shared" si="1"/>
        <v>74330.111419844674</v>
      </c>
      <c r="O17" s="279">
        <f t="shared" si="1"/>
        <v>81495.181450577133</v>
      </c>
      <c r="P17" s="279">
        <f t="shared" si="1"/>
        <v>88663.833747759854</v>
      </c>
      <c r="Q17" s="279">
        <f t="shared" si="1"/>
        <v>95940.627000296634</v>
      </c>
      <c r="R17" s="279">
        <f t="shared" si="1"/>
        <v>103286.46154239925</v>
      </c>
      <c r="S17" s="279">
        <f t="shared" si="1"/>
        <v>109735.70214708045</v>
      </c>
      <c r="T17" s="279">
        <f t="shared" si="1"/>
        <v>117148.27772343856</v>
      </c>
      <c r="U17" s="279">
        <f t="shared" si="1"/>
        <v>123651.03693765735</v>
      </c>
      <c r="V17" s="279">
        <f t="shared" si="1"/>
        <v>130153.79615187616</v>
      </c>
      <c r="W17" s="279">
        <f t="shared" si="1"/>
        <v>130055.18428437616</v>
      </c>
      <c r="X17" s="279">
        <f t="shared" si="1"/>
        <v>130055.18428437616</v>
      </c>
      <c r="Y17" s="279">
        <f t="shared" si="1"/>
        <v>130055.18428437616</v>
      </c>
      <c r="Z17" s="279">
        <f t="shared" si="1"/>
        <v>130055.18428437616</v>
      </c>
      <c r="AA17" s="279">
        <f t="shared" si="1"/>
        <v>130055.18428437616</v>
      </c>
      <c r="AB17" s="279">
        <f t="shared" si="1"/>
        <v>130055.18428437616</v>
      </c>
      <c r="AC17" s="279">
        <f t="shared" si="1"/>
        <v>130055.18428437616</v>
      </c>
    </row>
    <row r="18" spans="1:29" ht="24.95" customHeight="1">
      <c r="A18" s="284">
        <v>3</v>
      </c>
      <c r="B18" s="21" t="s">
        <v>84</v>
      </c>
      <c r="C18" s="83">
        <f>C10-C17</f>
        <v>-113750</v>
      </c>
      <c r="D18" s="83">
        <f t="shared" ref="D18:AC18" si="2">D10-D17</f>
        <v>-312086</v>
      </c>
      <c r="E18" s="83">
        <f t="shared" si="2"/>
        <v>40335.525119999998</v>
      </c>
      <c r="F18" s="83">
        <f t="shared" si="2"/>
        <v>41886.298273001179</v>
      </c>
      <c r="G18" s="83">
        <f t="shared" si="2"/>
        <v>45981.22851229598</v>
      </c>
      <c r="H18" s="83">
        <f t="shared" si="2"/>
        <v>45932.984945744174</v>
      </c>
      <c r="I18" s="83">
        <f t="shared" si="2"/>
        <v>49936.288355451084</v>
      </c>
      <c r="J18" s="83">
        <f t="shared" si="2"/>
        <v>49791.086064316172</v>
      </c>
      <c r="K18" s="83">
        <f t="shared" si="2"/>
        <v>53691.788583922811</v>
      </c>
      <c r="L18" s="83">
        <f t="shared" si="2"/>
        <v>53438.014911567356</v>
      </c>
      <c r="M18" s="83">
        <f t="shared" si="2"/>
        <v>57223.828127498244</v>
      </c>
      <c r="N18" s="83">
        <f t="shared" si="2"/>
        <v>56848.479580155341</v>
      </c>
      <c r="O18" s="83">
        <f t="shared" si="2"/>
        <v>60505.643306922866</v>
      </c>
      <c r="P18" s="83">
        <f t="shared" si="2"/>
        <v>64268.540259740126</v>
      </c>
      <c r="Q18" s="83">
        <f t="shared" si="2"/>
        <v>67923.296257203358</v>
      </c>
      <c r="R18" s="83">
        <f t="shared" si="2"/>
        <v>71509.010965100751</v>
      </c>
      <c r="S18" s="83">
        <f t="shared" si="2"/>
        <v>75991.319610419538</v>
      </c>
      <c r="T18" s="83">
        <f t="shared" si="2"/>
        <v>79510.293284061467</v>
      </c>
      <c r="U18" s="83">
        <f t="shared" si="2"/>
        <v>83939.083319842655</v>
      </c>
      <c r="V18" s="83">
        <f t="shared" si="2"/>
        <v>88367.873355623859</v>
      </c>
      <c r="W18" s="83">
        <f t="shared" si="2"/>
        <v>88575.80071562386</v>
      </c>
      <c r="X18" s="83">
        <f t="shared" si="2"/>
        <v>88575.80071562386</v>
      </c>
      <c r="Y18" s="83">
        <f t="shared" si="2"/>
        <v>88575.80071562386</v>
      </c>
      <c r="Z18" s="83">
        <f t="shared" si="2"/>
        <v>88575.80071562386</v>
      </c>
      <c r="AA18" s="83">
        <f t="shared" si="2"/>
        <v>88575.80071562386</v>
      </c>
      <c r="AB18" s="83">
        <f t="shared" si="2"/>
        <v>88575.80071562386</v>
      </c>
      <c r="AC18" s="83">
        <f t="shared" si="2"/>
        <v>88575.80071562386</v>
      </c>
    </row>
    <row r="19" spans="1:29" ht="24.95" customHeight="1">
      <c r="A19" s="133"/>
      <c r="B19" s="36" t="s">
        <v>317</v>
      </c>
      <c r="C19" s="83">
        <f>NPV('Thong so - Độ nhậy - Bảng 1'!N18,'NPV (Tong dau tu) -Bảng 7'!D18:AC18) +C18</f>
        <v>103242.42684807809</v>
      </c>
      <c r="D19" s="36"/>
      <c r="E19" s="278"/>
      <c r="F19" s="278"/>
      <c r="G19" s="278"/>
      <c r="H19" s="278"/>
      <c r="I19" s="278"/>
      <c r="J19" s="278"/>
      <c r="K19" s="278"/>
      <c r="L19" s="278"/>
      <c r="M19" s="278"/>
      <c r="N19" s="37"/>
      <c r="O19" s="37"/>
      <c r="P19" s="36"/>
      <c r="Q19" s="36"/>
      <c r="R19" s="36"/>
    </row>
    <row r="20" spans="1:29" ht="24.95" customHeight="1">
      <c r="A20" s="135"/>
      <c r="B20" s="51" t="s">
        <v>318</v>
      </c>
      <c r="C20" s="90">
        <f>IRR(C18:AC18)</f>
        <v>0.11932042910681263</v>
      </c>
      <c r="D20" s="51"/>
      <c r="E20" s="281"/>
      <c r="F20" s="280"/>
      <c r="G20" s="280"/>
      <c r="H20" s="280"/>
      <c r="I20" s="280"/>
      <c r="J20" s="280"/>
      <c r="K20" s="280"/>
      <c r="L20" s="280"/>
      <c r="M20" s="280"/>
      <c r="N20" s="47"/>
      <c r="O20" s="47"/>
      <c r="P20" s="51"/>
      <c r="Q20" s="51"/>
      <c r="R20" s="36"/>
    </row>
    <row r="21" spans="1:29" ht="24.95" customHeight="1">
      <c r="A21" s="285"/>
      <c r="B21" s="3" t="s">
        <v>93</v>
      </c>
      <c r="C21" s="115">
        <f>C18/(1+'Thong so - Độ nhậy - Bảng 1'!$N$18)^C24</f>
        <v>-113750</v>
      </c>
      <c r="D21" s="115">
        <f>D18/(1+'Thong so - Độ nhậy - Bảng 1'!$N$18)^D24</f>
        <v>-285206.3240016214</v>
      </c>
      <c r="E21" s="115">
        <f>E18/(1+'Thong so - Độ nhậy - Bảng 1'!$N$18)^E24</f>
        <v>33686.620475356744</v>
      </c>
      <c r="F21" s="115">
        <f>F18/(1+'Thong so - Độ nhậy - Bảng 1'!$N$18)^F24</f>
        <v>31968.817587940659</v>
      </c>
      <c r="G21" s="115">
        <f>G18/(1+'Thong so - Độ nhậy - Bảng 1'!$N$18)^G24</f>
        <v>32071.555725161783</v>
      </c>
      <c r="H21" s="115">
        <f>H18/(1+'Thong so - Độ nhậy - Bảng 1'!$N$18)^H24</f>
        <v>29278.51123633395</v>
      </c>
      <c r="I21" s="115">
        <f>I18/(1+'Thong so - Độ nhậy - Bảng 1'!$N$18)^I24</f>
        <v>29088.775792441113</v>
      </c>
      <c r="J21" s="115">
        <f>J18/(1+'Thong so - Độ nhậy - Bảng 1'!$N$18)^J24</f>
        <v>26506.088805258161</v>
      </c>
      <c r="K21" s="115">
        <f>K18/(1+'Thong so - Độ nhậy - Bảng 1'!$N$18)^K24</f>
        <v>26120.81870550651</v>
      </c>
      <c r="L21" s="115">
        <f>L18/(1+'Thong so - Độ nhậy - Bảng 1'!$N$18)^L24</f>
        <v>23758.230662658902</v>
      </c>
      <c r="M21" s="115">
        <f>M18/(1+'Thong so - Độ nhậy - Bảng 1'!$N$18)^M24</f>
        <v>23250.138776492095</v>
      </c>
      <c r="N21" s="115">
        <f>N18/(1+'Thong so - Độ nhậy - Bảng 1'!$N$18)^N24</f>
        <v>21108.256354885256</v>
      </c>
      <c r="O21" s="115">
        <f>O18/(1+'Thong so - Độ nhậy - Bảng 1'!$N$18)^O24</f>
        <v>20531.196190152332</v>
      </c>
      <c r="P21" s="115">
        <f>P18/(1+'Thong so - Độ nhậy - Bảng 1'!$N$18)^P24</f>
        <v>19929.741708012509</v>
      </c>
      <c r="Q21" s="115">
        <f>Q18/(1+'Thong so - Độ nhậy - Bảng 1'!$N$18)^Q24</f>
        <v>19248.941483096063</v>
      </c>
      <c r="R21" s="115">
        <f>R18/(1+'Thong so - Độ nhậy - Bảng 1'!$N$18)^R24</f>
        <v>18519.690911628182</v>
      </c>
      <c r="S21" s="115">
        <f>S18/(1+'Thong so - Độ nhậy - Bảng 1'!$N$18)^S24</f>
        <v>17985.470902418623</v>
      </c>
      <c r="T21" s="115">
        <f>T18/(1+'Thong so - Độ nhậy - Bảng 1'!$N$18)^T24</f>
        <v>17197.528844545661</v>
      </c>
      <c r="U21" s="115">
        <f>U18/(1+'Thong so - Độ nhậy - Bảng 1'!$N$18)^U24</f>
        <v>16591.734035319303</v>
      </c>
      <c r="V21" s="115">
        <f>V18/(1+'Thong so - Độ nhậy - Bảng 1'!$N$18)^V24</f>
        <v>15962.717322777347</v>
      </c>
      <c r="W21" s="115">
        <f>W18/(1+'Thong so - Độ nhậy - Bảng 1'!$N$18)^W24</f>
        <v>14622.188245001382</v>
      </c>
      <c r="X21" s="115">
        <f>X18/(1+'Thong so - Độ nhậy - Bảng 1'!$N$18)^X24</f>
        <v>13362.792814213275</v>
      </c>
      <c r="Y21" s="115">
        <f>Y18/(1+'Thong so - Độ nhậy - Bảng 1'!$N$18)^Y24</f>
        <v>12211.867936841285</v>
      </c>
      <c r="Z21" s="115">
        <f>Z18/(1+'Thong so - Độ nhậy - Bảng 1'!$N$18)^Z24</f>
        <v>11160.07114532458</v>
      </c>
      <c r="AA21" s="115">
        <f>AA18/(1+'Thong so - Độ nhậy - Bảng 1'!$N$18)^AA24</f>
        <v>10198.864630116663</v>
      </c>
      <c r="AB21" s="115">
        <f>AB18/(1+'Thong so - Độ nhậy - Bảng 1'!$N$18)^AB24</f>
        <v>9320.4459352413432</v>
      </c>
      <c r="AC21" s="115">
        <f>AC18/(1+'Thong so - Độ nhậy - Bảng 1'!$N$18)^AC24</f>
        <v>8517.6846229758394</v>
      </c>
    </row>
    <row r="22" spans="1:29" ht="24.95" customHeight="1">
      <c r="A22" s="133"/>
      <c r="B22" s="36" t="s">
        <v>94</v>
      </c>
      <c r="C22" s="83">
        <f>C21</f>
        <v>-113750</v>
      </c>
      <c r="D22" s="83">
        <f>C22+D21</f>
        <v>-398956.3240016214</v>
      </c>
      <c r="E22" s="37">
        <f t="shared" ref="E22:P22" si="3">E21+D22</f>
        <v>-365269.70352626464</v>
      </c>
      <c r="F22" s="37">
        <f>F21+E22</f>
        <v>-333300.88593832398</v>
      </c>
      <c r="G22" s="37">
        <f t="shared" si="3"/>
        <v>-301229.33021316217</v>
      </c>
      <c r="H22" s="37">
        <f t="shared" si="3"/>
        <v>-271950.81897682825</v>
      </c>
      <c r="I22" s="37">
        <f t="shared" si="3"/>
        <v>-242862.04318438715</v>
      </c>
      <c r="J22" s="37">
        <f t="shared" si="3"/>
        <v>-216355.95437912899</v>
      </c>
      <c r="K22" s="37">
        <f t="shared" si="3"/>
        <v>-190235.13567362248</v>
      </c>
      <c r="L22" s="37">
        <f t="shared" si="3"/>
        <v>-166476.90501096359</v>
      </c>
      <c r="M22" s="37">
        <f t="shared" si="3"/>
        <v>-143226.76623447149</v>
      </c>
      <c r="N22" s="37">
        <f t="shared" si="3"/>
        <v>-122118.50987958623</v>
      </c>
      <c r="O22" s="37">
        <f t="shared" si="3"/>
        <v>-101587.3136894339</v>
      </c>
      <c r="P22" s="37">
        <f t="shared" si="3"/>
        <v>-81657.571981421381</v>
      </c>
      <c r="Q22" s="37">
        <f t="shared" ref="Q22:AC22" si="4">Q21+P22</f>
        <v>-62408.630498325321</v>
      </c>
      <c r="R22" s="37">
        <f t="shared" si="4"/>
        <v>-43888.939586697139</v>
      </c>
      <c r="S22" s="37">
        <f t="shared" si="4"/>
        <v>-25903.468684278516</v>
      </c>
      <c r="T22" s="37">
        <f t="shared" si="4"/>
        <v>-8705.939839732855</v>
      </c>
      <c r="U22" s="37">
        <f t="shared" si="4"/>
        <v>7885.794195586448</v>
      </c>
      <c r="V22" s="37">
        <f t="shared" si="4"/>
        <v>23848.511518363797</v>
      </c>
      <c r="W22" s="37">
        <f t="shared" si="4"/>
        <v>38470.699763365177</v>
      </c>
      <c r="X22" s="37">
        <f t="shared" si="4"/>
        <v>51833.49257757845</v>
      </c>
      <c r="Y22" s="37">
        <f t="shared" si="4"/>
        <v>64045.360514419735</v>
      </c>
      <c r="Z22" s="37">
        <f t="shared" si="4"/>
        <v>75205.43165974431</v>
      </c>
      <c r="AA22" s="37">
        <f t="shared" si="4"/>
        <v>85404.296289860969</v>
      </c>
      <c r="AB22" s="37">
        <f t="shared" si="4"/>
        <v>94724.742225102309</v>
      </c>
      <c r="AC22" s="37">
        <f t="shared" si="4"/>
        <v>103242.42684807815</v>
      </c>
    </row>
    <row r="23" spans="1:29" ht="24.95" customHeight="1">
      <c r="A23" s="135"/>
      <c r="B23" s="51" t="s">
        <v>96</v>
      </c>
      <c r="C23" s="51">
        <v>17</v>
      </c>
      <c r="D23" s="51"/>
      <c r="E23" s="51"/>
      <c r="F23" s="51"/>
      <c r="G23" s="51"/>
      <c r="H23" s="51"/>
      <c r="I23" s="51"/>
      <c r="J23" s="51"/>
      <c r="K23" s="51"/>
      <c r="L23" s="320"/>
      <c r="M23" s="320"/>
      <c r="N23" s="51"/>
      <c r="O23" s="51"/>
      <c r="P23" s="47"/>
      <c r="Q23" s="47"/>
      <c r="R23" s="51"/>
    </row>
    <row r="24" spans="1:29">
      <c r="A24" s="39"/>
      <c r="B24" s="4"/>
      <c r="C24" s="4">
        <v>0</v>
      </c>
      <c r="D24" s="4">
        <v>1</v>
      </c>
      <c r="E24" s="4">
        <v>2</v>
      </c>
      <c r="F24" s="4">
        <v>3</v>
      </c>
      <c r="G24" s="4">
        <v>4</v>
      </c>
      <c r="H24" s="4">
        <v>5</v>
      </c>
      <c r="I24" s="4">
        <v>6</v>
      </c>
      <c r="J24" s="4">
        <v>7</v>
      </c>
      <c r="K24" s="4">
        <v>8</v>
      </c>
      <c r="L24" s="4">
        <v>9</v>
      </c>
      <c r="M24" s="4">
        <v>10</v>
      </c>
      <c r="N24" s="4">
        <v>11</v>
      </c>
      <c r="O24" s="4">
        <v>12</v>
      </c>
      <c r="P24" s="4">
        <v>13</v>
      </c>
      <c r="Q24" s="4">
        <v>14</v>
      </c>
      <c r="R24" s="4">
        <v>15</v>
      </c>
      <c r="S24" s="4">
        <v>16</v>
      </c>
      <c r="T24" s="4">
        <v>17</v>
      </c>
      <c r="U24" s="4">
        <v>18</v>
      </c>
      <c r="V24" s="4">
        <v>19</v>
      </c>
      <c r="W24" s="4">
        <v>20</v>
      </c>
      <c r="X24" s="4">
        <v>21</v>
      </c>
      <c r="Y24" s="4">
        <v>22</v>
      </c>
      <c r="Z24" s="4">
        <v>23</v>
      </c>
      <c r="AA24" s="4">
        <v>24</v>
      </c>
      <c r="AB24" s="4">
        <v>25</v>
      </c>
      <c r="AC24" s="4">
        <v>26</v>
      </c>
    </row>
    <row r="25" spans="1:29">
      <c r="A25" s="39"/>
      <c r="B25" s="4"/>
      <c r="C25" s="4"/>
      <c r="D25" s="4"/>
      <c r="E25" s="4"/>
      <c r="F25" s="94">
        <f>'KQKD- Bảng 4'!D29</f>
        <v>-272.62581275188859</v>
      </c>
      <c r="G25" s="94">
        <f>'KQKD- Bảng 4'!E29</f>
        <v>563.22863499408413</v>
      </c>
      <c r="H25" s="94">
        <f>'KQKD- Bảng 4'!F29</f>
        <v>5298.2806385201584</v>
      </c>
      <c r="I25" s="94">
        <f>'KQKD- Bảng 4'!G29</f>
        <v>6579.1352712791559</v>
      </c>
      <c r="J25" s="94">
        <f>'KQKD- Bảng 4'!H29</f>
        <v>11772.32142274463</v>
      </c>
      <c r="K25" s="94">
        <f>'KQKD- Bảng 4'!I29</f>
        <v>13537.969678419169</v>
      </c>
      <c r="L25" s="94">
        <f>'KQKD- Bảng 4'!J29</f>
        <v>19244.160280386044</v>
      </c>
      <c r="M25" s="94">
        <f>'KQKD- Bảng 4'!K29</f>
        <v>21552.665442163252</v>
      </c>
      <c r="N25" s="94">
        <f>'KQKD- Bảng 4'!L29</f>
        <v>27833.302562508943</v>
      </c>
      <c r="O25" s="4"/>
    </row>
    <row r="26" spans="1:29">
      <c r="D26" s="114"/>
      <c r="E26" s="114"/>
      <c r="F26" s="114">
        <f>E18+F18-F25</f>
        <v>82494.449205753073</v>
      </c>
      <c r="G26" s="114">
        <f t="shared" ref="G26:L26" si="5">F26+G18-G25</f>
        <v>127912.44908305498</v>
      </c>
      <c r="H26" s="114">
        <f t="shared" si="5"/>
        <v>168547.15339027898</v>
      </c>
      <c r="I26" s="114">
        <f t="shared" si="5"/>
        <v>211904.30647445092</v>
      </c>
      <c r="J26" s="114">
        <f t="shared" si="5"/>
        <v>249923.07111602245</v>
      </c>
      <c r="K26" s="114">
        <f t="shared" si="5"/>
        <v>290076.89002152608</v>
      </c>
      <c r="L26" s="114">
        <f t="shared" si="5"/>
        <v>324270.74465270742</v>
      </c>
      <c r="M26" s="114">
        <f>0.345*12</f>
        <v>4.1399999999999997</v>
      </c>
      <c r="N26" s="114">
        <f>M26+N18</f>
        <v>56852.61958015534</v>
      </c>
      <c r="O26" s="114">
        <f>N26+O18</f>
        <v>117358.26288707821</v>
      </c>
    </row>
    <row r="36" spans="4:4">
      <c r="D36" s="1">
        <f>2^1.05</f>
        <v>2.0705298476827552</v>
      </c>
    </row>
    <row r="37" spans="4:4">
      <c r="D37" s="1">
        <f>D36^1.05</f>
        <v>2.1472646290561066</v>
      </c>
    </row>
  </sheetData>
  <mergeCells count="3">
    <mergeCell ref="A3:A4"/>
    <mergeCell ref="B3:B4"/>
    <mergeCell ref="A1:R2"/>
  </mergeCells>
  <printOptions horizontalCentered="1"/>
  <pageMargins left="0.196850393700787" right="0.196850393700787" top="0.35433070866141703" bottom="0.27559055118110198" header="0.196850393700787" footer="0.196850393700787"/>
  <pageSetup paperSize="9" scale="75" fitToWidth="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B1:O22"/>
  <sheetViews>
    <sheetView showGridLines="0" zoomScaleSheetLayoutView="100" workbookViewId="0">
      <selection activeCell="B1" sqref="B1:O1"/>
    </sheetView>
  </sheetViews>
  <sheetFormatPr defaultColWidth="11.42578125" defaultRowHeight="12.75"/>
  <cols>
    <col min="1" max="1" width="11.42578125" style="1" customWidth="1"/>
    <col min="2" max="2" width="5.7109375" style="1" customWidth="1"/>
    <col min="3" max="3" width="21.7109375" style="1" customWidth="1"/>
    <col min="4" max="4" width="13.140625" style="1" customWidth="1"/>
    <col min="5" max="5" width="9" style="1" customWidth="1"/>
    <col min="6" max="6" width="11.140625" style="1" customWidth="1"/>
    <col min="7" max="7" width="10.85546875" style="1" customWidth="1"/>
    <col min="8" max="9" width="10.7109375" style="1" customWidth="1"/>
    <col min="10" max="10" width="10.85546875" style="1" customWidth="1"/>
    <col min="11" max="12" width="10.28515625" style="1" customWidth="1"/>
    <col min="13" max="13" width="11.140625" style="1" customWidth="1"/>
    <col min="14" max="14" width="10" style="1" customWidth="1"/>
    <col min="15" max="15" width="9.85546875" style="1" customWidth="1"/>
    <col min="16" max="16384" width="11.42578125" style="1"/>
  </cols>
  <sheetData>
    <row r="1" spans="2:15" ht="15.75">
      <c r="B1" s="677" t="s">
        <v>133</v>
      </c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</row>
    <row r="2" spans="2:15">
      <c r="F2" s="2"/>
      <c r="G2" s="2"/>
      <c r="H2" s="2"/>
      <c r="I2" s="2"/>
      <c r="J2" s="2"/>
      <c r="K2" s="2"/>
      <c r="L2" s="2"/>
      <c r="M2" s="2"/>
    </row>
    <row r="3" spans="2:15" ht="15.75" customHeight="1">
      <c r="B3" s="6" t="s">
        <v>7</v>
      </c>
      <c r="C3" s="97" t="s">
        <v>8</v>
      </c>
      <c r="D3" s="617" t="s">
        <v>9</v>
      </c>
      <c r="E3" s="617"/>
      <c r="F3" s="617" t="s">
        <v>10</v>
      </c>
      <c r="G3" s="617"/>
      <c r="H3" s="617"/>
      <c r="I3" s="617"/>
      <c r="J3" s="617"/>
      <c r="K3" s="617"/>
      <c r="L3" s="617"/>
      <c r="M3" s="617"/>
      <c r="N3" s="617"/>
      <c r="O3" s="617"/>
    </row>
    <row r="4" spans="2:15" ht="18.75" customHeight="1">
      <c r="B4" s="6"/>
      <c r="C4" s="101"/>
      <c r="D4" s="287">
        <v>0</v>
      </c>
      <c r="E4" s="287">
        <v>1</v>
      </c>
      <c r="F4" s="288">
        <v>1</v>
      </c>
      <c r="G4" s="288">
        <v>2</v>
      </c>
      <c r="H4" s="288">
        <v>3</v>
      </c>
      <c r="I4" s="288">
        <v>4</v>
      </c>
      <c r="J4" s="288">
        <v>5</v>
      </c>
      <c r="K4" s="288">
        <v>6</v>
      </c>
      <c r="L4" s="288">
        <v>7</v>
      </c>
      <c r="M4" s="288">
        <v>8</v>
      </c>
      <c r="N4" s="289">
        <v>9</v>
      </c>
      <c r="O4" s="289">
        <v>10</v>
      </c>
    </row>
    <row r="5" spans="2:15" ht="15" customHeight="1">
      <c r="B5" s="25">
        <v>1</v>
      </c>
      <c r="C5" s="25" t="s">
        <v>24</v>
      </c>
      <c r="D5" s="25"/>
      <c r="E5" s="25"/>
      <c r="F5" s="102"/>
      <c r="G5" s="102"/>
      <c r="H5" s="102"/>
      <c r="I5" s="102"/>
      <c r="J5" s="102"/>
      <c r="K5" s="102"/>
      <c r="L5" s="102"/>
      <c r="M5" s="102"/>
      <c r="N5" s="3"/>
      <c r="O5" s="25"/>
    </row>
    <row r="6" spans="2:15" ht="15.75" customHeight="1">
      <c r="B6" s="36"/>
      <c r="C6" s="40" t="s">
        <v>32</v>
      </c>
      <c r="D6" s="40"/>
      <c r="E6" s="40"/>
      <c r="F6" s="12">
        <f>'NPV (Tong dau tu) -Bảng 7'!F6</f>
        <v>87452.394</v>
      </c>
      <c r="G6" s="12">
        <f>'NPV (Tong dau tu) -Bảng 7'!G6</f>
        <v>98383.943250000011</v>
      </c>
      <c r="H6" s="12">
        <f>'NPV (Tong dau tu) -Bảng 7'!H6</f>
        <v>98383.943250000011</v>
      </c>
      <c r="I6" s="12">
        <f>'NPV (Tong dau tu) -Bảng 7'!I6</f>
        <v>109315.49250000001</v>
      </c>
      <c r="J6" s="12">
        <f>'NPV (Tong dau tu) -Bảng 7'!J6</f>
        <v>109315.49250000001</v>
      </c>
      <c r="K6" s="12">
        <f>'NPV (Tong dau tu) -Bảng 7'!K6</f>
        <v>120247.04175</v>
      </c>
      <c r="L6" s="12">
        <f>'NPV (Tong dau tu) -Bảng 7'!L6</f>
        <v>120247.04175</v>
      </c>
      <c r="M6" s="12">
        <f>'NPV (Tong dau tu) -Bảng 7'!M6</f>
        <v>131178.59100000001</v>
      </c>
      <c r="N6" s="12">
        <f>'NPV (Tong dau tu) -Bảng 7'!N6</f>
        <v>131178.59100000001</v>
      </c>
      <c r="O6" s="12">
        <f>'NPV (Tong dau tu) -Bảng 7'!O6</f>
        <v>142110.14025</v>
      </c>
    </row>
    <row r="7" spans="2:15" ht="15.75" customHeight="1">
      <c r="B7" s="36"/>
      <c r="C7" s="40" t="s">
        <v>38</v>
      </c>
      <c r="D7" s="40"/>
      <c r="E7" s="40"/>
      <c r="F7" s="12">
        <f>'NPV (Tong dau tu) -Bảng 7'!F7</f>
        <v>0</v>
      </c>
      <c r="G7" s="12">
        <f>'NPV (Tong dau tu) -Bảng 7'!G7</f>
        <v>-109.31549250000012</v>
      </c>
      <c r="H7" s="12">
        <f>'NPV (Tong dau tu) -Bảng 7'!H7</f>
        <v>0</v>
      </c>
      <c r="I7" s="12">
        <f>'NPV (Tong dau tu) -Bảng 7'!I7</f>
        <v>-109.31549249999989</v>
      </c>
      <c r="J7" s="12">
        <f>'NPV (Tong dau tu) -Bảng 7'!J7</f>
        <v>0</v>
      </c>
      <c r="K7" s="12">
        <f>'NPV (Tong dau tu) -Bảng 7'!K7</f>
        <v>-109.31549250000012</v>
      </c>
      <c r="L7" s="12">
        <f>'NPV (Tong dau tu) -Bảng 7'!L7</f>
        <v>0</v>
      </c>
      <c r="M7" s="12">
        <f>'NPV (Tong dau tu) -Bảng 7'!M7</f>
        <v>-109.31549250000012</v>
      </c>
      <c r="N7" s="12">
        <f>'NPV (Tong dau tu) -Bảng 7'!N7</f>
        <v>0</v>
      </c>
      <c r="O7" s="12">
        <f>'NPV (Tong dau tu) -Bảng 7'!O7</f>
        <v>-109.31549249999966</v>
      </c>
    </row>
    <row r="8" spans="2:15">
      <c r="B8" s="36"/>
      <c r="C8" s="40" t="s">
        <v>43</v>
      </c>
      <c r="D8" s="40"/>
      <c r="E8" s="40"/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</row>
    <row r="9" spans="2:15">
      <c r="B9" s="36"/>
      <c r="C9" s="40" t="s">
        <v>111</v>
      </c>
      <c r="D9" s="37"/>
      <c r="E9" s="37">
        <v>114000</v>
      </c>
      <c r="F9" s="12"/>
      <c r="G9" s="12"/>
      <c r="H9" s="12"/>
      <c r="I9" s="12"/>
      <c r="J9" s="12"/>
      <c r="K9" s="12"/>
      <c r="L9" s="12"/>
      <c r="M9" s="12"/>
      <c r="N9" s="36"/>
      <c r="O9" s="36"/>
    </row>
    <row r="10" spans="2:15">
      <c r="B10" s="36"/>
      <c r="C10" s="36" t="s">
        <v>48</v>
      </c>
      <c r="D10" s="36"/>
      <c r="E10" s="36"/>
      <c r="F10" s="12">
        <f>'NPV (Tong dau tu) -Bảng 7'!F9</f>
        <v>0</v>
      </c>
      <c r="G10" s="12">
        <f>'NPV (Tong dau tu) -Bảng 7'!G9</f>
        <v>0</v>
      </c>
      <c r="H10" s="12">
        <f>'NPV (Tong dau tu) -Bảng 7'!H9</f>
        <v>0</v>
      </c>
      <c r="I10" s="12">
        <f>'NPV (Tong dau tu) -Bảng 7'!I9</f>
        <v>0</v>
      </c>
      <c r="J10" s="12">
        <f>'NPV (Tong dau tu) -Bảng 7'!J9</f>
        <v>0</v>
      </c>
      <c r="K10" s="12">
        <f>'NPV (Tong dau tu) -Bảng 7'!K9</f>
        <v>0</v>
      </c>
      <c r="L10" s="12">
        <f>'NPV (Tong dau tu) -Bảng 7'!L9</f>
        <v>0</v>
      </c>
      <c r="M10" s="12"/>
      <c r="N10" s="36"/>
      <c r="O10" s="36"/>
    </row>
    <row r="11" spans="2:15" ht="13.5">
      <c r="B11" s="58"/>
      <c r="C11" s="58" t="s">
        <v>55</v>
      </c>
      <c r="D11" s="117">
        <f t="shared" ref="D11:O11" si="0">SUM(D6:D10)</f>
        <v>0</v>
      </c>
      <c r="E11" s="117">
        <f t="shared" si="0"/>
        <v>114000</v>
      </c>
      <c r="F11" s="117">
        <f t="shared" si="0"/>
        <v>87452.394</v>
      </c>
      <c r="G11" s="117">
        <f t="shared" si="0"/>
        <v>98274.627757500013</v>
      </c>
      <c r="H11" s="117">
        <f t="shared" si="0"/>
        <v>98383.943250000011</v>
      </c>
      <c r="I11" s="117">
        <f t="shared" si="0"/>
        <v>109206.17700750001</v>
      </c>
      <c r="J11" s="117">
        <f t="shared" si="0"/>
        <v>109315.49250000001</v>
      </c>
      <c r="K11" s="117">
        <f t="shared" si="0"/>
        <v>120137.72625750001</v>
      </c>
      <c r="L11" s="117">
        <f t="shared" si="0"/>
        <v>120247.04175</v>
      </c>
      <c r="M11" s="117">
        <f t="shared" si="0"/>
        <v>131069.27550750002</v>
      </c>
      <c r="N11" s="117">
        <f t="shared" si="0"/>
        <v>131178.59100000001</v>
      </c>
      <c r="O11" s="117">
        <f t="shared" si="0"/>
        <v>142000.8247575</v>
      </c>
    </row>
    <row r="12" spans="2:15">
      <c r="B12" s="21">
        <v>2</v>
      </c>
      <c r="C12" s="21" t="s">
        <v>58</v>
      </c>
      <c r="D12" s="21"/>
      <c r="E12" s="21"/>
      <c r="F12" s="12"/>
      <c r="G12" s="12"/>
      <c r="H12" s="12"/>
      <c r="I12" s="12"/>
      <c r="J12" s="12"/>
      <c r="K12" s="12"/>
      <c r="L12" s="12"/>
      <c r="M12" s="12"/>
      <c r="N12" s="36"/>
      <c r="O12" s="21"/>
    </row>
    <row r="13" spans="2:15">
      <c r="B13" s="36"/>
      <c r="C13" s="40" t="s">
        <v>62</v>
      </c>
      <c r="D13" s="108">
        <f>'NPV (Tong dau tu) -Bảng 7'!D12</f>
        <v>312086</v>
      </c>
      <c r="E13" s="108">
        <f>'NPV (Tong dau tu) -Bảng 7'!E12</f>
        <v>0</v>
      </c>
      <c r="F13" s="12"/>
      <c r="G13" s="12"/>
      <c r="H13" s="12"/>
      <c r="I13" s="12"/>
      <c r="J13" s="12"/>
      <c r="K13" s="12"/>
      <c r="L13" s="12"/>
      <c r="M13" s="12"/>
      <c r="N13" s="36"/>
      <c r="O13" s="36"/>
    </row>
    <row r="14" spans="2:15" ht="25.5" customHeight="1">
      <c r="B14" s="36"/>
      <c r="C14" s="40" t="s">
        <v>67</v>
      </c>
      <c r="D14" s="40"/>
      <c r="E14" s="40"/>
      <c r="F14" s="12">
        <f>'NPV (Tong dau tu) -Bảng 7'!F13</f>
        <v>45453.450000000004</v>
      </c>
      <c r="G14" s="12">
        <f>'NPV (Tong dau tu) -Bảng 7'!G13</f>
        <v>51135.131250000006</v>
      </c>
      <c r="H14" s="12">
        <f>'NPV (Tong dau tu) -Bảng 7'!H13</f>
        <v>51135.131250000006</v>
      </c>
      <c r="I14" s="12">
        <f>'NPV (Tong dau tu) -Bảng 7'!I13</f>
        <v>56816.8125</v>
      </c>
      <c r="J14" s="12">
        <f>'NPV (Tong dau tu) -Bảng 7'!J13</f>
        <v>56816.8125</v>
      </c>
      <c r="K14" s="12">
        <f>'NPV (Tong dau tu) -Bảng 7'!K13</f>
        <v>62498.493749999994</v>
      </c>
      <c r="L14" s="12">
        <f>'NPV (Tong dau tu) -Bảng 7'!L13</f>
        <v>62498.493749999994</v>
      </c>
      <c r="M14" s="12">
        <f>'NPV (Tong dau tu) -Bảng 7'!M13</f>
        <v>68180.174999999988</v>
      </c>
      <c r="N14" s="12">
        <f>'NPV (Tong dau tu) -Bảng 7'!N13</f>
        <v>68180.174999999988</v>
      </c>
      <c r="O14" s="12">
        <f>'NPV (Tong dau tu) -Bảng 7'!O13</f>
        <v>73861.856250000012</v>
      </c>
    </row>
    <row r="15" spans="2:15">
      <c r="B15" s="36"/>
      <c r="C15" s="40" t="s">
        <v>72</v>
      </c>
      <c r="D15" s="40"/>
      <c r="E15" s="40"/>
      <c r="F15" s="12">
        <f>'NPV (Tong dau tu) -Bảng 7'!F14</f>
        <v>0</v>
      </c>
      <c r="G15" s="12">
        <f>'NPV (Tong dau tu) -Bảng 7'!G14</f>
        <v>-10.703624999999988</v>
      </c>
      <c r="H15" s="12">
        <f>'NPV (Tong dau tu) -Bảng 7'!H14</f>
        <v>0</v>
      </c>
      <c r="I15" s="12">
        <f>'NPV (Tong dau tu) -Bảng 7'!I14</f>
        <v>-10.703624999999988</v>
      </c>
      <c r="J15" s="12">
        <f>'NPV (Tong dau tu) -Bảng 7'!J14</f>
        <v>0</v>
      </c>
      <c r="K15" s="12">
        <f>'NPV (Tong dau tu) -Bảng 7'!K14</f>
        <v>-10.703625000000002</v>
      </c>
      <c r="L15" s="12">
        <f>'NPV (Tong dau tu) -Bảng 7'!L14</f>
        <v>0</v>
      </c>
      <c r="M15" s="12">
        <f>'NPV (Tong dau tu) -Bảng 7'!M14</f>
        <v>-10.703625000000002</v>
      </c>
      <c r="N15" s="12">
        <f>'NPV (Tong dau tu) -Bảng 7'!N14</f>
        <v>0</v>
      </c>
      <c r="O15" s="12">
        <f>'NPV (Tong dau tu) -Bảng 7'!O14</f>
        <v>-10.703625000000017</v>
      </c>
    </row>
    <row r="16" spans="2:15" ht="12.75" customHeight="1">
      <c r="B16" s="36"/>
      <c r="C16" s="40" t="s">
        <v>76</v>
      </c>
      <c r="D16" s="40"/>
      <c r="E16" s="40"/>
      <c r="F16" s="12">
        <f>'NPV (Tong dau tu) -Bảng 7'!F15</f>
        <v>0</v>
      </c>
      <c r="G16" s="12">
        <f>'NPV (Tong dau tu) -Bảng 7'!G15</f>
        <v>109.31549250000012</v>
      </c>
      <c r="H16" s="12">
        <f>'NPV (Tong dau tu) -Bảng 7'!H15</f>
        <v>0</v>
      </c>
      <c r="I16" s="12">
        <f>'NPV (Tong dau tu) -Bảng 7'!I15</f>
        <v>109.31549249999989</v>
      </c>
      <c r="J16" s="12">
        <f>'NPV (Tong dau tu) -Bảng 7'!J15</f>
        <v>0</v>
      </c>
      <c r="K16" s="12">
        <f>'NPV (Tong dau tu) -Bảng 7'!K15</f>
        <v>109.31549250000012</v>
      </c>
      <c r="L16" s="12">
        <f>'NPV (Tong dau tu) -Bảng 7'!L15</f>
        <v>0</v>
      </c>
      <c r="M16" s="12">
        <f>'NPV (Tong dau tu) -Bảng 7'!M15</f>
        <v>109.31549250000012</v>
      </c>
      <c r="N16" s="12">
        <f>'NPV (Tong dau tu) -Bảng 7'!N15</f>
        <v>0</v>
      </c>
      <c r="O16" s="12">
        <f>'NPV (Tong dau tu) -Bảng 7'!O15</f>
        <v>109.31549249999966</v>
      </c>
    </row>
    <row r="17" spans="2:15">
      <c r="B17" s="36"/>
      <c r="C17" s="40" t="s">
        <v>78</v>
      </c>
      <c r="D17" s="40"/>
      <c r="E17" s="40"/>
      <c r="F17" s="12">
        <f>'NPV (Tong dau tu) -Bảng 7'!F16</f>
        <v>112.64572699881683</v>
      </c>
      <c r="G17" s="12">
        <f>'NPV (Tong dau tu) -Bảng 7'!G16</f>
        <v>1059.6561277040316</v>
      </c>
      <c r="H17" s="12">
        <f>'NPV (Tong dau tu) -Bảng 7'!H16</f>
        <v>1315.8270542558312</v>
      </c>
      <c r="I17" s="12">
        <f>'NPV (Tong dau tu) -Bảng 7'!I16</f>
        <v>2354.4642845489261</v>
      </c>
      <c r="J17" s="12">
        <f>'NPV (Tong dau tu) -Bảng 7'!J16</f>
        <v>2707.5939356838339</v>
      </c>
      <c r="K17" s="12">
        <f>'NPV (Tong dau tu) -Bảng 7'!K16</f>
        <v>3848.832056077209</v>
      </c>
      <c r="L17" s="12">
        <f>'NPV (Tong dau tu) -Bảng 7'!L16</f>
        <v>4310.5330884326504</v>
      </c>
      <c r="M17" s="12">
        <f>'NPV (Tong dau tu) -Bảng 7'!M16</f>
        <v>5566.6605125017886</v>
      </c>
      <c r="N17" s="12">
        <f>'NPV (Tong dau tu) -Bảng 7'!N16</f>
        <v>6149.9364198446847</v>
      </c>
      <c r="O17" s="12">
        <f>'NPV (Tong dau tu) -Bảng 7'!O16</f>
        <v>7534.7133330771176</v>
      </c>
    </row>
    <row r="18" spans="2:15">
      <c r="B18" s="36"/>
      <c r="C18" s="40" t="s">
        <v>112</v>
      </c>
      <c r="D18" s="40"/>
      <c r="E18" s="40"/>
      <c r="F18" s="12">
        <f>'KH trả nợ-Bảng 5'!C15</f>
        <v>7960.51854996162</v>
      </c>
      <c r="G18" s="12">
        <f>'KH trả nợ-Bảng 5'!D15</f>
        <v>8545.287905905263</v>
      </c>
      <c r="H18" s="12">
        <f>'KH trả nợ-Bảng 5'!E15</f>
        <v>12198.615550085678</v>
      </c>
      <c r="I18" s="12">
        <f>'KH trả nợ-Bảng 5'!F15</f>
        <v>12908.470267232946</v>
      </c>
      <c r="J18" s="12">
        <f>'KH trả nợ-Bảng 5'!G15</f>
        <v>16815.697673090865</v>
      </c>
      <c r="K18" s="12">
        <f>'KH trả nợ-Bảng 5'!H15</f>
        <v>17794.226938674776</v>
      </c>
      <c r="L18" s="12">
        <f>'KH trả nợ-Bảng 5'!I15</f>
        <v>21985.763445497214</v>
      </c>
      <c r="M18" s="12">
        <f>'KH trả nợ-Bảng 5'!J15</f>
        <v>23265.146161330122</v>
      </c>
      <c r="N18" s="12">
        <f>'KH trả nợ-Bảng 5'!K15</f>
        <v>27775.043206804534</v>
      </c>
      <c r="O18" s="12">
        <f>'KH trả nợ-Bảng 5'!L14</f>
        <v>29391.312311963833</v>
      </c>
    </row>
    <row r="19" spans="2:15" ht="13.5">
      <c r="B19" s="58"/>
      <c r="C19" s="58" t="s">
        <v>81</v>
      </c>
      <c r="D19" s="118">
        <f t="shared" ref="D19:O19" si="1">SUM(D13:D18)</f>
        <v>312086</v>
      </c>
      <c r="E19" s="118">
        <f t="shared" si="1"/>
        <v>0</v>
      </c>
      <c r="F19" s="118">
        <f t="shared" si="1"/>
        <v>53526.614276960441</v>
      </c>
      <c r="G19" s="118">
        <f t="shared" si="1"/>
        <v>60838.687151109298</v>
      </c>
      <c r="H19" s="118">
        <f t="shared" si="1"/>
        <v>64649.573854341514</v>
      </c>
      <c r="I19" s="118">
        <f t="shared" si="1"/>
        <v>72178.358919281876</v>
      </c>
      <c r="J19" s="118">
        <f t="shared" si="1"/>
        <v>76340.1041087747</v>
      </c>
      <c r="K19" s="118">
        <f t="shared" si="1"/>
        <v>84240.164612251974</v>
      </c>
      <c r="L19" s="118">
        <f t="shared" si="1"/>
        <v>88794.790283929862</v>
      </c>
      <c r="M19" s="118">
        <f t="shared" si="1"/>
        <v>97110.593541331895</v>
      </c>
      <c r="N19" s="118">
        <f t="shared" si="1"/>
        <v>102105.15462664921</v>
      </c>
      <c r="O19" s="118">
        <f t="shared" si="1"/>
        <v>110886.49376254097</v>
      </c>
    </row>
    <row r="20" spans="2:15">
      <c r="B20" s="21">
        <v>3</v>
      </c>
      <c r="C20" s="21" t="s">
        <v>84</v>
      </c>
      <c r="D20" s="83">
        <f t="shared" ref="D20:O20" si="2">D11-D19</f>
        <v>-312086</v>
      </c>
      <c r="E20" s="83">
        <f t="shared" si="2"/>
        <v>114000</v>
      </c>
      <c r="F20" s="83">
        <f t="shared" si="2"/>
        <v>33925.779723039559</v>
      </c>
      <c r="G20" s="83">
        <f t="shared" si="2"/>
        <v>37435.940606390715</v>
      </c>
      <c r="H20" s="83">
        <f t="shared" si="2"/>
        <v>33734.369395658498</v>
      </c>
      <c r="I20" s="83">
        <f t="shared" si="2"/>
        <v>37027.818088218133</v>
      </c>
      <c r="J20" s="83">
        <f t="shared" si="2"/>
        <v>32975.388391225308</v>
      </c>
      <c r="K20" s="83">
        <f t="shared" si="2"/>
        <v>35897.561645248032</v>
      </c>
      <c r="L20" s="83">
        <f t="shared" si="2"/>
        <v>31452.251466070142</v>
      </c>
      <c r="M20" s="83">
        <f t="shared" si="2"/>
        <v>33958.681966168122</v>
      </c>
      <c r="N20" s="83">
        <f t="shared" si="2"/>
        <v>29073.436373350807</v>
      </c>
      <c r="O20" s="83">
        <f t="shared" si="2"/>
        <v>31114.330994959033</v>
      </c>
    </row>
    <row r="21" spans="2:15" ht="15.75" customHeight="1">
      <c r="B21" s="36"/>
      <c r="C21" s="36" t="s">
        <v>113</v>
      </c>
      <c r="D21" s="36"/>
      <c r="E21" s="12">
        <f>NPV('Thong so - Độ nhậy - Bảng 1'!N14,E20:O20)+D20</f>
        <v>17449.652143401094</v>
      </c>
      <c r="F21" s="12"/>
      <c r="G21" s="12"/>
      <c r="H21" s="12"/>
      <c r="I21" s="12"/>
      <c r="J21" s="12"/>
      <c r="K21" s="12"/>
      <c r="L21" s="12"/>
      <c r="M21" s="12"/>
      <c r="N21" s="36"/>
      <c r="O21" s="36"/>
    </row>
    <row r="22" spans="2:15" ht="15.75" customHeight="1">
      <c r="B22" s="51"/>
      <c r="C22" s="51" t="s">
        <v>114</v>
      </c>
      <c r="D22" s="51"/>
      <c r="E22" s="90">
        <f>IRR(D20:O20)</f>
        <v>8.397259780852695E-2</v>
      </c>
      <c r="F22" s="91"/>
      <c r="G22" s="91"/>
      <c r="H22" s="91"/>
      <c r="I22" s="91"/>
      <c r="J22" s="91"/>
      <c r="K22" s="91"/>
      <c r="L22" s="91"/>
      <c r="M22" s="91"/>
      <c r="N22" s="51"/>
      <c r="O22" s="51"/>
    </row>
  </sheetData>
  <mergeCells count="3">
    <mergeCell ref="D3:E3"/>
    <mergeCell ref="F3:O3"/>
    <mergeCell ref="B1:O1"/>
  </mergeCells>
  <printOptions horizontalCentered="1"/>
  <pageMargins left="0.196850393700787" right="0.196850393700787" top="0.35433070866141703" bottom="0.27559055118110198" header="0.196850393700787" footer="0.196850393700787"/>
  <pageSetup paperSize="9" scale="9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6"/>
  <sheetViews>
    <sheetView topLeftCell="A7" workbookViewId="0">
      <selection activeCell="I4" sqref="I4"/>
    </sheetView>
  </sheetViews>
  <sheetFormatPr defaultRowHeight="12.75"/>
  <cols>
    <col min="1" max="1" width="6.5703125" customWidth="1"/>
    <col min="2" max="2" width="49.28515625" customWidth="1"/>
    <col min="3" max="3" width="17.42578125" customWidth="1"/>
    <col min="4" max="4" width="10.85546875" customWidth="1"/>
    <col min="5" max="5" width="14.28515625" customWidth="1"/>
    <col min="6" max="6" width="14.140625" customWidth="1"/>
    <col min="7" max="7" width="15.5703125" customWidth="1"/>
    <col min="12" max="12" width="17.5703125" customWidth="1"/>
  </cols>
  <sheetData>
    <row r="1" spans="1:12" ht="18.75">
      <c r="A1" s="678" t="s">
        <v>348</v>
      </c>
      <c r="B1" s="678"/>
      <c r="C1" s="678"/>
      <c r="D1" s="678"/>
      <c r="E1" s="678"/>
      <c r="F1" s="678"/>
      <c r="G1" s="678"/>
    </row>
    <row r="2" spans="1:12" ht="18.75">
      <c r="A2" s="678" t="s">
        <v>142</v>
      </c>
      <c r="B2" s="678"/>
      <c r="C2" s="678"/>
      <c r="D2" s="678"/>
      <c r="E2" s="678"/>
      <c r="F2" s="678"/>
      <c r="G2" s="678"/>
    </row>
    <row r="3" spans="1:12" ht="18.75">
      <c r="A3" s="232"/>
      <c r="B3" s="233"/>
      <c r="C3" s="232"/>
      <c r="D3" s="232"/>
      <c r="E3" s="233"/>
      <c r="F3" s="234"/>
      <c r="G3" s="235"/>
    </row>
    <row r="4" spans="1:12" ht="33">
      <c r="A4" s="325" t="s">
        <v>3</v>
      </c>
      <c r="B4" s="325" t="s">
        <v>144</v>
      </c>
      <c r="C4" s="325" t="s">
        <v>189</v>
      </c>
      <c r="D4" s="325" t="s">
        <v>250</v>
      </c>
      <c r="E4" s="325" t="s">
        <v>190</v>
      </c>
      <c r="F4" s="325" t="s">
        <v>251</v>
      </c>
      <c r="G4" s="326" t="s">
        <v>252</v>
      </c>
      <c r="J4">
        <v>384</v>
      </c>
      <c r="K4">
        <f>J4*30%</f>
        <v>115.19999999999999</v>
      </c>
    </row>
    <row r="5" spans="1:12" ht="16.5">
      <c r="A5" s="327">
        <v>1</v>
      </c>
      <c r="B5" s="328" t="s">
        <v>253</v>
      </c>
      <c r="C5" s="327"/>
      <c r="D5" s="327"/>
      <c r="E5" s="329"/>
      <c r="F5" s="330"/>
      <c r="G5" s="330">
        <f>'[1]Quy luong'!H18</f>
        <v>5768378.1818181816</v>
      </c>
      <c r="K5">
        <f>K4*360</f>
        <v>41471.999999999993</v>
      </c>
    </row>
    <row r="6" spans="1:12" ht="16.5">
      <c r="A6" s="327">
        <v>2</v>
      </c>
      <c r="B6" s="328" t="s">
        <v>254</v>
      </c>
      <c r="C6" s="327" t="s">
        <v>255</v>
      </c>
      <c r="D6" s="327">
        <v>2</v>
      </c>
      <c r="E6" s="329">
        <v>550</v>
      </c>
      <c r="F6" s="330">
        <v>500</v>
      </c>
      <c r="G6" s="330">
        <f t="shared" ref="G6:G13" si="0">D6*E6*F6</f>
        <v>550000</v>
      </c>
      <c r="K6">
        <f>K5/6400</f>
        <v>6.4799999999999986</v>
      </c>
    </row>
    <row r="7" spans="1:12" ht="16.5">
      <c r="A7" s="327">
        <v>3</v>
      </c>
      <c r="B7" s="328" t="s">
        <v>256</v>
      </c>
      <c r="C7" s="327" t="s">
        <v>255</v>
      </c>
      <c r="D7" s="327">
        <v>4</v>
      </c>
      <c r="E7" s="329">
        <f>E6</f>
        <v>550</v>
      </c>
      <c r="F7" s="330">
        <v>22</v>
      </c>
      <c r="G7" s="330">
        <f t="shared" si="0"/>
        <v>48400</v>
      </c>
    </row>
    <row r="8" spans="1:12" ht="24" customHeight="1">
      <c r="A8" s="327">
        <v>4</v>
      </c>
      <c r="B8" s="328" t="s">
        <v>257</v>
      </c>
      <c r="C8" s="327" t="s">
        <v>258</v>
      </c>
      <c r="D8" s="331">
        <v>1</v>
      </c>
      <c r="E8" s="329">
        <v>12</v>
      </c>
      <c r="F8" s="330">
        <v>50000</v>
      </c>
      <c r="G8" s="330">
        <f t="shared" si="0"/>
        <v>600000</v>
      </c>
    </row>
    <row r="9" spans="1:12" ht="66" customHeight="1">
      <c r="A9" s="327">
        <v>5</v>
      </c>
      <c r="B9" s="328" t="s">
        <v>259</v>
      </c>
      <c r="C9" s="327" t="s">
        <v>258</v>
      </c>
      <c r="D9" s="331">
        <v>1</v>
      </c>
      <c r="E9" s="329">
        <v>12</v>
      </c>
      <c r="F9" s="330">
        <v>1200000</v>
      </c>
      <c r="G9" s="330">
        <f t="shared" si="0"/>
        <v>14400000</v>
      </c>
    </row>
    <row r="10" spans="1:12" ht="16.5">
      <c r="A10" s="327">
        <v>6</v>
      </c>
      <c r="B10" s="328" t="s">
        <v>260</v>
      </c>
      <c r="C10" s="327" t="s">
        <v>261</v>
      </c>
      <c r="D10" s="331">
        <v>600</v>
      </c>
      <c r="E10" s="329">
        <v>12</v>
      </c>
      <c r="F10" s="330">
        <v>10</v>
      </c>
      <c r="G10" s="330">
        <f t="shared" si="0"/>
        <v>72000</v>
      </c>
    </row>
    <row r="11" spans="1:12" ht="33">
      <c r="A11" s="327">
        <v>7</v>
      </c>
      <c r="B11" s="328" t="s">
        <v>262</v>
      </c>
      <c r="C11" s="327" t="s">
        <v>258</v>
      </c>
      <c r="D11" s="332">
        <v>1</v>
      </c>
      <c r="E11" s="333">
        <v>12</v>
      </c>
      <c r="F11" s="334">
        <v>3000000</v>
      </c>
      <c r="G11" s="330">
        <f t="shared" si="0"/>
        <v>36000000</v>
      </c>
    </row>
    <row r="12" spans="1:12" ht="16.5">
      <c r="A12" s="327">
        <v>8</v>
      </c>
      <c r="B12" s="328" t="s">
        <v>263</v>
      </c>
      <c r="C12" s="327" t="s">
        <v>264</v>
      </c>
      <c r="D12" s="332">
        <v>1</v>
      </c>
      <c r="E12" s="330">
        <v>160000</v>
      </c>
      <c r="F12" s="335">
        <v>0.5</v>
      </c>
      <c r="G12" s="330">
        <f t="shared" si="0"/>
        <v>80000</v>
      </c>
      <c r="I12">
        <f>J12*65%</f>
        <v>41756</v>
      </c>
      <c r="J12">
        <v>64240</v>
      </c>
      <c r="K12">
        <v>10000000</v>
      </c>
      <c r="L12" s="243">
        <f>I12*K12</f>
        <v>417560000000</v>
      </c>
    </row>
    <row r="13" spans="1:12" ht="16.5">
      <c r="A13" s="327">
        <v>9</v>
      </c>
      <c r="B13" s="328" t="s">
        <v>265</v>
      </c>
      <c r="C13" s="327" t="s">
        <v>264</v>
      </c>
      <c r="D13" s="332">
        <v>10000</v>
      </c>
      <c r="E13" s="333">
        <v>12</v>
      </c>
      <c r="F13" s="336">
        <v>0.32</v>
      </c>
      <c r="G13" s="330">
        <f t="shared" si="0"/>
        <v>38400</v>
      </c>
      <c r="K13">
        <v>6000000</v>
      </c>
      <c r="L13" s="243">
        <f>I12*K13</f>
        <v>250536000000</v>
      </c>
    </row>
    <row r="14" spans="1:12" ht="19.5" customHeight="1">
      <c r="A14" s="327">
        <v>10</v>
      </c>
      <c r="B14" s="328" t="s">
        <v>266</v>
      </c>
      <c r="C14" s="327" t="s">
        <v>267</v>
      </c>
      <c r="D14" s="331"/>
      <c r="E14" s="329">
        <v>12</v>
      </c>
      <c r="F14" s="330"/>
      <c r="G14" s="330">
        <f>('[1]khau hao'!E13+'[1]khau hao'!E18+'[1]khau hao'!G18+'[1]khau hao'!E25)*1%</f>
        <v>28615445.787450001</v>
      </c>
      <c r="L14" s="323">
        <f>L12-L13</f>
        <v>167024000000</v>
      </c>
    </row>
    <row r="15" spans="1:12" ht="16.5">
      <c r="A15" s="327">
        <v>11</v>
      </c>
      <c r="B15" s="328" t="s">
        <v>268</v>
      </c>
      <c r="C15" s="327"/>
      <c r="D15" s="331"/>
      <c r="E15" s="329"/>
      <c r="F15" s="330"/>
      <c r="G15" s="330"/>
    </row>
    <row r="16" spans="1:12" ht="16.5">
      <c r="A16" s="327"/>
      <c r="B16" s="325" t="s">
        <v>164</v>
      </c>
      <c r="C16" s="327"/>
      <c r="D16" s="327"/>
      <c r="E16" s="327"/>
      <c r="F16" s="327"/>
      <c r="G16" s="337">
        <f>SUM(G5:G15)</f>
        <v>86172623.969268173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sqref="A1:D17"/>
    </sheetView>
  </sheetViews>
  <sheetFormatPr defaultRowHeight="12.75"/>
  <cols>
    <col min="1" max="1" width="7.7109375" customWidth="1"/>
    <col min="2" max="2" width="44" customWidth="1"/>
    <col min="3" max="3" width="37" customWidth="1"/>
    <col min="4" max="4" width="28.5703125" customWidth="1"/>
  </cols>
  <sheetData>
    <row r="1" spans="1:4" ht="18.75">
      <c r="A1" s="155" t="s">
        <v>349</v>
      </c>
      <c r="B1" s="156"/>
      <c r="C1" s="156"/>
      <c r="D1" s="157"/>
    </row>
    <row r="2" spans="1:4" ht="18.75">
      <c r="A2" s="158" t="s">
        <v>142</v>
      </c>
      <c r="B2" s="156"/>
      <c r="C2" s="156"/>
      <c r="D2" s="157"/>
    </row>
    <row r="3" spans="1:4" ht="18.75">
      <c r="A3" s="159"/>
      <c r="B3" s="160"/>
      <c r="C3" s="161" t="s">
        <v>143</v>
      </c>
      <c r="D3" s="161"/>
    </row>
    <row r="4" spans="1:4" ht="18.75">
      <c r="A4" s="162" t="s">
        <v>3</v>
      </c>
      <c r="B4" s="162" t="s">
        <v>144</v>
      </c>
      <c r="C4" s="162" t="s">
        <v>145</v>
      </c>
      <c r="D4" s="163" t="s">
        <v>146</v>
      </c>
    </row>
    <row r="5" spans="1:4" ht="18.75">
      <c r="A5" s="166">
        <v>1</v>
      </c>
      <c r="B5" s="167" t="s">
        <v>147</v>
      </c>
      <c r="C5" s="166"/>
      <c r="D5" s="168">
        <f>'[1]Quy luong'!H17+'[1]Quy luong'!H18+'[1]Quy luong'!H19</f>
        <v>28841890.909090906</v>
      </c>
    </row>
    <row r="6" spans="1:4" ht="18.75">
      <c r="A6" s="166">
        <v>2</v>
      </c>
      <c r="B6" s="167" t="s">
        <v>148</v>
      </c>
      <c r="C6" s="166" t="s">
        <v>149</v>
      </c>
      <c r="D6" s="168">
        <f>50000000*12/1000</f>
        <v>600000</v>
      </c>
    </row>
    <row r="7" spans="1:4" ht="18.75">
      <c r="A7" s="166">
        <v>3</v>
      </c>
      <c r="B7" s="167" t="s">
        <v>150</v>
      </c>
      <c r="C7" s="166" t="s">
        <v>151</v>
      </c>
      <c r="D7" s="168">
        <f>10000000*12/1000</f>
        <v>120000</v>
      </c>
    </row>
    <row r="8" spans="1:4" ht="18.75">
      <c r="A8" s="166">
        <v>4</v>
      </c>
      <c r="B8" s="167" t="s">
        <v>152</v>
      </c>
      <c r="C8" s="166" t="s">
        <v>149</v>
      </c>
      <c r="D8" s="168">
        <f>50000000*12/1000</f>
        <v>600000</v>
      </c>
    </row>
    <row r="9" spans="1:4" ht="18.75">
      <c r="A9" s="166">
        <v>5</v>
      </c>
      <c r="B9" s="167" t="s">
        <v>153</v>
      </c>
      <c r="C9" s="166" t="s">
        <v>154</v>
      </c>
      <c r="D9" s="168">
        <f>7000000*12/1000</f>
        <v>84000</v>
      </c>
    </row>
    <row r="10" spans="1:4" ht="18.75">
      <c r="A10" s="166">
        <v>6</v>
      </c>
      <c r="B10" s="167" t="s">
        <v>155</v>
      </c>
      <c r="C10" s="166"/>
      <c r="D10" s="168">
        <v>2000000</v>
      </c>
    </row>
    <row r="11" spans="1:4" ht="18.75">
      <c r="A11" s="166">
        <v>9</v>
      </c>
      <c r="B11" s="167" t="s">
        <v>156</v>
      </c>
      <c r="C11" s="166" t="s">
        <v>157</v>
      </c>
      <c r="D11" s="168">
        <f>20000000*12/1000</f>
        <v>240000</v>
      </c>
    </row>
    <row r="12" spans="1:4" ht="18.75">
      <c r="A12" s="166">
        <v>10</v>
      </c>
      <c r="B12" s="167" t="s">
        <v>158</v>
      </c>
      <c r="C12" s="166" t="s">
        <v>159</v>
      </c>
      <c r="D12" s="168">
        <f>('[1]khau hao'!E18+'[1]khau hao'!G18)*0.25%</f>
        <v>4244223.28</v>
      </c>
    </row>
    <row r="13" spans="1:4" ht="37.5">
      <c r="A13" s="166">
        <v>11</v>
      </c>
      <c r="B13" s="167" t="s">
        <v>160</v>
      </c>
      <c r="C13" s="166"/>
      <c r="D13" s="168">
        <v>2000000</v>
      </c>
    </row>
    <row r="14" spans="1:4" ht="18.75">
      <c r="A14" s="166">
        <v>12</v>
      </c>
      <c r="B14" s="167" t="s">
        <v>161</v>
      </c>
      <c r="C14" s="166"/>
      <c r="D14" s="168">
        <v>1500000</v>
      </c>
    </row>
    <row r="15" spans="1:4" ht="18.75">
      <c r="A15" s="166">
        <v>13</v>
      </c>
      <c r="B15" s="167" t="s">
        <v>162</v>
      </c>
      <c r="C15" s="166"/>
      <c r="D15" s="168">
        <v>500000</v>
      </c>
    </row>
    <row r="16" spans="1:4" ht="18.75">
      <c r="A16" s="166">
        <v>14</v>
      </c>
      <c r="B16" s="167" t="s">
        <v>163</v>
      </c>
      <c r="C16" s="166"/>
      <c r="D16" s="168">
        <v>2000000</v>
      </c>
    </row>
    <row r="17" spans="1:4" ht="18.75">
      <c r="A17" s="164"/>
      <c r="B17" s="162" t="s">
        <v>164</v>
      </c>
      <c r="C17" s="164"/>
      <c r="D17" s="165">
        <f>SUM(D5:D16)</f>
        <v>42730114.189090908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selection activeCell="A19" sqref="A19:D23"/>
    </sheetView>
  </sheetViews>
  <sheetFormatPr defaultRowHeight="12.75"/>
  <cols>
    <col min="2" max="2" width="30.42578125" customWidth="1"/>
    <col min="3" max="3" width="20.7109375" customWidth="1"/>
    <col min="4" max="4" width="31" customWidth="1"/>
    <col min="5" max="5" width="20.7109375" customWidth="1"/>
    <col min="6" max="6" width="15.140625" customWidth="1"/>
  </cols>
  <sheetData>
    <row r="1" spans="1:6" ht="18.75">
      <c r="A1" s="679" t="s">
        <v>350</v>
      </c>
      <c r="B1" s="679"/>
      <c r="C1" s="679"/>
      <c r="D1" s="679"/>
      <c r="E1" s="679"/>
      <c r="F1" s="679"/>
    </row>
    <row r="2" spans="1:6" ht="19.5">
      <c r="A2" s="169"/>
      <c r="B2" s="169"/>
      <c r="C2" s="169"/>
      <c r="D2" s="170"/>
      <c r="E2" s="680" t="s">
        <v>165</v>
      </c>
      <c r="F2" s="680"/>
    </row>
    <row r="3" spans="1:6" ht="18.75">
      <c r="A3" s="171" t="s">
        <v>166</v>
      </c>
      <c r="B3" s="171" t="s">
        <v>167</v>
      </c>
      <c r="C3" s="171"/>
      <c r="D3" s="171" t="s">
        <v>145</v>
      </c>
      <c r="E3" s="171" t="s">
        <v>168</v>
      </c>
      <c r="F3" s="171" t="s">
        <v>169</v>
      </c>
    </row>
    <row r="4" spans="1:6" ht="37.5">
      <c r="A4" s="176">
        <v>1</v>
      </c>
      <c r="B4" s="177" t="s">
        <v>170</v>
      </c>
      <c r="C4" s="177"/>
      <c r="D4" s="172"/>
      <c r="E4" s="175">
        <f>SUM(E5:E7)</f>
        <v>91800000</v>
      </c>
      <c r="F4" s="175"/>
    </row>
    <row r="5" spans="1:6" ht="37.5">
      <c r="A5" s="176" t="s">
        <v>171</v>
      </c>
      <c r="B5" s="177" t="s">
        <v>172</v>
      </c>
      <c r="C5" s="177"/>
      <c r="D5" s="178" t="s">
        <v>173</v>
      </c>
      <c r="E5" s="175">
        <f>1000*'[1]gia ban'!G25*0.1</f>
        <v>36720000</v>
      </c>
      <c r="F5" s="175"/>
    </row>
    <row r="6" spans="1:6" ht="37.5">
      <c r="A6" s="176" t="s">
        <v>174</v>
      </c>
      <c r="B6" s="177" t="s">
        <v>355</v>
      </c>
      <c r="C6" s="177"/>
      <c r="D6" s="178" t="s">
        <v>175</v>
      </c>
      <c r="E6" s="175">
        <f>600*'[1]gia ban'!G25*0.1</f>
        <v>22032000</v>
      </c>
      <c r="F6" s="175"/>
    </row>
    <row r="7" spans="1:6" ht="37.5">
      <c r="A7" s="176" t="s">
        <v>176</v>
      </c>
      <c r="B7" s="177" t="s">
        <v>356</v>
      </c>
      <c r="C7" s="177"/>
      <c r="D7" s="178" t="s">
        <v>177</v>
      </c>
      <c r="E7" s="175">
        <f>150*'[1]gia ban'!G25*0.6</f>
        <v>33048000</v>
      </c>
      <c r="F7" s="175"/>
    </row>
    <row r="8" spans="1:6" ht="22.5" customHeight="1">
      <c r="A8" s="176">
        <v>2</v>
      </c>
      <c r="B8" s="177" t="s">
        <v>178</v>
      </c>
      <c r="C8" s="177"/>
      <c r="D8" s="178" t="s">
        <v>175</v>
      </c>
      <c r="E8" s="175">
        <f>600*'[1]gia ban'!G25*0.2</f>
        <v>44064000</v>
      </c>
      <c r="F8" s="175"/>
    </row>
    <row r="9" spans="1:6" ht="18.75">
      <c r="A9" s="176">
        <v>3</v>
      </c>
      <c r="B9" s="177" t="s">
        <v>179</v>
      </c>
      <c r="C9" s="177"/>
      <c r="D9" s="172" t="s">
        <v>180</v>
      </c>
      <c r="E9" s="175">
        <f>0.5/100*'[1]Quy luong'!$F$5</f>
        <v>14938637.152926316</v>
      </c>
      <c r="F9" s="175"/>
    </row>
    <row r="10" spans="1:6" ht="18.75">
      <c r="A10" s="176">
        <v>4</v>
      </c>
      <c r="B10" s="177" t="s">
        <v>181</v>
      </c>
      <c r="C10" s="177"/>
      <c r="D10" s="172" t="s">
        <v>182</v>
      </c>
      <c r="E10" s="175">
        <f>1/100*'[1]Quy luong'!$F$5</f>
        <v>29877274.305852633</v>
      </c>
      <c r="F10" s="175"/>
    </row>
    <row r="11" spans="1:6" ht="18.75">
      <c r="A11" s="176">
        <v>5</v>
      </c>
      <c r="B11" s="177" t="s">
        <v>183</v>
      </c>
      <c r="C11" s="177"/>
      <c r="D11" s="172" t="s">
        <v>184</v>
      </c>
      <c r="E11" s="175">
        <f>2/100*'[1]Quy luong'!$F$5</f>
        <v>59754548.611705266</v>
      </c>
      <c r="F11" s="175"/>
    </row>
    <row r="12" spans="1:6" ht="18.75">
      <c r="A12" s="176">
        <v>6</v>
      </c>
      <c r="B12" s="179" t="s">
        <v>185</v>
      </c>
      <c r="C12" s="179"/>
      <c r="D12" s="172"/>
      <c r="E12" s="175">
        <v>500000</v>
      </c>
      <c r="F12" s="175"/>
    </row>
    <row r="13" spans="1:6" ht="18.75">
      <c r="A13" s="176">
        <v>7</v>
      </c>
      <c r="B13" s="179" t="s">
        <v>186</v>
      </c>
      <c r="C13" s="179"/>
      <c r="D13" s="172"/>
      <c r="E13" s="175">
        <v>300000</v>
      </c>
      <c r="F13" s="175"/>
    </row>
    <row r="14" spans="1:6" ht="18.75">
      <c r="A14" s="176">
        <v>8</v>
      </c>
      <c r="B14" s="179" t="s">
        <v>187</v>
      </c>
      <c r="C14" s="179"/>
      <c r="D14" s="172"/>
      <c r="E14" s="175">
        <v>2000000</v>
      </c>
      <c r="F14" s="175"/>
    </row>
    <row r="15" spans="1:6" ht="18.75">
      <c r="A15" s="172"/>
      <c r="B15" s="173" t="s">
        <v>188</v>
      </c>
      <c r="C15" s="173"/>
      <c r="D15" s="172"/>
      <c r="E15" s="174">
        <f>SUM(E5:E14)</f>
        <v>243234460.07048422</v>
      </c>
      <c r="F15" s="175"/>
    </row>
    <row r="18" spans="1:4">
      <c r="A18" s="356"/>
      <c r="B18" s="356"/>
      <c r="C18" s="356"/>
      <c r="D18" s="356"/>
    </row>
    <row r="19" spans="1:4" ht="20.100000000000001" customHeight="1">
      <c r="A19" s="296" t="s">
        <v>7</v>
      </c>
      <c r="B19" s="302" t="s">
        <v>357</v>
      </c>
      <c r="C19" s="302" t="s">
        <v>364</v>
      </c>
      <c r="D19" s="302" t="s">
        <v>363</v>
      </c>
    </row>
    <row r="20" spans="1:4" ht="20.100000000000001" customHeight="1">
      <c r="A20" s="297">
        <v>1</v>
      </c>
      <c r="B20" s="298" t="s">
        <v>358</v>
      </c>
      <c r="C20" s="357">
        <v>0.1</v>
      </c>
      <c r="D20" s="358" t="s">
        <v>361</v>
      </c>
    </row>
    <row r="21" spans="1:4" ht="20.100000000000001" customHeight="1">
      <c r="A21" s="297">
        <v>2</v>
      </c>
      <c r="B21" s="298" t="s">
        <v>359</v>
      </c>
      <c r="C21" s="357">
        <v>0.1</v>
      </c>
      <c r="D21" s="358" t="s">
        <v>175</v>
      </c>
    </row>
    <row r="22" spans="1:4" ht="20.100000000000001" customHeight="1">
      <c r="A22" s="297">
        <v>3</v>
      </c>
      <c r="B22" s="298" t="s">
        <v>360</v>
      </c>
      <c r="C22" s="357">
        <v>0.6</v>
      </c>
      <c r="D22" s="358" t="s">
        <v>362</v>
      </c>
    </row>
    <row r="23" spans="1:4" ht="15.75">
      <c r="A23" s="359">
        <v>4</v>
      </c>
      <c r="B23" s="360" t="s">
        <v>365</v>
      </c>
      <c r="C23" s="269">
        <v>0.2</v>
      </c>
      <c r="D23" s="241"/>
    </row>
  </sheetData>
  <mergeCells count="2">
    <mergeCell ref="A1:F1"/>
    <mergeCell ref="E2:F2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sqref="A1:H18"/>
    </sheetView>
  </sheetViews>
  <sheetFormatPr defaultRowHeight="12.75"/>
  <cols>
    <col min="2" max="2" width="49.85546875" customWidth="1"/>
    <col min="3" max="3" width="8.28515625" customWidth="1"/>
    <col min="4" max="4" width="13.140625" customWidth="1"/>
    <col min="5" max="5" width="10.7109375" customWidth="1"/>
    <col min="6" max="6" width="16.7109375" customWidth="1"/>
    <col min="7" max="7" width="13.42578125" customWidth="1"/>
    <col min="8" max="8" width="14.85546875" customWidth="1"/>
    <col min="9" max="9" width="11.140625" bestFit="1" customWidth="1"/>
  </cols>
  <sheetData>
    <row r="1" spans="1:9" ht="18.75">
      <c r="A1" s="681" t="s">
        <v>351</v>
      </c>
      <c r="B1" s="681"/>
      <c r="C1" s="681"/>
      <c r="D1" s="681"/>
      <c r="E1" s="681"/>
      <c r="F1" s="681"/>
      <c r="G1" s="681"/>
      <c r="H1" s="681"/>
    </row>
    <row r="2" spans="1:9" ht="44.25" customHeight="1">
      <c r="A2" s="180" t="s">
        <v>3</v>
      </c>
      <c r="B2" s="180" t="s">
        <v>134</v>
      </c>
      <c r="C2" s="180" t="s">
        <v>189</v>
      </c>
      <c r="D2" s="181" t="s">
        <v>190</v>
      </c>
      <c r="E2" s="182" t="s">
        <v>191</v>
      </c>
      <c r="F2" s="182" t="s">
        <v>192</v>
      </c>
      <c r="G2" s="182" t="s">
        <v>193</v>
      </c>
      <c r="H2" s="182" t="s">
        <v>194</v>
      </c>
    </row>
    <row r="3" spans="1:9" ht="16.5">
      <c r="A3" s="183" t="s">
        <v>16</v>
      </c>
      <c r="B3" s="184" t="s">
        <v>195</v>
      </c>
      <c r="C3" s="185"/>
      <c r="D3" s="186"/>
      <c r="E3" s="186"/>
      <c r="F3" s="186"/>
      <c r="G3" s="186"/>
      <c r="H3" s="186"/>
    </row>
    <row r="4" spans="1:9" ht="16.5">
      <c r="A4" s="187"/>
      <c r="B4" s="188" t="s">
        <v>196</v>
      </c>
      <c r="C4" s="187" t="s">
        <v>197</v>
      </c>
      <c r="D4" s="189">
        <f>'[1]gia ban'!G25</f>
        <v>367200</v>
      </c>
      <c r="E4" s="189">
        <f>'[1]Doanh thu'!$B$10</f>
        <v>8136.5126105263162</v>
      </c>
      <c r="F4" s="189">
        <f>E4*D4</f>
        <v>2987727430.5852633</v>
      </c>
      <c r="G4" s="189">
        <v>400</v>
      </c>
      <c r="H4" s="190">
        <f>D4*G4</f>
        <v>146880000</v>
      </c>
      <c r="I4" s="266">
        <f>H4+'Bảng 10 -CP Quản lý'!D17</f>
        <v>189610114.18909091</v>
      </c>
    </row>
    <row r="5" spans="1:9" ht="16.5">
      <c r="A5" s="192" t="s">
        <v>79</v>
      </c>
      <c r="B5" s="191" t="s">
        <v>198</v>
      </c>
      <c r="C5" s="188"/>
      <c r="D5" s="189"/>
      <c r="E5" s="189"/>
      <c r="F5" s="189"/>
      <c r="G5" s="189"/>
      <c r="H5" s="189"/>
    </row>
    <row r="6" spans="1:9" ht="16.5">
      <c r="A6" s="187"/>
      <c r="B6" s="188" t="s">
        <v>180</v>
      </c>
      <c r="C6" s="188"/>
      <c r="D6" s="189"/>
      <c r="E6" s="189"/>
      <c r="F6" s="189"/>
      <c r="G6" s="189"/>
      <c r="H6" s="189">
        <f>F4*0.5%</f>
        <v>14938637.152926316</v>
      </c>
    </row>
    <row r="7" spans="1:9" ht="16.5">
      <c r="A7" s="192" t="s">
        <v>45</v>
      </c>
      <c r="B7" s="191" t="s">
        <v>199</v>
      </c>
      <c r="C7" s="188"/>
      <c r="D7" s="189"/>
      <c r="E7" s="189"/>
      <c r="F7" s="189"/>
      <c r="G7" s="189"/>
      <c r="H7" s="193">
        <f>H4*0.08</f>
        <v>11750400</v>
      </c>
    </row>
    <row r="8" spans="1:9" ht="16.5">
      <c r="A8" s="187"/>
      <c r="B8" s="188" t="s">
        <v>200</v>
      </c>
      <c r="C8" s="188"/>
      <c r="D8" s="189"/>
      <c r="E8" s="189"/>
      <c r="F8" s="189"/>
      <c r="G8" s="189"/>
      <c r="H8" s="189"/>
    </row>
    <row r="9" spans="1:9" ht="16.5">
      <c r="A9" s="187"/>
      <c r="B9" s="194" t="s">
        <v>201</v>
      </c>
      <c r="C9" s="194"/>
      <c r="D9" s="195"/>
      <c r="E9" s="195"/>
      <c r="F9" s="195"/>
      <c r="G9" s="195"/>
      <c r="H9" s="196">
        <f>696*1.8*22*850/24</f>
        <v>976140</v>
      </c>
    </row>
    <row r="10" spans="1:9" ht="16.5">
      <c r="A10" s="187"/>
      <c r="B10" s="197" t="s">
        <v>202</v>
      </c>
      <c r="C10" s="189"/>
      <c r="D10" s="189"/>
      <c r="E10" s="189"/>
      <c r="F10" s="189"/>
      <c r="G10" s="189"/>
      <c r="H10" s="189"/>
    </row>
    <row r="11" spans="1:9" ht="16.5">
      <c r="A11" s="187"/>
      <c r="B11" s="188" t="s">
        <v>203</v>
      </c>
      <c r="C11" s="188"/>
      <c r="D11" s="189"/>
      <c r="E11" s="189"/>
      <c r="F11" s="189"/>
      <c r="G11" s="189"/>
      <c r="H11" s="196">
        <f>H7+H6+H4</f>
        <v>173569037.15292633</v>
      </c>
    </row>
    <row r="12" spans="1:9" ht="16.5">
      <c r="A12" s="188"/>
      <c r="B12" s="197" t="s">
        <v>204</v>
      </c>
      <c r="C12" s="188"/>
      <c r="D12" s="189"/>
      <c r="E12" s="189"/>
      <c r="F12" s="189"/>
      <c r="G12" s="189"/>
      <c r="H12" s="189"/>
    </row>
    <row r="13" spans="1:9" ht="16.5">
      <c r="A13" s="187">
        <v>1</v>
      </c>
      <c r="B13" s="188" t="s">
        <v>205</v>
      </c>
      <c r="C13" s="188"/>
      <c r="D13" s="189"/>
      <c r="E13" s="189"/>
      <c r="F13" s="189"/>
      <c r="G13" s="189"/>
      <c r="H13" s="189">
        <f>(H$11-H$6)*I13/550</f>
        <v>0</v>
      </c>
    </row>
    <row r="14" spans="1:9" ht="16.5">
      <c r="A14" s="187">
        <v>2</v>
      </c>
      <c r="B14" s="188" t="s">
        <v>206</v>
      </c>
      <c r="C14" s="188"/>
      <c r="D14" s="189"/>
      <c r="E14" s="189"/>
      <c r="F14" s="189"/>
      <c r="G14" s="189"/>
      <c r="H14" s="189">
        <f>(H$11-H$6)*I14/550</f>
        <v>0</v>
      </c>
    </row>
    <row r="15" spans="1:9" ht="16.5">
      <c r="A15" s="187">
        <v>3</v>
      </c>
      <c r="B15" s="188" t="s">
        <v>207</v>
      </c>
      <c r="C15" s="188"/>
      <c r="D15" s="189"/>
      <c r="E15" s="189"/>
      <c r="F15" s="189"/>
      <c r="G15" s="189"/>
      <c r="H15" s="189">
        <f>(H$11-H$6)*I15/550</f>
        <v>0</v>
      </c>
    </row>
    <row r="16" spans="1:9" ht="16.5">
      <c r="A16" s="187">
        <v>4</v>
      </c>
      <c r="B16" s="188" t="s">
        <v>208</v>
      </c>
      <c r="C16" s="188"/>
      <c r="D16" s="189"/>
      <c r="E16" s="189"/>
      <c r="F16" s="189"/>
      <c r="G16" s="189"/>
      <c r="H16" s="189">
        <f>H6</f>
        <v>14938637.152926316</v>
      </c>
    </row>
    <row r="17" spans="1:8" ht="16.5">
      <c r="A17" s="187">
        <v>5</v>
      </c>
      <c r="B17" s="188" t="s">
        <v>209</v>
      </c>
      <c r="C17" s="188"/>
      <c r="D17" s="189"/>
      <c r="E17" s="189"/>
      <c r="F17" s="189"/>
      <c r="G17" s="189"/>
      <c r="H17" s="189">
        <f>(H$11-H$6)*I17/550</f>
        <v>0</v>
      </c>
    </row>
    <row r="18" spans="1:8" ht="17.25">
      <c r="A18" s="198"/>
      <c r="B18" s="199" t="s">
        <v>210</v>
      </c>
      <c r="C18" s="200"/>
      <c r="D18" s="201"/>
      <c r="E18" s="201"/>
      <c r="F18" s="201"/>
      <c r="G18" s="202"/>
      <c r="H18" s="203">
        <f>SUM(H13:H17)</f>
        <v>14938637.152926316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H34" sqref="H34"/>
    </sheetView>
  </sheetViews>
  <sheetFormatPr defaultRowHeight="12.75"/>
  <cols>
    <col min="2" max="2" width="36.42578125" customWidth="1"/>
    <col min="3" max="3" width="12" customWidth="1"/>
    <col min="4" max="4" width="12.42578125" customWidth="1"/>
    <col min="5" max="5" width="15.140625" customWidth="1"/>
    <col min="6" max="6" width="15.7109375" customWidth="1"/>
    <col min="7" max="7" width="20.5703125" customWidth="1"/>
  </cols>
  <sheetData>
    <row r="1" spans="1:7" ht="16.5">
      <c r="A1" s="682" t="s">
        <v>352</v>
      </c>
      <c r="B1" s="682"/>
      <c r="C1" s="682"/>
      <c r="D1" s="682"/>
      <c r="E1" s="682"/>
      <c r="F1" s="682"/>
      <c r="G1" s="682"/>
    </row>
    <row r="2" spans="1:7" ht="16.5">
      <c r="A2" s="682" t="s">
        <v>211</v>
      </c>
      <c r="B2" s="682"/>
      <c r="C2" s="682"/>
      <c r="D2" s="682"/>
      <c r="E2" s="682"/>
      <c r="F2" s="682"/>
      <c r="G2" s="682"/>
    </row>
    <row r="3" spans="1:7" ht="33">
      <c r="A3" s="338" t="s">
        <v>7</v>
      </c>
      <c r="B3" s="338" t="s">
        <v>144</v>
      </c>
      <c r="C3" s="338" t="s">
        <v>126</v>
      </c>
      <c r="D3" s="339" t="s">
        <v>212</v>
      </c>
      <c r="E3" s="339" t="s">
        <v>213</v>
      </c>
      <c r="F3" s="339" t="s">
        <v>214</v>
      </c>
      <c r="G3" s="339" t="s">
        <v>215</v>
      </c>
    </row>
    <row r="4" spans="1:7" ht="16.5">
      <c r="A4" s="204" t="s">
        <v>20</v>
      </c>
      <c r="B4" s="205" t="s">
        <v>216</v>
      </c>
      <c r="C4" s="204"/>
      <c r="D4" s="206"/>
      <c r="E4" s="207"/>
      <c r="F4" s="206">
        <f>F5+F12+F16+F19+F20+F21+F22</f>
        <v>3536.021845238095</v>
      </c>
      <c r="G4" s="206">
        <f>F4*'[1]gia ban'!$G$25*0.7/85*100</f>
        <v>1069293005.9999999</v>
      </c>
    </row>
    <row r="5" spans="1:7" ht="17.25">
      <c r="A5" s="208">
        <v>1</v>
      </c>
      <c r="B5" s="209" t="s">
        <v>217</v>
      </c>
      <c r="C5" s="208"/>
      <c r="D5" s="210"/>
      <c r="E5" s="211"/>
      <c r="F5" s="212">
        <f>SUM(F6:F11)</f>
        <v>538.2446666666666</v>
      </c>
      <c r="G5" s="206">
        <f>F5*'[1]gia ban'!$G$25*0.7/85*100</f>
        <v>162765187.19999999</v>
      </c>
    </row>
    <row r="6" spans="1:7" ht="16.5">
      <c r="A6" s="213" t="s">
        <v>171</v>
      </c>
      <c r="B6" s="214" t="s">
        <v>218</v>
      </c>
      <c r="C6" s="213" t="s">
        <v>197</v>
      </c>
      <c r="D6" s="215">
        <v>420</v>
      </c>
      <c r="E6" s="340">
        <v>0.57299999999999995</v>
      </c>
      <c r="F6" s="217">
        <f t="shared" ref="F6:F11" si="0">E6*D6</f>
        <v>240.65999999999997</v>
      </c>
      <c r="G6" s="341">
        <f>F6*'[1]gia ban'!$G$25*0.7/85*100</f>
        <v>72775583.999999985</v>
      </c>
    </row>
    <row r="7" spans="1:7" ht="16.5">
      <c r="A7" s="213" t="s">
        <v>174</v>
      </c>
      <c r="B7" s="214" t="s">
        <v>219</v>
      </c>
      <c r="C7" s="213" t="s">
        <v>197</v>
      </c>
      <c r="D7" s="215">
        <v>608</v>
      </c>
      <c r="E7" s="340">
        <v>3.5999999999999997E-2</v>
      </c>
      <c r="F7" s="217">
        <f t="shared" si="0"/>
        <v>21.887999999999998</v>
      </c>
      <c r="G7" s="341">
        <f>F7*'[1]gia ban'!$G$25*0.7/85*100</f>
        <v>6618931.1999999993</v>
      </c>
    </row>
    <row r="8" spans="1:7" ht="16.5">
      <c r="A8" s="213" t="s">
        <v>176</v>
      </c>
      <c r="B8" s="214" t="s">
        <v>220</v>
      </c>
      <c r="C8" s="213" t="s">
        <v>197</v>
      </c>
      <c r="D8" s="215">
        <v>360</v>
      </c>
      <c r="E8" s="340">
        <v>0.14499999999999999</v>
      </c>
      <c r="F8" s="217">
        <f t="shared" si="0"/>
        <v>52.199999999999996</v>
      </c>
      <c r="G8" s="341">
        <f>F8*'[1]gia ban'!$G$25*0.7/85*100</f>
        <v>15785279.999999998</v>
      </c>
    </row>
    <row r="9" spans="1:7" ht="16.5">
      <c r="A9" s="213" t="s">
        <v>221</v>
      </c>
      <c r="B9" s="214" t="s">
        <v>222</v>
      </c>
      <c r="C9" s="213" t="s">
        <v>197</v>
      </c>
      <c r="D9" s="215">
        <v>340</v>
      </c>
      <c r="E9" s="340">
        <v>4.2000000000000003E-2</v>
      </c>
      <c r="F9" s="217">
        <f t="shared" si="0"/>
        <v>14.280000000000001</v>
      </c>
      <c r="G9" s="341">
        <f>F9*'[1]gia ban'!$G$25*0.7/85*100</f>
        <v>4318271.9999999991</v>
      </c>
    </row>
    <row r="10" spans="1:7" ht="16.5">
      <c r="A10" s="213" t="s">
        <v>223</v>
      </c>
      <c r="B10" s="214" t="s">
        <v>224</v>
      </c>
      <c r="C10" s="213" t="s">
        <v>197</v>
      </c>
      <c r="D10" s="215">
        <v>4000</v>
      </c>
      <c r="E10" s="340">
        <v>6.9999999999999999E-4</v>
      </c>
      <c r="F10" s="217">
        <f t="shared" si="0"/>
        <v>2.8</v>
      </c>
      <c r="G10" s="341">
        <f>F10*'[1]gia ban'!$G$25*0.7/85*100</f>
        <v>846719.99999999988</v>
      </c>
    </row>
    <row r="11" spans="1:7" ht="16.5">
      <c r="A11" s="213" t="s">
        <v>225</v>
      </c>
      <c r="B11" s="214" t="s">
        <v>226</v>
      </c>
      <c r="C11" s="213" t="s">
        <v>197</v>
      </c>
      <c r="D11" s="215">
        <v>2500</v>
      </c>
      <c r="E11" s="340">
        <f>0.2477/3</f>
        <v>8.2566666666666663E-2</v>
      </c>
      <c r="F11" s="217">
        <f t="shared" si="0"/>
        <v>206.41666666666666</v>
      </c>
      <c r="G11" s="341">
        <f>F11*'[1]gia ban'!$G$25*0.7/85*100</f>
        <v>62420400</v>
      </c>
    </row>
    <row r="12" spans="1:7" ht="17.25">
      <c r="A12" s="208">
        <v>2</v>
      </c>
      <c r="B12" s="209" t="s">
        <v>227</v>
      </c>
      <c r="C12" s="208"/>
      <c r="D12" s="210"/>
      <c r="E12" s="342"/>
      <c r="F12" s="212">
        <f>F13+F14</f>
        <v>1031.2</v>
      </c>
      <c r="G12" s="341">
        <f>F12*'[1]gia ban'!$G$25*0.7/85*100</f>
        <v>311834880</v>
      </c>
    </row>
    <row r="13" spans="1:7" ht="16.5">
      <c r="A13" s="213" t="s">
        <v>82</v>
      </c>
      <c r="B13" s="214" t="s">
        <v>228</v>
      </c>
      <c r="C13" s="213" t="s">
        <v>197</v>
      </c>
      <c r="D13" s="215">
        <v>5200</v>
      </c>
      <c r="E13" s="340">
        <v>0.19400000000000001</v>
      </c>
      <c r="F13" s="217">
        <f>E13*D13</f>
        <v>1008.8000000000001</v>
      </c>
      <c r="G13" s="341">
        <f>F13*'[1]gia ban'!$G$25*0.7/85*100</f>
        <v>305061120</v>
      </c>
    </row>
    <row r="14" spans="1:7" ht="16.5">
      <c r="A14" s="213" t="s">
        <v>91</v>
      </c>
      <c r="B14" s="214" t="s">
        <v>229</v>
      </c>
      <c r="C14" s="213" t="s">
        <v>197</v>
      </c>
      <c r="D14" s="215">
        <v>2800</v>
      </c>
      <c r="E14" s="340">
        <v>8.0000000000000002E-3</v>
      </c>
      <c r="F14" s="217">
        <f>E14*D14</f>
        <v>22.400000000000002</v>
      </c>
      <c r="G14" s="341">
        <f>F14*'[1]gia ban'!$G$25*0.7/85*100</f>
        <v>6773760.0000000009</v>
      </c>
    </row>
    <row r="15" spans="1:7" ht="16.5">
      <c r="A15" s="213" t="s">
        <v>230</v>
      </c>
      <c r="B15" s="214" t="s">
        <v>231</v>
      </c>
      <c r="C15" s="213"/>
      <c r="D15" s="217"/>
      <c r="E15" s="343"/>
      <c r="F15" s="344"/>
      <c r="G15" s="341">
        <f>F15*'[1]gia ban'!$G$25*0.7/85*100</f>
        <v>0</v>
      </c>
    </row>
    <row r="16" spans="1:7" ht="17.25">
      <c r="A16" s="208">
        <v>3</v>
      </c>
      <c r="B16" s="209" t="s">
        <v>232</v>
      </c>
      <c r="C16" s="208"/>
      <c r="D16" s="210"/>
      <c r="E16" s="345"/>
      <c r="F16" s="346">
        <f>F17+F18</f>
        <v>1650</v>
      </c>
      <c r="G16" s="341">
        <f>F16*'[1]gia ban'!$G$25*0.7/85*100</f>
        <v>498960000</v>
      </c>
    </row>
    <row r="17" spans="1:7" ht="16.5">
      <c r="A17" s="213" t="s">
        <v>233</v>
      </c>
      <c r="B17" s="214" t="s">
        <v>234</v>
      </c>
      <c r="C17" s="213" t="s">
        <v>235</v>
      </c>
      <c r="D17" s="347">
        <v>7310</v>
      </c>
      <c r="E17" s="348">
        <v>0</v>
      </c>
      <c r="F17" s="349">
        <f>E17*D17</f>
        <v>0</v>
      </c>
      <c r="G17" s="341">
        <f>F17*'[1]gia ban'!$G$25*0.7/85*100</f>
        <v>0</v>
      </c>
    </row>
    <row r="18" spans="1:7" ht="16.5">
      <c r="A18" s="213" t="s">
        <v>236</v>
      </c>
      <c r="B18" s="214" t="s">
        <v>237</v>
      </c>
      <c r="C18" s="213" t="s">
        <v>197</v>
      </c>
      <c r="D18" s="215">
        <v>11000</v>
      </c>
      <c r="E18" s="350">
        <v>0.15</v>
      </c>
      <c r="F18" s="349">
        <f>E18*D18</f>
        <v>1650</v>
      </c>
      <c r="G18" s="341">
        <f>F18*'[1]gia ban'!$G$25*0.7/85*100</f>
        <v>498960000</v>
      </c>
    </row>
    <row r="19" spans="1:7" ht="17.25">
      <c r="A19" s="208">
        <v>4</v>
      </c>
      <c r="B19" s="209" t="s">
        <v>238</v>
      </c>
      <c r="C19" s="208" t="s">
        <v>239</v>
      </c>
      <c r="D19" s="212">
        <v>1.65</v>
      </c>
      <c r="E19" s="351">
        <v>130</v>
      </c>
      <c r="F19" s="212">
        <f>E19*D19</f>
        <v>214.5</v>
      </c>
      <c r="G19" s="212">
        <f>F19*'[1]gia ban'!$G$25*0.7/85*100</f>
        <v>64864800</v>
      </c>
    </row>
    <row r="20" spans="1:7" ht="17.25">
      <c r="A20" s="208">
        <v>5</v>
      </c>
      <c r="B20" s="209" t="s">
        <v>240</v>
      </c>
      <c r="C20" s="208"/>
      <c r="D20" s="210"/>
      <c r="E20" s="351"/>
      <c r="F20" s="212">
        <f>7500/140</f>
        <v>53.571428571428569</v>
      </c>
      <c r="G20" s="212">
        <f>F20*'[1]gia ban'!$G$25*0.7/85*100</f>
        <v>16199999.999999996</v>
      </c>
    </row>
    <row r="21" spans="1:7" ht="17.25">
      <c r="A21" s="208">
        <v>6</v>
      </c>
      <c r="B21" s="209" t="s">
        <v>241</v>
      </c>
      <c r="C21" s="208" t="s">
        <v>242</v>
      </c>
      <c r="D21" s="210">
        <f>1.8*223.5</f>
        <v>402.3</v>
      </c>
      <c r="E21" s="351">
        <v>2.5000000000000001E-3</v>
      </c>
      <c r="F21" s="212">
        <f>E21*D21</f>
        <v>1.0057500000000001</v>
      </c>
      <c r="G21" s="212">
        <f>F21*'[1]gia ban'!$G$25*0.7/85*100</f>
        <v>304138.80000000005</v>
      </c>
    </row>
    <row r="22" spans="1:7" ht="17.25">
      <c r="A22" s="208">
        <v>7</v>
      </c>
      <c r="B22" s="209" t="s">
        <v>243</v>
      </c>
      <c r="C22" s="208" t="s">
        <v>244</v>
      </c>
      <c r="D22" s="210">
        <v>95</v>
      </c>
      <c r="E22" s="351">
        <v>0.5</v>
      </c>
      <c r="F22" s="212">
        <f>D22*E22</f>
        <v>47.5</v>
      </c>
      <c r="G22" s="212">
        <f>F22*'[1]gia ban'!$G$25*0.7</f>
        <v>12209400</v>
      </c>
    </row>
    <row r="23" spans="1:7" ht="16.5">
      <c r="A23" s="204" t="s">
        <v>73</v>
      </c>
      <c r="B23" s="205" t="s">
        <v>245</v>
      </c>
      <c r="C23" s="204"/>
      <c r="D23" s="225"/>
      <c r="E23" s="207"/>
      <c r="F23" s="206">
        <f>'[1]Quy luong'!H21/'[1]gia ban'!G25</f>
        <v>329.89090909090908</v>
      </c>
      <c r="G23" s="206">
        <f>F23*'[1]gia ban'!$G$25*0.7/85*100</f>
        <v>99759010.909090906</v>
      </c>
    </row>
    <row r="24" spans="1:7" ht="16.5">
      <c r="A24" s="204" t="s">
        <v>246</v>
      </c>
      <c r="B24" s="205" t="s">
        <v>139</v>
      </c>
      <c r="C24" s="204"/>
      <c r="D24" s="225"/>
      <c r="E24" s="207"/>
      <c r="F24" s="206">
        <f>'[1]CP SXC'!G16/'[1]gia ban'!G25</f>
        <v>234.67490187709197</v>
      </c>
      <c r="G24" s="206">
        <f>F24*'[1]gia ban'!$G$25*0.7/85*100</f>
        <v>70965690.327632606</v>
      </c>
    </row>
    <row r="25" spans="1:7" ht="16.5">
      <c r="A25" s="204"/>
      <c r="B25" s="205" t="s">
        <v>247</v>
      </c>
      <c r="C25" s="204"/>
      <c r="D25" s="225"/>
      <c r="E25" s="207"/>
      <c r="F25" s="206">
        <f>F24+F23+F4</f>
        <v>4100.5876562060957</v>
      </c>
      <c r="G25" s="206">
        <f>F25*'[1]gia ban'!$G$25*0.7/85*100</f>
        <v>1240017707.2367234</v>
      </c>
    </row>
    <row r="26" spans="1:7" ht="16.5">
      <c r="A26" s="204" t="s">
        <v>248</v>
      </c>
      <c r="B26" s="205" t="s">
        <v>128</v>
      </c>
      <c r="C26" s="204"/>
      <c r="D26" s="225"/>
      <c r="E26" s="207"/>
      <c r="F26" s="206">
        <f>'[1]CP QL'!D17/'[1]gia ban'!G25</f>
        <v>116.36741336898395</v>
      </c>
      <c r="G26" s="206">
        <f>F26*'[1]gia ban'!$G$25*0.7/85*100</f>
        <v>35189505.802780747</v>
      </c>
    </row>
    <row r="27" spans="1:7" ht="16.5">
      <c r="A27" s="204" t="s">
        <v>249</v>
      </c>
      <c r="B27" s="205" t="s">
        <v>141</v>
      </c>
      <c r="C27" s="204"/>
      <c r="D27" s="225"/>
      <c r="E27" s="207"/>
      <c r="F27" s="206">
        <f>'[1]CP ban hang'!D15/'[1]gia ban'!G25</f>
        <v>662.40321369957576</v>
      </c>
      <c r="G27" s="206">
        <f>F27*'[1]gia ban'!$G$25*0.7</f>
        <v>170264122.04933894</v>
      </c>
    </row>
    <row r="28" spans="1:7" ht="16.5">
      <c r="A28" s="213"/>
      <c r="B28" s="214"/>
      <c r="C28" s="213"/>
      <c r="D28" s="215"/>
      <c r="E28" s="344"/>
      <c r="F28" s="217"/>
      <c r="G28" s="341">
        <f>F28*'[1]gia ban'!$G$25*0.7/85*100</f>
        <v>0</v>
      </c>
    </row>
    <row r="29" spans="1:7" ht="16.5">
      <c r="A29" s="226"/>
      <c r="B29" s="352" t="s">
        <v>6</v>
      </c>
      <c r="C29" s="226"/>
      <c r="D29" s="353"/>
      <c r="E29" s="229"/>
      <c r="F29" s="230">
        <f>SUM(F25:F27)</f>
        <v>4879.3582832746552</v>
      </c>
      <c r="G29" s="231">
        <f>SUM(G25:G27)</f>
        <v>1445471335.0888429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0"/>
  <sheetViews>
    <sheetView workbookViewId="0">
      <selection activeCell="F29" sqref="F29"/>
    </sheetView>
  </sheetViews>
  <sheetFormatPr defaultRowHeight="12.75"/>
  <cols>
    <col min="1" max="1" width="8" customWidth="1"/>
    <col min="2" max="2" width="36.140625" customWidth="1"/>
    <col min="3" max="3" width="12.28515625" customWidth="1"/>
    <col min="4" max="4" width="13" customWidth="1"/>
    <col min="5" max="5" width="18.7109375" customWidth="1"/>
    <col min="6" max="6" width="18.5703125" customWidth="1"/>
    <col min="7" max="7" width="23" customWidth="1"/>
  </cols>
  <sheetData>
    <row r="1" spans="1:7" ht="16.5">
      <c r="A1" s="682" t="s">
        <v>353</v>
      </c>
      <c r="B1" s="682"/>
      <c r="C1" s="682"/>
      <c r="D1" s="682"/>
      <c r="E1" s="682"/>
      <c r="F1" s="682"/>
      <c r="G1" s="682"/>
    </row>
    <row r="2" spans="1:7" ht="16.5">
      <c r="A2" s="682" t="s">
        <v>211</v>
      </c>
      <c r="B2" s="682"/>
      <c r="C2" s="682"/>
      <c r="D2" s="682"/>
      <c r="E2" s="682"/>
      <c r="F2" s="682"/>
      <c r="G2" s="682"/>
    </row>
    <row r="3" spans="1:7" ht="16.5">
      <c r="A3" s="354"/>
      <c r="B3" s="355"/>
      <c r="C3" s="354"/>
      <c r="D3" s="355"/>
      <c r="E3" s="355"/>
      <c r="F3" s="355"/>
      <c r="G3" s="355"/>
    </row>
    <row r="4" spans="1:7" ht="48.75" customHeight="1">
      <c r="A4" s="338" t="s">
        <v>7</v>
      </c>
      <c r="B4" s="338" t="s">
        <v>144</v>
      </c>
      <c r="C4" s="338" t="s">
        <v>126</v>
      </c>
      <c r="D4" s="339" t="s">
        <v>212</v>
      </c>
      <c r="E4" s="339" t="s">
        <v>213</v>
      </c>
      <c r="F4" s="339" t="s">
        <v>214</v>
      </c>
      <c r="G4" s="339" t="s">
        <v>215</v>
      </c>
    </row>
    <row r="5" spans="1:7" ht="16.5">
      <c r="A5" s="204" t="s">
        <v>20</v>
      </c>
      <c r="B5" s="205" t="s">
        <v>216</v>
      </c>
      <c r="C5" s="204"/>
      <c r="D5" s="206"/>
      <c r="E5" s="207"/>
      <c r="F5" s="206">
        <f>F6+F13+F17+F20+F21+F22+F23</f>
        <v>3729.3618452380947</v>
      </c>
      <c r="G5" s="206">
        <f>F5*'[1]gia ban'!$G$25*0.3/85*100</f>
        <v>483325295.14285707</v>
      </c>
    </row>
    <row r="6" spans="1:7" ht="17.25">
      <c r="A6" s="208">
        <v>1</v>
      </c>
      <c r="B6" s="209" t="s">
        <v>217</v>
      </c>
      <c r="C6" s="208"/>
      <c r="D6" s="210"/>
      <c r="E6" s="211"/>
      <c r="F6" s="212">
        <f>SUM(F7:F12)</f>
        <v>538.2446666666666</v>
      </c>
      <c r="G6" s="206">
        <f>F6*'[1]gia ban'!$G$25*0.3/85*100</f>
        <v>69756508.799999982</v>
      </c>
    </row>
    <row r="7" spans="1:7" ht="16.5">
      <c r="A7" s="213" t="s">
        <v>171</v>
      </c>
      <c r="B7" s="214" t="s">
        <v>218</v>
      </c>
      <c r="C7" s="213" t="s">
        <v>197</v>
      </c>
      <c r="D7" s="215">
        <f>'[2]Z kinh trang'!D7</f>
        <v>420</v>
      </c>
      <c r="E7" s="216">
        <f>'[2]Z kinh trang'!E7</f>
        <v>0.57299999999999995</v>
      </c>
      <c r="F7" s="217">
        <f t="shared" ref="F7:F12" si="0">E7*D7</f>
        <v>240.65999999999997</v>
      </c>
      <c r="G7" s="217">
        <f>F7*'[1]gia ban'!$G$25*0.3/85*100</f>
        <v>31189535.999999993</v>
      </c>
    </row>
    <row r="8" spans="1:7" ht="16.5">
      <c r="A8" s="213" t="s">
        <v>174</v>
      </c>
      <c r="B8" s="214" t="s">
        <v>219</v>
      </c>
      <c r="C8" s="213" t="s">
        <v>197</v>
      </c>
      <c r="D8" s="215">
        <f>'[2]Z kinh trang'!D8</f>
        <v>608</v>
      </c>
      <c r="E8" s="216">
        <f>'[2]Z kinh trang'!E8</f>
        <v>3.5999999999999997E-2</v>
      </c>
      <c r="F8" s="217">
        <f t="shared" si="0"/>
        <v>21.887999999999998</v>
      </c>
      <c r="G8" s="217">
        <f>F8*'[1]gia ban'!$G$25*0.3/85*100</f>
        <v>2836684.7999999993</v>
      </c>
    </row>
    <row r="9" spans="1:7" ht="16.5">
      <c r="A9" s="213" t="s">
        <v>176</v>
      </c>
      <c r="B9" s="214" t="s">
        <v>220</v>
      </c>
      <c r="C9" s="213" t="s">
        <v>197</v>
      </c>
      <c r="D9" s="215">
        <f>'[2]Z kinh trang'!D9</f>
        <v>360</v>
      </c>
      <c r="E9" s="216">
        <f>'[2]Z kinh trang'!E9</f>
        <v>0.14499999999999999</v>
      </c>
      <c r="F9" s="217">
        <f t="shared" si="0"/>
        <v>52.199999999999996</v>
      </c>
      <c r="G9" s="217">
        <f>F9*'[1]gia ban'!$G$25*0.3/85*100</f>
        <v>6765120</v>
      </c>
    </row>
    <row r="10" spans="1:7" ht="16.5">
      <c r="A10" s="213" t="s">
        <v>221</v>
      </c>
      <c r="B10" s="214" t="s">
        <v>222</v>
      </c>
      <c r="C10" s="213" t="s">
        <v>197</v>
      </c>
      <c r="D10" s="215">
        <f>'[2]Z kinh trang'!D10</f>
        <v>340</v>
      </c>
      <c r="E10" s="216">
        <f>'[2]Z kinh trang'!E10</f>
        <v>4.2000000000000003E-2</v>
      </c>
      <c r="F10" s="217">
        <f t="shared" si="0"/>
        <v>14.280000000000001</v>
      </c>
      <c r="G10" s="217">
        <f>F10*'[1]gia ban'!$G$25*0.3/85*100</f>
        <v>1850688</v>
      </c>
    </row>
    <row r="11" spans="1:7" ht="16.5">
      <c r="A11" s="213" t="s">
        <v>223</v>
      </c>
      <c r="B11" s="214" t="s">
        <v>224</v>
      </c>
      <c r="C11" s="213" t="s">
        <v>197</v>
      </c>
      <c r="D11" s="215">
        <f>'[2]Z kinh trang'!D11</f>
        <v>4000</v>
      </c>
      <c r="E11" s="216">
        <f>'[2]Z kinh trang'!E11</f>
        <v>6.9999999999999999E-4</v>
      </c>
      <c r="F11" s="217">
        <f t="shared" si="0"/>
        <v>2.8</v>
      </c>
      <c r="G11" s="217">
        <f>F11*'[1]gia ban'!$G$25*0.3/85*100</f>
        <v>362879.99999999994</v>
      </c>
    </row>
    <row r="12" spans="1:7" ht="16.5">
      <c r="A12" s="213" t="s">
        <v>225</v>
      </c>
      <c r="B12" s="214" t="s">
        <v>226</v>
      </c>
      <c r="C12" s="213" t="s">
        <v>197</v>
      </c>
      <c r="D12" s="215">
        <f>'[2]Z kinh trang'!D12</f>
        <v>2500</v>
      </c>
      <c r="E12" s="216">
        <f>'[2]Z kinh trang'!E12</f>
        <v>8.2566666666666663E-2</v>
      </c>
      <c r="F12" s="217">
        <f t="shared" si="0"/>
        <v>206.41666666666666</v>
      </c>
      <c r="G12" s="217">
        <f>F12*'[1]gia ban'!$G$25*0.3/85*100</f>
        <v>26751600</v>
      </c>
    </row>
    <row r="13" spans="1:7" ht="17.25">
      <c r="A13" s="208">
        <v>2</v>
      </c>
      <c r="B13" s="209" t="s">
        <v>227</v>
      </c>
      <c r="C13" s="208"/>
      <c r="D13" s="210"/>
      <c r="E13" s="218"/>
      <c r="F13" s="212">
        <f>F14+F15+F16</f>
        <v>1114.54</v>
      </c>
      <c r="G13" s="212">
        <f>F13*'[1]gia ban'!$G$25*0.3/85*100</f>
        <v>144444384</v>
      </c>
    </row>
    <row r="14" spans="1:7" ht="16.5">
      <c r="A14" s="213" t="s">
        <v>82</v>
      </c>
      <c r="B14" s="214" t="s">
        <v>228</v>
      </c>
      <c r="C14" s="213" t="s">
        <v>197</v>
      </c>
      <c r="D14" s="215">
        <f>'[2]Z kinh trang'!D14</f>
        <v>5200</v>
      </c>
      <c r="E14" s="216">
        <f>'[2]Z kinh trang'!E14</f>
        <v>0.19400000000000001</v>
      </c>
      <c r="F14" s="217">
        <f>E14*D14</f>
        <v>1008.8000000000001</v>
      </c>
      <c r="G14" s="217">
        <f>F14*'[1]gia ban'!$G$25*0.3/85*100</f>
        <v>130740480</v>
      </c>
    </row>
    <row r="15" spans="1:7" ht="16.5">
      <c r="A15" s="213" t="s">
        <v>91</v>
      </c>
      <c r="B15" s="214" t="s">
        <v>229</v>
      </c>
      <c r="C15" s="213" t="s">
        <v>197</v>
      </c>
      <c r="D15" s="215">
        <f>'[2]Z kinh trang'!D15</f>
        <v>2800</v>
      </c>
      <c r="E15" s="216">
        <f>'[2]Z kinh trang'!E15</f>
        <v>8.0000000000000002E-3</v>
      </c>
      <c r="F15" s="217">
        <f>E15*D15</f>
        <v>22.400000000000002</v>
      </c>
      <c r="G15" s="217">
        <f>F15*'[1]gia ban'!$G$25*0.3/85*100</f>
        <v>2903040</v>
      </c>
    </row>
    <row r="16" spans="1:7" ht="16.5">
      <c r="A16" s="213" t="s">
        <v>230</v>
      </c>
      <c r="B16" s="214" t="s">
        <v>231</v>
      </c>
      <c r="C16" s="213" t="s">
        <v>242</v>
      </c>
      <c r="D16" s="219">
        <v>3000</v>
      </c>
      <c r="E16" s="220">
        <v>2.7779999999999999E-2</v>
      </c>
      <c r="F16" s="217">
        <f>E16*D16</f>
        <v>83.34</v>
      </c>
      <c r="G16" s="217">
        <f>F16*'[1]gia ban'!$G$25*0.3/85*100</f>
        <v>10800864</v>
      </c>
    </row>
    <row r="17" spans="1:7" ht="17.25">
      <c r="A17" s="208">
        <v>3</v>
      </c>
      <c r="B17" s="209" t="s">
        <v>232</v>
      </c>
      <c r="C17" s="208"/>
      <c r="D17" s="210"/>
      <c r="E17" s="218"/>
      <c r="F17" s="212">
        <f>F18+F19</f>
        <v>1760</v>
      </c>
      <c r="G17" s="212">
        <f>F17*'[1]gia ban'!$G$25*0.3/85*100</f>
        <v>228096000</v>
      </c>
    </row>
    <row r="18" spans="1:7" ht="16.5">
      <c r="A18" s="213" t="s">
        <v>233</v>
      </c>
      <c r="B18" s="214" t="s">
        <v>234</v>
      </c>
      <c r="C18" s="213" t="s">
        <v>197</v>
      </c>
      <c r="D18" s="221">
        <v>7310</v>
      </c>
      <c r="E18" s="222">
        <f>'[2]Z kinh trang'!E18</f>
        <v>0</v>
      </c>
      <c r="F18" s="217">
        <f>E18*D18</f>
        <v>0</v>
      </c>
      <c r="G18" s="217">
        <f>F18*'[1]gia ban'!$G$25*0.3/85*100</f>
        <v>0</v>
      </c>
    </row>
    <row r="19" spans="1:7" ht="16.5">
      <c r="A19" s="213" t="s">
        <v>236</v>
      </c>
      <c r="B19" s="214" t="s">
        <v>237</v>
      </c>
      <c r="C19" s="213" t="s">
        <v>197</v>
      </c>
      <c r="D19" s="215">
        <v>11000</v>
      </c>
      <c r="E19" s="222">
        <f>0.16</f>
        <v>0.16</v>
      </c>
      <c r="F19" s="217">
        <f>E19*D19</f>
        <v>1760</v>
      </c>
      <c r="G19" s="217">
        <f>F19*'[1]gia ban'!$G$25*0.3/85*100</f>
        <v>228096000</v>
      </c>
    </row>
    <row r="20" spans="1:7" ht="17.25">
      <c r="A20" s="208">
        <v>4</v>
      </c>
      <c r="B20" s="209" t="s">
        <v>238</v>
      </c>
      <c r="C20" s="208" t="s">
        <v>239</v>
      </c>
      <c r="D20" s="212">
        <v>1.65</v>
      </c>
      <c r="E20" s="222">
        <f>'[2]Z kinh trang'!E20</f>
        <v>130</v>
      </c>
      <c r="F20" s="212">
        <f>E20*D20</f>
        <v>214.5</v>
      </c>
      <c r="G20" s="217">
        <f>F20*'[1]gia ban'!$G$25*0.3/85*100</f>
        <v>27799200</v>
      </c>
    </row>
    <row r="21" spans="1:7" ht="17.25">
      <c r="A21" s="208">
        <v>5</v>
      </c>
      <c r="B21" s="209" t="s">
        <v>240</v>
      </c>
      <c r="C21" s="208"/>
      <c r="D21" s="210"/>
      <c r="E21" s="222"/>
      <c r="F21" s="212">
        <f>7500/140</f>
        <v>53.571428571428569</v>
      </c>
      <c r="G21" s="217">
        <f>F21*'[1]gia ban'!$G$25*0.3/85*100</f>
        <v>6942857.1428571418</v>
      </c>
    </row>
    <row r="22" spans="1:7" ht="17.25">
      <c r="A22" s="208">
        <v>6</v>
      </c>
      <c r="B22" s="209" t="s">
        <v>241</v>
      </c>
      <c r="C22" s="208" t="s">
        <v>242</v>
      </c>
      <c r="D22" s="223">
        <f>'[2]Z kinh trang'!D22</f>
        <v>402.3</v>
      </c>
      <c r="E22" s="224">
        <f>'[2]Z kinh trang'!E22</f>
        <v>2.5000000000000001E-3</v>
      </c>
      <c r="F22" s="212">
        <f>E22*D22</f>
        <v>1.0057500000000001</v>
      </c>
      <c r="G22" s="217">
        <f>F22*'[1]gia ban'!$G$25*0.3/85*100</f>
        <v>130345.20000000003</v>
      </c>
    </row>
    <row r="23" spans="1:7" ht="17.25">
      <c r="A23" s="208">
        <v>7</v>
      </c>
      <c r="B23" s="209" t="s">
        <v>243</v>
      </c>
      <c r="C23" s="208" t="s">
        <v>244</v>
      </c>
      <c r="D23" s="210">
        <v>95</v>
      </c>
      <c r="E23" s="222">
        <f>'[2]Z kinh trang'!E23</f>
        <v>0.5</v>
      </c>
      <c r="F23" s="212">
        <f>E23*D23</f>
        <v>47.5</v>
      </c>
      <c r="G23" s="217">
        <f>F23*'[1]gia ban'!$G$25*0.3</f>
        <v>5232600</v>
      </c>
    </row>
    <row r="24" spans="1:7" ht="16.5">
      <c r="A24" s="204" t="s">
        <v>73</v>
      </c>
      <c r="B24" s="205" t="s">
        <v>245</v>
      </c>
      <c r="C24" s="204"/>
      <c r="D24" s="225"/>
      <c r="E24" s="207"/>
      <c r="F24" s="206">
        <f>'[1]Quy luong'!H21/'[1]gia ban'!G25</f>
        <v>329.89090909090908</v>
      </c>
      <c r="G24" s="206">
        <f>F24*'[1]gia ban'!$G$25*0.3/85*100</f>
        <v>42753861.818181813</v>
      </c>
    </row>
    <row r="25" spans="1:7" ht="16.5">
      <c r="A25" s="204" t="s">
        <v>246</v>
      </c>
      <c r="B25" s="205" t="s">
        <v>139</v>
      </c>
      <c r="C25" s="204"/>
      <c r="D25" s="225"/>
      <c r="E25" s="207"/>
      <c r="F25" s="206">
        <f>'[1]CP SXC'!G16/'[1]gia ban'!G25</f>
        <v>234.67490187709197</v>
      </c>
      <c r="G25" s="206">
        <f>F25*'[1]gia ban'!$G$25*0.3/85*100</f>
        <v>30413867.283271119</v>
      </c>
    </row>
    <row r="26" spans="1:7" ht="16.5">
      <c r="A26" s="204"/>
      <c r="B26" s="205" t="s">
        <v>247</v>
      </c>
      <c r="C26" s="204"/>
      <c r="D26" s="225"/>
      <c r="E26" s="207"/>
      <c r="F26" s="206">
        <f>F25+F24+F5</f>
        <v>4293.9276562060959</v>
      </c>
      <c r="G26" s="206">
        <f>F26*'[1]gia ban'!$G$25*0.3/85*100</f>
        <v>556493024.24431002</v>
      </c>
    </row>
    <row r="27" spans="1:7" ht="16.5">
      <c r="A27" s="204" t="s">
        <v>248</v>
      </c>
      <c r="B27" s="205" t="s">
        <v>128</v>
      </c>
      <c r="C27" s="204"/>
      <c r="D27" s="225"/>
      <c r="E27" s="207"/>
      <c r="F27" s="206">
        <f>'[1]CP QL'!D17/'[1]gia ban'!G25</f>
        <v>116.36741336898395</v>
      </c>
      <c r="G27" s="206">
        <f>F27*'[1]gia ban'!$G$25*0.3/85*100</f>
        <v>15081216.772620322</v>
      </c>
    </row>
    <row r="28" spans="1:7" ht="16.5">
      <c r="A28" s="204" t="s">
        <v>249</v>
      </c>
      <c r="B28" s="205" t="s">
        <v>141</v>
      </c>
      <c r="C28" s="204"/>
      <c r="D28" s="225"/>
      <c r="E28" s="207"/>
      <c r="F28" s="206">
        <f>'[1]CP ban hang'!D15/'[1]gia ban'!G25</f>
        <v>662.40321369957576</v>
      </c>
      <c r="G28" s="206">
        <f>F28*'[1]gia ban'!$G$25*0.3</f>
        <v>72970338.021145269</v>
      </c>
    </row>
    <row r="29" spans="1:7" ht="16.5">
      <c r="A29" s="366"/>
      <c r="B29" s="367" t="s">
        <v>375</v>
      </c>
      <c r="C29" s="366"/>
      <c r="D29" s="368"/>
      <c r="E29" s="369"/>
      <c r="F29" s="370"/>
      <c r="G29" s="370"/>
    </row>
    <row r="30" spans="1:7" ht="16.5">
      <c r="A30" s="226"/>
      <c r="B30" s="227" t="s">
        <v>6</v>
      </c>
      <c r="C30" s="226"/>
      <c r="D30" s="228"/>
      <c r="E30" s="229"/>
      <c r="F30" s="230">
        <f>SUM(F26:F28)</f>
        <v>5072.6982832746553</v>
      </c>
      <c r="G30" s="231">
        <f>SUM(G26:G28)</f>
        <v>644544579.03807557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8"/>
  <sheetViews>
    <sheetView topLeftCell="A25" workbookViewId="0">
      <selection activeCell="E37" sqref="E37"/>
    </sheetView>
  </sheetViews>
  <sheetFormatPr defaultRowHeight="12.75"/>
  <cols>
    <col min="1" max="1" width="9.140625" style="139"/>
    <col min="2" max="2" width="29.140625" style="139" customWidth="1"/>
    <col min="3" max="3" width="13.28515625" style="139" customWidth="1"/>
    <col min="4" max="4" width="12" style="139" customWidth="1"/>
    <col min="5" max="6" width="9.140625" style="139"/>
    <col min="7" max="7" width="20.7109375" style="139" customWidth="1"/>
    <col min="8" max="8" width="9.140625" style="139"/>
    <col min="9" max="9" width="11.7109375" style="139" customWidth="1"/>
    <col min="10" max="10" width="13.140625" style="139" customWidth="1"/>
    <col min="11" max="16384" width="9.140625" style="139"/>
  </cols>
  <sheetData>
    <row r="1" spans="1:13" ht="18.75">
      <c r="A1" s="684" t="s">
        <v>354</v>
      </c>
      <c r="B1" s="684"/>
      <c r="C1" s="684"/>
      <c r="D1" s="684"/>
      <c r="E1" s="684"/>
      <c r="F1" s="684"/>
      <c r="G1" s="684"/>
      <c r="H1" s="684"/>
      <c r="I1" s="684"/>
      <c r="J1" s="684"/>
    </row>
    <row r="2" spans="1:13" ht="15.75">
      <c r="A2" s="246"/>
      <c r="B2" s="247"/>
      <c r="C2" s="247"/>
      <c r="D2" s="247"/>
      <c r="E2" s="268"/>
      <c r="F2" s="268"/>
      <c r="G2" s="268"/>
      <c r="H2" s="247"/>
    </row>
    <row r="3" spans="1:13" s="241" customFormat="1" ht="63">
      <c r="A3" s="248" t="s">
        <v>166</v>
      </c>
      <c r="B3" s="249" t="s">
        <v>276</v>
      </c>
      <c r="C3" s="249" t="s">
        <v>277</v>
      </c>
      <c r="D3" s="249" t="s">
        <v>278</v>
      </c>
      <c r="E3" s="249" t="s">
        <v>279</v>
      </c>
      <c r="F3" s="249" t="s">
        <v>280</v>
      </c>
      <c r="G3" s="249" t="s">
        <v>281</v>
      </c>
      <c r="H3" s="313" t="s">
        <v>341</v>
      </c>
      <c r="I3" s="248" t="s">
        <v>342</v>
      </c>
      <c r="J3" s="248" t="s">
        <v>343</v>
      </c>
    </row>
    <row r="4" spans="1:13" s="241" customFormat="1" ht="15.75">
      <c r="A4" s="250">
        <v>1</v>
      </c>
      <c r="B4" s="263" t="s">
        <v>282</v>
      </c>
      <c r="C4" s="251">
        <v>5</v>
      </c>
      <c r="D4" s="264">
        <v>0.02</v>
      </c>
      <c r="E4" s="265">
        <v>45000</v>
      </c>
      <c r="F4" s="251"/>
      <c r="G4" s="265">
        <v>45000</v>
      </c>
      <c r="H4" s="259">
        <f>(D4*G4+D5*G5+D6*G6+D7*G7+D8*G8+D9*G9+D10*G10+D11*G11+D12*G12+D13*G13+D14*G14+D15*G15+D16*G16+D17*G17+D18*G18+D19*G19+D20*G20+D21*G21+D22*G22)/100*100</f>
        <v>47637.661654135343</v>
      </c>
      <c r="I4" s="314">
        <f>D4*G4+G5*D5+G7*D7+G9*D9+G10*D10+G12*D12+G14*D14+G15*D15+G17*D17+G18*D18+G20*D20+G21*D21+G22*D22</f>
        <v>32383.566416040099</v>
      </c>
      <c r="J4" s="314">
        <f>G6*D6+G8*D8+G11*D11+G13*D13+G16*D16+G19*D19</f>
        <v>15254.095238095237</v>
      </c>
    </row>
    <row r="5" spans="1:13" s="241" customFormat="1" ht="15.75">
      <c r="A5" s="250">
        <v>2</v>
      </c>
      <c r="B5" s="263" t="s">
        <v>283</v>
      </c>
      <c r="C5" s="251">
        <v>10</v>
      </c>
      <c r="D5" s="264">
        <v>0.12</v>
      </c>
      <c r="E5" s="265">
        <v>85000</v>
      </c>
      <c r="F5" s="252"/>
      <c r="G5" s="265">
        <f>E5/2</f>
        <v>42500</v>
      </c>
      <c r="H5" s="252"/>
      <c r="I5" s="269">
        <f>D4+D5+D7+D9+D10+D12+D14+D15+D17+D18+D20+D21+D22</f>
        <v>0.70000000000000029</v>
      </c>
      <c r="J5" s="269">
        <v>0.3</v>
      </c>
      <c r="K5" s="241">
        <v>60700</v>
      </c>
      <c r="L5" s="272">
        <f>E5-K5</f>
        <v>24300</v>
      </c>
      <c r="M5" s="241">
        <f>L5/K5</f>
        <v>0.40032948929159801</v>
      </c>
    </row>
    <row r="6" spans="1:13" s="241" customFormat="1" ht="15.75">
      <c r="A6" s="250">
        <v>3</v>
      </c>
      <c r="B6" s="263" t="s">
        <v>284</v>
      </c>
      <c r="C6" s="251">
        <v>10</v>
      </c>
      <c r="D6" s="264">
        <v>0.1</v>
      </c>
      <c r="E6" s="265">
        <v>98000</v>
      </c>
      <c r="F6" s="253">
        <f>E6*D6/2.5</f>
        <v>3920</v>
      </c>
      <c r="G6" s="265">
        <f>E6/2</f>
        <v>49000</v>
      </c>
      <c r="H6" s="251"/>
      <c r="I6" s="270">
        <f>I4/I5</f>
        <v>46262.237737200121</v>
      </c>
      <c r="J6" s="270">
        <f>J4/J5</f>
        <v>50846.984126984127</v>
      </c>
      <c r="L6" s="272">
        <f t="shared" ref="L6:L14" si="0">E6-K6</f>
        <v>98000</v>
      </c>
      <c r="M6" s="241" t="e">
        <f t="shared" ref="M6:M14" si="1">L6/K6</f>
        <v>#DIV/0!</v>
      </c>
    </row>
    <row r="7" spans="1:13" s="241" customFormat="1" ht="15.75">
      <c r="A7" s="250">
        <v>4</v>
      </c>
      <c r="B7" s="263" t="s">
        <v>285</v>
      </c>
      <c r="C7" s="252">
        <v>12.5</v>
      </c>
      <c r="D7" s="264">
        <v>0.13</v>
      </c>
      <c r="E7" s="265">
        <v>106000</v>
      </c>
      <c r="F7" s="254">
        <f>E7*D7/2.5</f>
        <v>5512</v>
      </c>
      <c r="G7" s="265">
        <f>E7/2.5</f>
        <v>42400</v>
      </c>
      <c r="H7" s="252"/>
      <c r="I7" s="271">
        <f>I6*200</f>
        <v>9252447.5474400241</v>
      </c>
      <c r="J7" s="271">
        <f>J6*200</f>
        <v>10169396.825396825</v>
      </c>
      <c r="K7" s="241">
        <v>76000</v>
      </c>
      <c r="L7" s="272">
        <f t="shared" si="0"/>
        <v>30000</v>
      </c>
      <c r="M7" s="241">
        <f t="shared" si="1"/>
        <v>0.39473684210526316</v>
      </c>
    </row>
    <row r="8" spans="1:13" s="241" customFormat="1" ht="15.75">
      <c r="A8" s="250">
        <v>5</v>
      </c>
      <c r="B8" s="263" t="s">
        <v>286</v>
      </c>
      <c r="C8" s="251">
        <v>12.5</v>
      </c>
      <c r="D8" s="264">
        <v>0.1</v>
      </c>
      <c r="E8" s="265">
        <v>128700</v>
      </c>
      <c r="F8" s="253">
        <f>E8*D8/4</f>
        <v>3217.5</v>
      </c>
      <c r="G8" s="265">
        <f>E8/2.5</f>
        <v>51480</v>
      </c>
      <c r="H8" s="286">
        <v>0.8</v>
      </c>
      <c r="I8" s="315">
        <f>I7*H8</f>
        <v>7401958.0379520198</v>
      </c>
      <c r="J8" s="315">
        <f>J7*H8</f>
        <v>8135517.4603174599</v>
      </c>
      <c r="L8" s="272">
        <f t="shared" si="0"/>
        <v>128700</v>
      </c>
      <c r="M8" s="241" t="e">
        <f t="shared" si="1"/>
        <v>#DIV/0!</v>
      </c>
    </row>
    <row r="9" spans="1:13" s="241" customFormat="1" ht="15.75">
      <c r="A9" s="250">
        <v>6</v>
      </c>
      <c r="B9" s="263" t="s">
        <v>287</v>
      </c>
      <c r="C9" s="252">
        <v>15</v>
      </c>
      <c r="D9" s="264">
        <v>0.02</v>
      </c>
      <c r="E9" s="265">
        <v>136000</v>
      </c>
      <c r="F9" s="253"/>
      <c r="G9" s="265">
        <f>E9/3</f>
        <v>45333.333333333336</v>
      </c>
      <c r="H9" s="251"/>
      <c r="I9" s="271"/>
      <c r="K9" s="241">
        <v>77200</v>
      </c>
      <c r="L9" s="272">
        <f t="shared" si="0"/>
        <v>58800</v>
      </c>
      <c r="M9" s="241">
        <f t="shared" si="1"/>
        <v>0.76165803108808294</v>
      </c>
    </row>
    <row r="10" spans="1:13" s="241" customFormat="1" ht="15.75">
      <c r="A10" s="250">
        <v>7</v>
      </c>
      <c r="B10" s="263" t="s">
        <v>288</v>
      </c>
      <c r="C10" s="251">
        <v>17.5</v>
      </c>
      <c r="D10" s="264">
        <v>0.04</v>
      </c>
      <c r="E10" s="265">
        <v>157000</v>
      </c>
      <c r="F10" s="254"/>
      <c r="G10" s="265">
        <f>E10/3.5</f>
        <v>44857.142857142855</v>
      </c>
      <c r="H10" s="252"/>
      <c r="K10" s="241">
        <v>107000</v>
      </c>
      <c r="L10" s="272">
        <f t="shared" si="0"/>
        <v>50000</v>
      </c>
      <c r="M10" s="241">
        <f t="shared" si="1"/>
        <v>0.46728971962616822</v>
      </c>
    </row>
    <row r="11" spans="1:13" s="241" customFormat="1" ht="15.75">
      <c r="A11" s="250">
        <v>8</v>
      </c>
      <c r="B11" s="263" t="s">
        <v>289</v>
      </c>
      <c r="C11" s="251">
        <v>17.5</v>
      </c>
      <c r="D11" s="264">
        <v>0.02</v>
      </c>
      <c r="E11" s="265">
        <v>170000</v>
      </c>
      <c r="F11" s="253"/>
      <c r="G11" s="265">
        <f>E11/3.5</f>
        <v>48571.428571428572</v>
      </c>
      <c r="H11" s="251"/>
      <c r="L11" s="272">
        <f t="shared" si="0"/>
        <v>170000</v>
      </c>
      <c r="M11" s="241" t="e">
        <f t="shared" si="1"/>
        <v>#DIV/0!</v>
      </c>
    </row>
    <row r="12" spans="1:13" s="241" customFormat="1" ht="15.75">
      <c r="A12" s="250">
        <v>9</v>
      </c>
      <c r="B12" s="263" t="s">
        <v>290</v>
      </c>
      <c r="C12" s="252">
        <v>20</v>
      </c>
      <c r="D12" s="264">
        <v>0.1</v>
      </c>
      <c r="E12" s="265">
        <v>176000</v>
      </c>
      <c r="F12" s="254"/>
      <c r="G12" s="265">
        <f>E12/4</f>
        <v>44000</v>
      </c>
      <c r="H12" s="252"/>
      <c r="L12" s="272">
        <f t="shared" si="0"/>
        <v>176000</v>
      </c>
      <c r="M12" s="241" t="e">
        <f t="shared" si="1"/>
        <v>#DIV/0!</v>
      </c>
    </row>
    <row r="13" spans="1:13" s="241" customFormat="1" ht="15.75">
      <c r="A13" s="250">
        <v>10</v>
      </c>
      <c r="B13" s="263" t="s">
        <v>291</v>
      </c>
      <c r="C13" s="251">
        <v>20</v>
      </c>
      <c r="D13" s="264">
        <v>0.04</v>
      </c>
      <c r="E13" s="265">
        <v>220000</v>
      </c>
      <c r="F13" s="253">
        <f>E13*D13/5</f>
        <v>1760</v>
      </c>
      <c r="G13" s="265">
        <f>E13/4</f>
        <v>55000</v>
      </c>
      <c r="H13" s="251"/>
      <c r="L13" s="272">
        <f t="shared" si="0"/>
        <v>220000</v>
      </c>
      <c r="M13" s="241" t="e">
        <f t="shared" si="1"/>
        <v>#DIV/0!</v>
      </c>
    </row>
    <row r="14" spans="1:13" s="241" customFormat="1" ht="15.75">
      <c r="A14" s="250">
        <v>11</v>
      </c>
      <c r="B14" s="263" t="s">
        <v>292</v>
      </c>
      <c r="C14" s="252">
        <v>22.5</v>
      </c>
      <c r="D14" s="264">
        <v>0.02</v>
      </c>
      <c r="E14" s="265">
        <v>192000</v>
      </c>
      <c r="F14" s="253"/>
      <c r="G14" s="265">
        <f>E14/4.5</f>
        <v>42666.666666666664</v>
      </c>
      <c r="H14" s="251"/>
      <c r="K14" s="241">
        <v>129000</v>
      </c>
      <c r="L14" s="272">
        <f t="shared" si="0"/>
        <v>63000</v>
      </c>
      <c r="M14" s="241">
        <f t="shared" si="1"/>
        <v>0.48837209302325579</v>
      </c>
    </row>
    <row r="15" spans="1:13" s="241" customFormat="1" ht="15.75">
      <c r="A15" s="250">
        <v>12</v>
      </c>
      <c r="B15" s="263" t="s">
        <v>293</v>
      </c>
      <c r="C15" s="251">
        <v>25</v>
      </c>
      <c r="D15" s="264">
        <v>0.05</v>
      </c>
      <c r="E15" s="265">
        <v>222000</v>
      </c>
      <c r="F15" s="254"/>
      <c r="G15" s="265">
        <f>E15/5</f>
        <v>44400</v>
      </c>
      <c r="H15" s="252"/>
    </row>
    <row r="16" spans="1:13" s="241" customFormat="1" ht="15.75">
      <c r="A16" s="250">
        <v>13</v>
      </c>
      <c r="B16" s="263" t="s">
        <v>294</v>
      </c>
      <c r="C16" s="251">
        <v>25</v>
      </c>
      <c r="D16" s="264">
        <v>0.02</v>
      </c>
      <c r="E16" s="265">
        <v>267000</v>
      </c>
      <c r="F16" s="253">
        <f>E16*D16/6</f>
        <v>890</v>
      </c>
      <c r="G16" s="265">
        <f>E16/5</f>
        <v>53400</v>
      </c>
      <c r="H16" s="251"/>
    </row>
    <row r="17" spans="1:9" s="241" customFormat="1" ht="15.75">
      <c r="A17" s="250">
        <v>14</v>
      </c>
      <c r="B17" s="263" t="s">
        <v>295</v>
      </c>
      <c r="C17" s="252">
        <v>25</v>
      </c>
      <c r="D17" s="264">
        <v>0.05</v>
      </c>
      <c r="E17" s="265">
        <v>228000</v>
      </c>
      <c r="F17" s="253"/>
      <c r="G17" s="265">
        <f>E17/5</f>
        <v>45600</v>
      </c>
      <c r="H17" s="251"/>
    </row>
    <row r="18" spans="1:9" s="241" customFormat="1" ht="15.75">
      <c r="A18" s="250">
        <v>15</v>
      </c>
      <c r="B18" s="263" t="s">
        <v>296</v>
      </c>
      <c r="C18" s="251">
        <v>30</v>
      </c>
      <c r="D18" s="264">
        <v>0.05</v>
      </c>
      <c r="E18" s="265">
        <v>276000</v>
      </c>
      <c r="F18" s="253"/>
      <c r="G18" s="265">
        <f>E18/6</f>
        <v>46000</v>
      </c>
      <c r="H18" s="251"/>
    </row>
    <row r="19" spans="1:9" s="241" customFormat="1" ht="15.75">
      <c r="A19" s="250">
        <v>16</v>
      </c>
      <c r="B19" s="263" t="s">
        <v>297</v>
      </c>
      <c r="C19" s="251">
        <v>30</v>
      </c>
      <c r="D19" s="264">
        <v>0.02</v>
      </c>
      <c r="E19" s="265">
        <v>290000</v>
      </c>
      <c r="F19" s="253"/>
      <c r="G19" s="265">
        <f>E19/6</f>
        <v>48333.333333333336</v>
      </c>
      <c r="H19" s="251"/>
    </row>
    <row r="20" spans="1:9" s="241" customFormat="1" ht="15.75">
      <c r="A20" s="250">
        <v>17</v>
      </c>
      <c r="B20" s="263" t="s">
        <v>298</v>
      </c>
      <c r="C20" s="252">
        <v>30</v>
      </c>
      <c r="D20" s="264">
        <v>0.05</v>
      </c>
      <c r="E20" s="265">
        <v>295000</v>
      </c>
      <c r="F20" s="253"/>
      <c r="G20" s="265">
        <f>E20/6</f>
        <v>49166.666666666664</v>
      </c>
      <c r="H20" s="251"/>
    </row>
    <row r="21" spans="1:9" s="241" customFormat="1" ht="15.75">
      <c r="A21" s="250">
        <v>18</v>
      </c>
      <c r="B21" s="263" t="s">
        <v>299</v>
      </c>
      <c r="C21" s="251">
        <v>37.5</v>
      </c>
      <c r="D21" s="264">
        <v>0.03</v>
      </c>
      <c r="E21" s="265">
        <v>520000</v>
      </c>
      <c r="F21" s="254"/>
      <c r="G21" s="265">
        <f>E21/7.5</f>
        <v>69333.333333333328</v>
      </c>
      <c r="H21" s="252"/>
    </row>
    <row r="22" spans="1:9" s="241" customFormat="1" ht="15.75">
      <c r="A22" s="250">
        <v>19</v>
      </c>
      <c r="B22" s="263" t="s">
        <v>300</v>
      </c>
      <c r="C22" s="251">
        <v>47.5</v>
      </c>
      <c r="D22" s="264">
        <v>0.02</v>
      </c>
      <c r="E22" s="265">
        <v>750000</v>
      </c>
      <c r="F22" s="253"/>
      <c r="G22" s="265">
        <f>E22/9.5</f>
        <v>78947.368421052626</v>
      </c>
      <c r="H22" s="251"/>
    </row>
    <row r="23" spans="1:9" s="241" customFormat="1" ht="15.75">
      <c r="A23" s="250"/>
      <c r="B23" s="255" t="s">
        <v>6</v>
      </c>
      <c r="C23" s="255"/>
      <c r="D23" s="256">
        <f>SUM(D4:D22)</f>
        <v>1.0000000000000002</v>
      </c>
      <c r="E23" s="256"/>
      <c r="F23" s="256"/>
      <c r="G23" s="256"/>
      <c r="H23" s="251"/>
    </row>
    <row r="24" spans="1:9" s="241" customFormat="1" ht="15.75">
      <c r="A24" s="252"/>
      <c r="B24" s="252" t="s">
        <v>301</v>
      </c>
      <c r="C24" s="252"/>
      <c r="D24" s="252"/>
      <c r="E24" s="254"/>
      <c r="F24" s="254"/>
      <c r="G24" s="257">
        <f>H4</f>
        <v>47637.661654135343</v>
      </c>
      <c r="H24" s="252" t="s">
        <v>308</v>
      </c>
      <c r="I24" s="272"/>
    </row>
    <row r="25" spans="1:9" s="241" customFormat="1" ht="15.75">
      <c r="A25" s="258"/>
      <c r="B25" s="255" t="s">
        <v>302</v>
      </c>
      <c r="C25" s="255"/>
      <c r="D25" s="255"/>
      <c r="E25" s="259"/>
      <c r="F25" s="259"/>
      <c r="G25" s="260">
        <f>[3]TMDT!$C$22*0.85*360</f>
        <v>367200</v>
      </c>
      <c r="H25" s="255"/>
    </row>
    <row r="26" spans="1:9" s="241" customFormat="1" ht="15.75">
      <c r="A26" s="252"/>
      <c r="B26" s="251" t="s">
        <v>303</v>
      </c>
      <c r="C26" s="251"/>
      <c r="D26" s="251"/>
      <c r="E26" s="253"/>
      <c r="F26" s="253"/>
      <c r="G26" s="257">
        <f>H4*200</f>
        <v>9527532.3308270685</v>
      </c>
      <c r="H26" s="251"/>
    </row>
    <row r="27" spans="1:9" s="241" customFormat="1" ht="15.75">
      <c r="A27" s="258"/>
      <c r="B27" s="255" t="s">
        <v>304</v>
      </c>
      <c r="C27" s="261">
        <v>0.8</v>
      </c>
      <c r="D27" s="683" t="s">
        <v>305</v>
      </c>
      <c r="E27" s="683"/>
      <c r="F27" s="683"/>
      <c r="G27" s="260">
        <f>$G$26*C27</f>
        <v>7622025.8646616554</v>
      </c>
      <c r="H27" s="255"/>
    </row>
    <row r="28" spans="1:9" s="241" customFormat="1" ht="15.75">
      <c r="A28" s="258"/>
      <c r="B28" s="255" t="s">
        <v>306</v>
      </c>
      <c r="C28" s="261">
        <v>0.8</v>
      </c>
      <c r="D28" s="683" t="s">
        <v>305</v>
      </c>
      <c r="E28" s="683"/>
      <c r="F28" s="683"/>
      <c r="G28" s="262">
        <f>$G$26*C28</f>
        <v>7622025.8646616554</v>
      </c>
      <c r="H28" s="255"/>
    </row>
    <row r="29" spans="1:9" s="241" customFormat="1" ht="15.75">
      <c r="A29" s="258"/>
      <c r="B29" s="255" t="s">
        <v>307</v>
      </c>
      <c r="C29" s="255"/>
      <c r="D29" s="255"/>
      <c r="E29" s="259"/>
      <c r="F29" s="259"/>
      <c r="G29" s="260">
        <f>70%*G27+30%*G28</f>
        <v>7622025.8646616554</v>
      </c>
      <c r="H29" s="255"/>
    </row>
    <row r="31" spans="1:9">
      <c r="G31" s="267">
        <v>1</v>
      </c>
    </row>
    <row r="32" spans="1:9">
      <c r="B32" s="139" t="s">
        <v>422</v>
      </c>
      <c r="D32" s="139">
        <v>9500</v>
      </c>
    </row>
    <row r="34" spans="2:4">
      <c r="B34" s="139" t="s">
        <v>423</v>
      </c>
      <c r="D34" s="139">
        <v>10000</v>
      </c>
    </row>
    <row r="36" spans="2:4">
      <c r="B36" s="139" t="s">
        <v>424</v>
      </c>
      <c r="D36" s="139">
        <v>10000</v>
      </c>
    </row>
    <row r="38" spans="2:4">
      <c r="B38" s="139" t="s">
        <v>425</v>
      </c>
      <c r="D38" s="139">
        <v>12000</v>
      </c>
    </row>
  </sheetData>
  <mergeCells count="3">
    <mergeCell ref="D27:F27"/>
    <mergeCell ref="D28:F28"/>
    <mergeCell ref="A1:J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H13" sqref="H13"/>
    </sheetView>
  </sheetViews>
  <sheetFormatPr defaultRowHeight="12.75"/>
  <cols>
    <col min="1" max="1" width="7.140625" customWidth="1"/>
    <col min="2" max="2" width="29.28515625" customWidth="1"/>
    <col min="3" max="3" width="13.7109375" customWidth="1"/>
    <col min="4" max="4" width="13.85546875" customWidth="1"/>
  </cols>
  <sheetData>
    <row r="1" spans="1:9" ht="27.75" customHeight="1">
      <c r="A1" s="685" t="s">
        <v>7</v>
      </c>
      <c r="B1" s="685" t="s">
        <v>74</v>
      </c>
      <c r="C1" s="685" t="s">
        <v>334</v>
      </c>
      <c r="D1" s="685"/>
    </row>
    <row r="2" spans="1:9" ht="22.5" customHeight="1">
      <c r="A2" s="685"/>
      <c r="B2" s="685"/>
      <c r="C2" s="295" t="s">
        <v>335</v>
      </c>
      <c r="D2" s="296" t="s">
        <v>336</v>
      </c>
    </row>
    <row r="3" spans="1:9" ht="20.100000000000001" customHeight="1">
      <c r="A3" s="297">
        <v>1</v>
      </c>
      <c r="B3" s="298" t="s">
        <v>337</v>
      </c>
      <c r="C3" s="299">
        <f>'Thong so - Độ nhậy - Bảng 1'!C16</f>
        <v>130836</v>
      </c>
      <c r="D3" s="300">
        <f>C3/C5</f>
        <v>0.30724504269249192</v>
      </c>
    </row>
    <row r="4" spans="1:9" ht="20.100000000000001" customHeight="1">
      <c r="A4" s="297">
        <v>2</v>
      </c>
      <c r="B4" s="298" t="s">
        <v>131</v>
      </c>
      <c r="C4" s="299">
        <f>'Thong so - Độ nhậy - Bảng 1'!C17</f>
        <v>295000</v>
      </c>
      <c r="D4" s="300">
        <f>C4/C5</f>
        <v>0.69275495730750802</v>
      </c>
    </row>
    <row r="5" spans="1:9" ht="20.100000000000001" customHeight="1">
      <c r="A5" s="301"/>
      <c r="B5" s="302" t="s">
        <v>6</v>
      </c>
      <c r="C5" s="303">
        <f>SUM(C3:C4)</f>
        <v>425836</v>
      </c>
      <c r="D5" s="304">
        <v>1</v>
      </c>
    </row>
    <row r="6" spans="1:9">
      <c r="H6">
        <v>9.5</v>
      </c>
      <c r="I6" s="310">
        <v>35.4</v>
      </c>
    </row>
    <row r="7" spans="1:9">
      <c r="H7">
        <v>5.6</v>
      </c>
      <c r="I7" s="310">
        <v>152</v>
      </c>
    </row>
  </sheetData>
  <mergeCells count="3">
    <mergeCell ref="A1:A2"/>
    <mergeCell ref="B1:B2"/>
    <mergeCell ref="C1:D1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G9:G13"/>
  <sheetViews>
    <sheetView workbookViewId="0">
      <selection activeCell="K25" sqref="K25"/>
    </sheetView>
  </sheetViews>
  <sheetFormatPr defaultRowHeight="12.75"/>
  <cols>
    <col min="7" max="7" width="13" customWidth="1"/>
  </cols>
  <sheetData>
    <row r="9" spans="7:7">
      <c r="G9" s="243">
        <v>2078000</v>
      </c>
    </row>
    <row r="10" spans="7:7">
      <c r="G10" s="321">
        <v>0.3</v>
      </c>
    </row>
    <row r="11" spans="7:7">
      <c r="G11" s="322">
        <f>G9*G10</f>
        <v>623400</v>
      </c>
    </row>
    <row r="12" spans="7:7">
      <c r="G12" s="323">
        <f>G9-G11</f>
        <v>1454600</v>
      </c>
    </row>
    <row r="13" spans="7:7">
      <c r="G13" s="24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7"/>
  <sheetViews>
    <sheetView topLeftCell="A4" workbookViewId="0">
      <selection activeCell="J2" sqref="J2:M10"/>
    </sheetView>
  </sheetViews>
  <sheetFormatPr defaultRowHeight="12.75"/>
  <cols>
    <col min="1" max="1" width="7.42578125" customWidth="1"/>
    <col min="2" max="2" width="33.140625" customWidth="1"/>
    <col min="3" max="3" width="8.7109375" customWidth="1"/>
    <col min="4" max="4" width="11.28515625" customWidth="1"/>
    <col min="5" max="5" width="13.42578125" customWidth="1"/>
    <col min="6" max="6" width="12.5703125" customWidth="1"/>
    <col min="7" max="7" width="10" customWidth="1"/>
    <col min="10" max="10" width="7.140625" style="379" customWidth="1"/>
    <col min="11" max="11" width="38.42578125" customWidth="1"/>
    <col min="12" max="12" width="12.42578125" customWidth="1"/>
  </cols>
  <sheetData>
    <row r="1" spans="1:13" ht="16.5">
      <c r="A1" s="682"/>
      <c r="B1" s="682"/>
      <c r="C1" s="682"/>
      <c r="D1" s="682"/>
      <c r="E1" s="682"/>
      <c r="F1" s="682"/>
    </row>
    <row r="2" spans="1:13" ht="42.75" customHeight="1">
      <c r="A2" s="338" t="s">
        <v>7</v>
      </c>
      <c r="B2" s="338" t="s">
        <v>144</v>
      </c>
      <c r="C2" s="338" t="s">
        <v>126</v>
      </c>
      <c r="D2" s="339" t="s">
        <v>212</v>
      </c>
      <c r="E2" s="339" t="s">
        <v>213</v>
      </c>
      <c r="F2" s="339" t="s">
        <v>214</v>
      </c>
      <c r="G2" s="339" t="s">
        <v>14</v>
      </c>
      <c r="J2" s="381" t="s">
        <v>7</v>
      </c>
      <c r="K2" s="381" t="s">
        <v>144</v>
      </c>
      <c r="L2" s="248" t="s">
        <v>384</v>
      </c>
      <c r="M2" s="248" t="s">
        <v>14</v>
      </c>
    </row>
    <row r="3" spans="1:13" ht="16.5">
      <c r="A3" s="374" t="s">
        <v>20</v>
      </c>
      <c r="B3" s="375" t="s">
        <v>216</v>
      </c>
      <c r="C3" s="374"/>
      <c r="D3" s="376"/>
      <c r="E3" s="377"/>
      <c r="F3" s="376">
        <f>F4+F11+F15+F18+F19+F20+F21</f>
        <v>3536.021845238095</v>
      </c>
      <c r="G3" s="378">
        <f>F3/$F$27</f>
        <v>0.63376855647325836</v>
      </c>
      <c r="J3" s="238">
        <v>1</v>
      </c>
      <c r="K3" s="239" t="s">
        <v>381</v>
      </c>
      <c r="L3" s="382">
        <f>F4+F13</f>
        <v>560.64466666666658</v>
      </c>
      <c r="M3" s="383">
        <f>L3/$L$10</f>
        <v>0.10136677181207093</v>
      </c>
    </row>
    <row r="4" spans="1:13" ht="17.25">
      <c r="A4" s="208">
        <v>1</v>
      </c>
      <c r="B4" s="209" t="s">
        <v>217</v>
      </c>
      <c r="C4" s="208"/>
      <c r="D4" s="210"/>
      <c r="E4" s="211"/>
      <c r="F4" s="212">
        <f>SUM(F5:F10)</f>
        <v>538.2446666666666</v>
      </c>
      <c r="G4" s="372">
        <f t="shared" ref="G4:G27" si="0">F4/$F$27</f>
        <v>9.6470712103248951E-2</v>
      </c>
      <c r="J4" s="238">
        <v>2</v>
      </c>
      <c r="K4" s="239" t="s">
        <v>382</v>
      </c>
      <c r="L4" s="382">
        <f>F12+F14</f>
        <v>1008.8000000000001</v>
      </c>
      <c r="M4" s="383">
        <f t="shared" ref="M4:M10" si="1">L4/$L$10</f>
        <v>0.18239502751716272</v>
      </c>
    </row>
    <row r="5" spans="1:13" ht="16.5">
      <c r="A5" s="213" t="s">
        <v>171</v>
      </c>
      <c r="B5" s="214" t="s">
        <v>218</v>
      </c>
      <c r="C5" s="213" t="s">
        <v>197</v>
      </c>
      <c r="D5" s="215">
        <v>420</v>
      </c>
      <c r="E5" s="340">
        <v>0.57299999999999995</v>
      </c>
      <c r="F5" s="217">
        <f t="shared" ref="F5:F10" si="2">E5*D5</f>
        <v>240.65999999999997</v>
      </c>
      <c r="G5" s="372">
        <f t="shared" si="0"/>
        <v>4.31339927965248E-2</v>
      </c>
      <c r="J5" s="238">
        <v>3</v>
      </c>
      <c r="K5" s="239" t="s">
        <v>377</v>
      </c>
      <c r="L5" s="384">
        <f>F15+F19</f>
        <v>1703.5714285714287</v>
      </c>
      <c r="M5" s="383">
        <f t="shared" si="1"/>
        <v>0.30801244804890748</v>
      </c>
    </row>
    <row r="6" spans="1:13" ht="16.5">
      <c r="A6" s="213" t="s">
        <v>174</v>
      </c>
      <c r="B6" s="214" t="s">
        <v>219</v>
      </c>
      <c r="C6" s="213" t="s">
        <v>197</v>
      </c>
      <c r="D6" s="215">
        <v>608</v>
      </c>
      <c r="E6" s="340">
        <v>3.5999999999999997E-2</v>
      </c>
      <c r="F6" s="217">
        <f t="shared" si="2"/>
        <v>21.887999999999998</v>
      </c>
      <c r="G6" s="372">
        <f t="shared" si="0"/>
        <v>3.9230318055777239E-3</v>
      </c>
      <c r="J6" s="238">
        <v>4</v>
      </c>
      <c r="K6" s="239" t="s">
        <v>378</v>
      </c>
      <c r="L6" s="382">
        <f>F18</f>
        <v>214.5</v>
      </c>
      <c r="M6" s="383">
        <f t="shared" si="1"/>
        <v>3.878244786125238E-2</v>
      </c>
    </row>
    <row r="7" spans="1:13" ht="16.5">
      <c r="A7" s="213" t="s">
        <v>176</v>
      </c>
      <c r="B7" s="214" t="s">
        <v>220</v>
      </c>
      <c r="C7" s="213" t="s">
        <v>197</v>
      </c>
      <c r="D7" s="215">
        <v>360</v>
      </c>
      <c r="E7" s="340">
        <v>0.14499999999999999</v>
      </c>
      <c r="F7" s="217">
        <f t="shared" si="2"/>
        <v>52.199999999999996</v>
      </c>
      <c r="G7" s="372">
        <f t="shared" si="0"/>
        <v>9.3559146679073994E-3</v>
      </c>
      <c r="J7" s="238">
        <v>5</v>
      </c>
      <c r="K7" s="239" t="s">
        <v>379</v>
      </c>
      <c r="L7" s="382">
        <f>F22+F23+F24</f>
        <v>680.93322433698506</v>
      </c>
      <c r="M7" s="383">
        <f t="shared" si="1"/>
        <v>0.12311541850742933</v>
      </c>
    </row>
    <row r="8" spans="1:13" ht="16.5">
      <c r="A8" s="213" t="s">
        <v>221</v>
      </c>
      <c r="B8" s="214" t="s">
        <v>222</v>
      </c>
      <c r="C8" s="213" t="s">
        <v>197</v>
      </c>
      <c r="D8" s="215">
        <v>340</v>
      </c>
      <c r="E8" s="340">
        <v>4.2000000000000003E-2</v>
      </c>
      <c r="F8" s="217">
        <f t="shared" si="2"/>
        <v>14.280000000000001</v>
      </c>
      <c r="G8" s="372">
        <f t="shared" si="0"/>
        <v>2.5594341275424846E-3</v>
      </c>
      <c r="J8" s="238">
        <v>6</v>
      </c>
      <c r="K8" s="239" t="s">
        <v>380</v>
      </c>
      <c r="L8" s="382">
        <f>F25</f>
        <v>662.40321369957576</v>
      </c>
      <c r="M8" s="383">
        <f t="shared" si="1"/>
        <v>0.11976511933999913</v>
      </c>
    </row>
    <row r="9" spans="1:13" ht="16.5">
      <c r="A9" s="213" t="s">
        <v>223</v>
      </c>
      <c r="B9" s="214" t="s">
        <v>224</v>
      </c>
      <c r="C9" s="213" t="s">
        <v>197</v>
      </c>
      <c r="D9" s="215">
        <v>4000</v>
      </c>
      <c r="E9" s="340">
        <v>6.9999999999999999E-4</v>
      </c>
      <c r="F9" s="217">
        <f t="shared" si="2"/>
        <v>2.8</v>
      </c>
      <c r="G9" s="372">
        <f t="shared" si="0"/>
        <v>5.0184982892989886E-4</v>
      </c>
      <c r="J9" s="238">
        <v>7</v>
      </c>
      <c r="K9" s="239" t="s">
        <v>376</v>
      </c>
      <c r="L9" s="240">
        <f>F26</f>
        <v>700</v>
      </c>
      <c r="M9" s="383">
        <f t="shared" si="1"/>
        <v>0.12656276691317792</v>
      </c>
    </row>
    <row r="10" spans="1:13" ht="16.5">
      <c r="A10" s="213" t="s">
        <v>225</v>
      </c>
      <c r="B10" s="214" t="s">
        <v>226</v>
      </c>
      <c r="C10" s="213" t="s">
        <v>197</v>
      </c>
      <c r="D10" s="215">
        <v>2500</v>
      </c>
      <c r="E10" s="340">
        <f>0.2477/3</f>
        <v>8.2566666666666663E-2</v>
      </c>
      <c r="F10" s="217">
        <f t="shared" si="2"/>
        <v>206.41666666666666</v>
      </c>
      <c r="G10" s="372">
        <f t="shared" si="0"/>
        <v>3.6996488876766653E-2</v>
      </c>
      <c r="J10" s="686" t="s">
        <v>383</v>
      </c>
      <c r="K10" s="686"/>
      <c r="L10" s="385">
        <f>SUM(L3:L9)</f>
        <v>5530.8525332746567</v>
      </c>
      <c r="M10" s="386">
        <f t="shared" si="1"/>
        <v>1</v>
      </c>
    </row>
    <row r="11" spans="1:13" ht="17.25">
      <c r="A11" s="208">
        <v>2</v>
      </c>
      <c r="B11" s="209" t="s">
        <v>227</v>
      </c>
      <c r="C11" s="208"/>
      <c r="D11" s="210"/>
      <c r="E11" s="342"/>
      <c r="F11" s="212">
        <f>F12+F13</f>
        <v>1031.2</v>
      </c>
      <c r="G11" s="372">
        <f t="shared" si="0"/>
        <v>0.18482412271161133</v>
      </c>
      <c r="J11" s="380"/>
      <c r="K11" s="356"/>
      <c r="L11" s="356"/>
      <c r="M11" s="356"/>
    </row>
    <row r="12" spans="1:13" ht="16.5">
      <c r="A12" s="213" t="s">
        <v>82</v>
      </c>
      <c r="B12" s="214" t="s">
        <v>228</v>
      </c>
      <c r="C12" s="213" t="s">
        <v>197</v>
      </c>
      <c r="D12" s="215">
        <v>5200</v>
      </c>
      <c r="E12" s="340">
        <v>0.19400000000000001</v>
      </c>
      <c r="F12" s="217">
        <f>E12*D12</f>
        <v>1008.8000000000001</v>
      </c>
      <c r="G12" s="372">
        <f t="shared" si="0"/>
        <v>0.18080932408017214</v>
      </c>
    </row>
    <row r="13" spans="1:13" ht="16.5">
      <c r="A13" s="213" t="s">
        <v>91</v>
      </c>
      <c r="B13" s="214" t="s">
        <v>229</v>
      </c>
      <c r="C13" s="213" t="s">
        <v>197</v>
      </c>
      <c r="D13" s="215">
        <v>2800</v>
      </c>
      <c r="E13" s="340">
        <v>8.0000000000000002E-3</v>
      </c>
      <c r="F13" s="217">
        <f>E13*D13</f>
        <v>22.400000000000002</v>
      </c>
      <c r="G13" s="372">
        <f t="shared" si="0"/>
        <v>4.0147986314391917E-3</v>
      </c>
    </row>
    <row r="14" spans="1:13" ht="16.5">
      <c r="A14" s="213" t="s">
        <v>230</v>
      </c>
      <c r="B14" s="214" t="s">
        <v>231</v>
      </c>
      <c r="C14" s="213"/>
      <c r="D14" s="217"/>
      <c r="E14" s="343"/>
      <c r="F14" s="344"/>
      <c r="G14" s="372">
        <f t="shared" si="0"/>
        <v>0</v>
      </c>
    </row>
    <row r="15" spans="1:13" ht="17.25">
      <c r="A15" s="208">
        <v>3</v>
      </c>
      <c r="B15" s="209" t="s">
        <v>232</v>
      </c>
      <c r="C15" s="208"/>
      <c r="D15" s="210"/>
      <c r="E15" s="345"/>
      <c r="F15" s="346">
        <f>F16+F17</f>
        <v>1650</v>
      </c>
      <c r="G15" s="372">
        <f t="shared" si="0"/>
        <v>0.29573293490511898</v>
      </c>
    </row>
    <row r="16" spans="1:13" ht="16.5">
      <c r="A16" s="213" t="s">
        <v>233</v>
      </c>
      <c r="B16" s="214" t="s">
        <v>234</v>
      </c>
      <c r="C16" s="213" t="s">
        <v>235</v>
      </c>
      <c r="D16" s="347">
        <v>7310</v>
      </c>
      <c r="E16" s="348">
        <v>0</v>
      </c>
      <c r="F16" s="349">
        <f>E16*D16</f>
        <v>0</v>
      </c>
      <c r="G16" s="372">
        <f t="shared" si="0"/>
        <v>0</v>
      </c>
    </row>
    <row r="17" spans="1:7" ht="16.5">
      <c r="A17" s="213" t="s">
        <v>236</v>
      </c>
      <c r="B17" s="214" t="s">
        <v>237</v>
      </c>
      <c r="C17" s="213" t="s">
        <v>197</v>
      </c>
      <c r="D17" s="215">
        <v>11000</v>
      </c>
      <c r="E17" s="350">
        <v>0.15</v>
      </c>
      <c r="F17" s="349">
        <f>E17*D17</f>
        <v>1650</v>
      </c>
      <c r="G17" s="372">
        <f t="shared" si="0"/>
        <v>0.29573293490511898</v>
      </c>
    </row>
    <row r="18" spans="1:7" ht="17.25">
      <c r="A18" s="208">
        <v>4</v>
      </c>
      <c r="B18" s="209" t="s">
        <v>238</v>
      </c>
      <c r="C18" s="208" t="s">
        <v>239</v>
      </c>
      <c r="D18" s="212">
        <v>1.65</v>
      </c>
      <c r="E18" s="351">
        <v>130</v>
      </c>
      <c r="F18" s="212">
        <f>E18*D18</f>
        <v>214.5</v>
      </c>
      <c r="G18" s="372">
        <f t="shared" si="0"/>
        <v>3.8445281537665466E-2</v>
      </c>
    </row>
    <row r="19" spans="1:7" ht="17.25">
      <c r="A19" s="208">
        <v>5</v>
      </c>
      <c r="B19" s="209" t="s">
        <v>240</v>
      </c>
      <c r="C19" s="208"/>
      <c r="D19" s="210"/>
      <c r="E19" s="351"/>
      <c r="F19" s="212">
        <f>7500/140</f>
        <v>53.571428571428569</v>
      </c>
      <c r="G19" s="372">
        <f t="shared" si="0"/>
        <v>9.6017186657506165E-3</v>
      </c>
    </row>
    <row r="20" spans="1:7" ht="17.25">
      <c r="A20" s="208">
        <v>6</v>
      </c>
      <c r="B20" s="209" t="s">
        <v>241</v>
      </c>
      <c r="C20" s="208" t="s">
        <v>242</v>
      </c>
      <c r="D20" s="210">
        <f>1.8*223.5</f>
        <v>402.3</v>
      </c>
      <c r="E20" s="351">
        <v>2.5000000000000001E-3</v>
      </c>
      <c r="F20" s="212">
        <f>E20*D20</f>
        <v>1.0057500000000001</v>
      </c>
      <c r="G20" s="372">
        <f t="shared" si="0"/>
        <v>1.802626662308021E-4</v>
      </c>
    </row>
    <row r="21" spans="1:7" ht="17.25">
      <c r="A21" s="208">
        <v>7</v>
      </c>
      <c r="B21" s="209" t="s">
        <v>243</v>
      </c>
      <c r="C21" s="208" t="s">
        <v>244</v>
      </c>
      <c r="D21" s="210">
        <v>95</v>
      </c>
      <c r="E21" s="351">
        <v>0.5</v>
      </c>
      <c r="F21" s="212">
        <f>D21*E21</f>
        <v>47.5</v>
      </c>
      <c r="G21" s="372">
        <f t="shared" si="0"/>
        <v>8.5135238836322128E-3</v>
      </c>
    </row>
    <row r="22" spans="1:7" ht="16.5">
      <c r="A22" s="204" t="s">
        <v>73</v>
      </c>
      <c r="B22" s="205" t="s">
        <v>245</v>
      </c>
      <c r="C22" s="204"/>
      <c r="D22" s="225"/>
      <c r="E22" s="207"/>
      <c r="F22" s="206">
        <f>'[1]Quy luong'!H21/'[1]gia ban'!G25</f>
        <v>329.89090909090908</v>
      </c>
      <c r="G22" s="372">
        <f t="shared" si="0"/>
        <v>5.9127034390286264E-2</v>
      </c>
    </row>
    <row r="23" spans="1:7" ht="16.5">
      <c r="A23" s="204" t="s">
        <v>246</v>
      </c>
      <c r="B23" s="205" t="s">
        <v>139</v>
      </c>
      <c r="C23" s="204"/>
      <c r="D23" s="225"/>
      <c r="E23" s="207"/>
      <c r="F23" s="206">
        <f>'[1]CP SXC'!G16/'[1]gia ban'!G25</f>
        <v>234.67490187709197</v>
      </c>
      <c r="G23" s="372">
        <f t="shared" si="0"/>
        <v>4.2061271200414078E-2</v>
      </c>
    </row>
    <row r="24" spans="1:7" ht="16.5">
      <c r="A24" s="204" t="s">
        <v>248</v>
      </c>
      <c r="B24" s="205" t="s">
        <v>128</v>
      </c>
      <c r="C24" s="204"/>
      <c r="D24" s="225"/>
      <c r="E24" s="207"/>
      <c r="F24" s="206">
        <f>'[1]CP QL'!D17/'[1]gia ban'!G25</f>
        <v>116.36741336898395</v>
      </c>
      <c r="G24" s="372">
        <f t="shared" si="0"/>
        <v>2.0856773747228365E-2</v>
      </c>
    </row>
    <row r="25" spans="1:7" ht="16.5">
      <c r="A25" s="204" t="s">
        <v>249</v>
      </c>
      <c r="B25" s="205" t="s">
        <v>141</v>
      </c>
      <c r="C25" s="204"/>
      <c r="D25" s="225"/>
      <c r="E25" s="207"/>
      <c r="F25" s="206">
        <f>'[1]CP ban hang'!D15/'[1]gia ban'!G25</f>
        <v>662.40321369957576</v>
      </c>
      <c r="G25" s="372">
        <f t="shared" si="0"/>
        <v>0.11872390695633833</v>
      </c>
    </row>
    <row r="26" spans="1:7" ht="16.5">
      <c r="A26" s="204" t="s">
        <v>274</v>
      </c>
      <c r="B26" s="205" t="s">
        <v>376</v>
      </c>
      <c r="C26" s="213"/>
      <c r="D26" s="215"/>
      <c r="E26" s="344"/>
      <c r="F26" s="225">
        <v>700</v>
      </c>
      <c r="G26" s="372">
        <f t="shared" si="0"/>
        <v>0.12546245723247473</v>
      </c>
    </row>
    <row r="27" spans="1:7" ht="16.5">
      <c r="A27" s="226"/>
      <c r="B27" s="352" t="s">
        <v>6</v>
      </c>
      <c r="C27" s="226"/>
      <c r="D27" s="353"/>
      <c r="E27" s="229"/>
      <c r="F27" s="230">
        <f>F3+F22+F23+F24+F25+F26</f>
        <v>5579.3582832746552</v>
      </c>
      <c r="G27" s="373">
        <f t="shared" si="0"/>
        <v>1</v>
      </c>
    </row>
  </sheetData>
  <mergeCells count="2">
    <mergeCell ref="A1:F1"/>
    <mergeCell ref="J10:K10"/>
  </mergeCells>
  <pageMargins left="0.25" right="0.25" top="0.06" bottom="7.0000000000000007E-2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C14" sqref="C14"/>
    </sheetView>
  </sheetViews>
  <sheetFormatPr defaultRowHeight="12.75"/>
  <cols>
    <col min="1" max="1" width="35.5703125" customWidth="1"/>
    <col min="2" max="2" width="20.5703125" customWidth="1"/>
    <col min="3" max="3" width="21.140625" customWidth="1"/>
    <col min="4" max="4" width="16.28515625" customWidth="1"/>
    <col min="5" max="5" width="22.42578125" customWidth="1"/>
  </cols>
  <sheetData>
    <row r="1" spans="1:5" ht="33" customHeight="1">
      <c r="A1" s="687" t="s">
        <v>385</v>
      </c>
      <c r="B1" s="394" t="s">
        <v>386</v>
      </c>
      <c r="C1" s="687" t="s">
        <v>403</v>
      </c>
      <c r="D1" s="687"/>
      <c r="E1" s="687"/>
    </row>
    <row r="2" spans="1:5" ht="54" customHeight="1">
      <c r="A2" s="687"/>
      <c r="B2" s="394" t="s">
        <v>387</v>
      </c>
      <c r="C2" s="394" t="s">
        <v>388</v>
      </c>
      <c r="D2" s="394" t="s">
        <v>389</v>
      </c>
      <c r="E2" s="394" t="s">
        <v>390</v>
      </c>
    </row>
    <row r="3" spans="1:5" ht="20.100000000000001" customHeight="1">
      <c r="A3" s="395" t="s">
        <v>392</v>
      </c>
      <c r="B3" s="395" t="s">
        <v>398</v>
      </c>
      <c r="C3" s="396"/>
      <c r="D3" s="396"/>
      <c r="E3" s="396"/>
    </row>
    <row r="4" spans="1:5" ht="20.100000000000001" customHeight="1">
      <c r="A4" s="395" t="s">
        <v>393</v>
      </c>
      <c r="B4" s="395" t="s">
        <v>399</v>
      </c>
      <c r="C4" s="396"/>
      <c r="D4" s="396"/>
      <c r="E4" s="396"/>
    </row>
    <row r="5" spans="1:5" ht="20.100000000000001" customHeight="1">
      <c r="A5" s="395" t="s">
        <v>391</v>
      </c>
      <c r="B5" s="395" t="s">
        <v>400</v>
      </c>
      <c r="C5" s="396"/>
      <c r="D5" s="396"/>
      <c r="E5" s="396"/>
    </row>
    <row r="6" spans="1:5" ht="20.100000000000001" customHeight="1">
      <c r="A6" s="395" t="s">
        <v>394</v>
      </c>
      <c r="B6" s="395" t="s">
        <v>401</v>
      </c>
      <c r="C6" s="397"/>
      <c r="D6" s="396"/>
      <c r="E6" s="396"/>
    </row>
    <row r="7" spans="1:5" ht="20.100000000000001" customHeight="1">
      <c r="A7" s="395" t="s">
        <v>395</v>
      </c>
      <c r="B7" s="395" t="s">
        <v>402</v>
      </c>
      <c r="C7" s="398">
        <v>0</v>
      </c>
      <c r="D7" s="399" t="s">
        <v>396</v>
      </c>
      <c r="E7" s="400" t="s">
        <v>397</v>
      </c>
    </row>
  </sheetData>
  <mergeCells count="2">
    <mergeCell ref="A1:A2"/>
    <mergeCell ref="C1:E1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selection activeCell="I20" sqref="I20"/>
    </sheetView>
  </sheetViews>
  <sheetFormatPr defaultRowHeight="12.75"/>
  <cols>
    <col min="1" max="1" width="4.5703125" customWidth="1"/>
    <col min="2" max="2" width="31.140625" bestFit="1" customWidth="1"/>
    <col min="3" max="3" width="11.28515625" bestFit="1" customWidth="1"/>
    <col min="4" max="8" width="10" bestFit="1" customWidth="1"/>
    <col min="9" max="9" width="12.140625" customWidth="1"/>
    <col min="10" max="10" width="12.140625" bestFit="1" customWidth="1"/>
  </cols>
  <sheetData>
    <row r="1" spans="1:10" ht="16.5">
      <c r="A1" s="578"/>
      <c r="B1" s="578"/>
      <c r="C1" s="578"/>
      <c r="D1" s="578"/>
      <c r="E1" s="578"/>
      <c r="F1" s="578"/>
      <c r="G1" s="578"/>
      <c r="H1" s="578"/>
      <c r="I1" s="578"/>
      <c r="J1" s="578"/>
    </row>
    <row r="2" spans="1:10" ht="18.75">
      <c r="A2" s="689" t="s">
        <v>512</v>
      </c>
      <c r="B2" s="689"/>
      <c r="C2" s="689"/>
      <c r="D2" s="689"/>
      <c r="E2" s="689"/>
      <c r="F2" s="689"/>
      <c r="G2" s="689"/>
      <c r="H2" s="689"/>
      <c r="I2" s="689"/>
      <c r="J2" s="689"/>
    </row>
    <row r="3" spans="1:10" ht="16.5">
      <c r="A3" s="578"/>
      <c r="B3" s="578"/>
      <c r="C3" s="578"/>
      <c r="D3" s="578"/>
      <c r="E3" s="578"/>
      <c r="F3" s="578"/>
      <c r="G3" s="578"/>
      <c r="H3" s="578"/>
      <c r="I3" s="578"/>
      <c r="J3" s="578"/>
    </row>
    <row r="4" spans="1:10" ht="16.5">
      <c r="A4" s="578"/>
      <c r="B4" s="578"/>
      <c r="C4" s="578"/>
      <c r="D4" s="578"/>
      <c r="E4" s="578"/>
      <c r="F4" s="578"/>
      <c r="G4" s="578"/>
      <c r="H4" s="578"/>
      <c r="I4" s="579" t="s">
        <v>535</v>
      </c>
      <c r="J4" s="579"/>
    </row>
    <row r="5" spans="1:10" ht="16.5">
      <c r="A5" s="578"/>
      <c r="B5" s="578"/>
      <c r="C5" s="578"/>
      <c r="D5" s="578"/>
      <c r="E5" s="578"/>
      <c r="F5" s="578"/>
      <c r="G5" s="578"/>
      <c r="H5" s="578"/>
      <c r="I5" s="578"/>
      <c r="J5" s="578"/>
    </row>
    <row r="6" spans="1:10" ht="20.100000000000001" customHeight="1">
      <c r="A6" s="690" t="s">
        <v>513</v>
      </c>
      <c r="B6" s="690" t="s">
        <v>514</v>
      </c>
      <c r="C6" s="690" t="s">
        <v>515</v>
      </c>
      <c r="D6" s="688" t="s">
        <v>516</v>
      </c>
      <c r="E6" s="688"/>
      <c r="F6" s="688"/>
      <c r="G6" s="688"/>
      <c r="H6" s="688"/>
      <c r="I6" s="688"/>
      <c r="J6" s="690" t="s">
        <v>6</v>
      </c>
    </row>
    <row r="7" spans="1:10" ht="20.100000000000001" customHeight="1">
      <c r="A7" s="691"/>
      <c r="B7" s="691"/>
      <c r="C7" s="691"/>
      <c r="D7" s="587" t="s">
        <v>529</v>
      </c>
      <c r="E7" s="587" t="s">
        <v>530</v>
      </c>
      <c r="F7" s="587" t="s">
        <v>531</v>
      </c>
      <c r="G7" s="587" t="s">
        <v>532</v>
      </c>
      <c r="H7" s="587" t="s">
        <v>533</v>
      </c>
      <c r="I7" s="587" t="s">
        <v>534</v>
      </c>
      <c r="J7" s="691"/>
    </row>
    <row r="8" spans="1:10" ht="20.100000000000001" customHeight="1">
      <c r="A8" s="580">
        <v>1</v>
      </c>
      <c r="B8" s="586" t="s">
        <v>517</v>
      </c>
      <c r="C8" s="588">
        <v>465942</v>
      </c>
      <c r="D8" s="580"/>
      <c r="E8" s="580"/>
      <c r="F8" s="580"/>
      <c r="G8" s="580"/>
      <c r="H8" s="580"/>
      <c r="I8" s="580"/>
      <c r="J8" s="580"/>
    </row>
    <row r="9" spans="1:10" ht="20.100000000000001" customHeight="1">
      <c r="A9" s="580">
        <v>2</v>
      </c>
      <c r="B9" s="586" t="s">
        <v>518</v>
      </c>
      <c r="C9" s="588">
        <v>425836</v>
      </c>
      <c r="D9" s="580"/>
      <c r="E9" s="580"/>
      <c r="F9" s="580"/>
      <c r="G9" s="580"/>
      <c r="H9" s="580"/>
      <c r="I9" s="580"/>
      <c r="J9" s="580"/>
    </row>
    <row r="10" spans="1:10" ht="20.100000000000001" customHeight="1">
      <c r="A10" s="580">
        <v>3</v>
      </c>
      <c r="B10" s="582" t="s">
        <v>520</v>
      </c>
      <c r="C10" s="581">
        <v>130836</v>
      </c>
      <c r="D10" s="580"/>
      <c r="E10" s="580"/>
      <c r="F10" s="580"/>
      <c r="G10" s="580"/>
      <c r="H10" s="580"/>
      <c r="I10" s="580"/>
      <c r="J10" s="580"/>
    </row>
    <row r="11" spans="1:10" ht="20.100000000000001" customHeight="1">
      <c r="A11" s="580">
        <v>4</v>
      </c>
      <c r="B11" s="582" t="s">
        <v>519</v>
      </c>
      <c r="C11" s="581">
        <v>295000</v>
      </c>
      <c r="D11" s="580"/>
      <c r="E11" s="580"/>
      <c r="F11" s="580"/>
      <c r="G11" s="580"/>
      <c r="H11" s="580"/>
      <c r="I11" s="580"/>
      <c r="J11" s="580"/>
    </row>
    <row r="12" spans="1:10" ht="20.100000000000001" customHeight="1">
      <c r="A12" s="580">
        <v>5</v>
      </c>
      <c r="B12" s="580" t="s">
        <v>521</v>
      </c>
      <c r="C12" s="580" t="s">
        <v>523</v>
      </c>
      <c r="D12" s="580"/>
      <c r="E12" s="580"/>
      <c r="F12" s="580"/>
      <c r="G12" s="580"/>
      <c r="H12" s="580"/>
      <c r="I12" s="580"/>
      <c r="J12" s="580"/>
    </row>
    <row r="13" spans="1:10" ht="20.100000000000001" customHeight="1">
      <c r="A13" s="580">
        <v>6</v>
      </c>
      <c r="B13" s="580" t="s">
        <v>522</v>
      </c>
      <c r="C13" s="580"/>
      <c r="D13" s="581">
        <v>30000</v>
      </c>
      <c r="E13" s="581">
        <v>10000</v>
      </c>
      <c r="F13" s="581">
        <v>10000</v>
      </c>
      <c r="G13" s="581">
        <v>15000</v>
      </c>
      <c r="H13" s="581">
        <v>20452</v>
      </c>
      <c r="I13" s="581">
        <v>45384</v>
      </c>
      <c r="J13" s="581">
        <f>SUM(D13:I13)</f>
        <v>130836</v>
      </c>
    </row>
    <row r="14" spans="1:10" ht="20.100000000000001" customHeight="1">
      <c r="A14" s="580">
        <v>7</v>
      </c>
      <c r="B14" s="580" t="s">
        <v>524</v>
      </c>
      <c r="C14" s="580"/>
      <c r="D14" s="583">
        <v>0.15</v>
      </c>
      <c r="E14" s="583">
        <v>0.1</v>
      </c>
      <c r="F14" s="583">
        <v>0.15</v>
      </c>
      <c r="G14" s="583">
        <v>0.15</v>
      </c>
      <c r="H14" s="583">
        <v>0.25</v>
      </c>
      <c r="I14" s="583">
        <v>0.2</v>
      </c>
      <c r="J14" s="583">
        <f>SUM(D14:I14)</f>
        <v>1</v>
      </c>
    </row>
    <row r="15" spans="1:10" ht="20.100000000000001" customHeight="1">
      <c r="A15" s="580">
        <v>8</v>
      </c>
      <c r="B15" s="580" t="s">
        <v>525</v>
      </c>
      <c r="C15" s="580"/>
      <c r="D15" s="584">
        <f t="shared" ref="D15:I15" si="0">$C$11*D14</f>
        <v>44250</v>
      </c>
      <c r="E15" s="584">
        <f t="shared" si="0"/>
        <v>29500</v>
      </c>
      <c r="F15" s="584">
        <f t="shared" si="0"/>
        <v>44250</v>
      </c>
      <c r="G15" s="584">
        <f t="shared" si="0"/>
        <v>44250</v>
      </c>
      <c r="H15" s="584">
        <f t="shared" si="0"/>
        <v>73750</v>
      </c>
      <c r="I15" s="584">
        <f t="shared" si="0"/>
        <v>59000</v>
      </c>
      <c r="J15" s="581">
        <f>SUM(D15:I15)</f>
        <v>295000</v>
      </c>
    </row>
    <row r="16" spans="1:10" ht="20.100000000000001" customHeight="1">
      <c r="A16" s="580">
        <v>9</v>
      </c>
      <c r="B16" s="580" t="s">
        <v>526</v>
      </c>
      <c r="C16" s="580"/>
      <c r="D16" s="580">
        <v>24</v>
      </c>
      <c r="E16" s="580">
        <v>14</v>
      </c>
      <c r="F16" s="580">
        <v>10</v>
      </c>
      <c r="G16" s="580">
        <v>7</v>
      </c>
      <c r="H16" s="580">
        <v>5</v>
      </c>
      <c r="I16" s="580">
        <v>2</v>
      </c>
      <c r="J16" s="580"/>
    </row>
    <row r="17" spans="1:10" ht="20.100000000000001" customHeight="1">
      <c r="A17" s="580">
        <v>10</v>
      </c>
      <c r="B17" s="580" t="s">
        <v>527</v>
      </c>
      <c r="C17" s="580"/>
      <c r="D17" s="585">
        <v>9.1660000000000005E-3</v>
      </c>
      <c r="E17" s="585">
        <v>9.1660000000000005E-3</v>
      </c>
      <c r="F17" s="585">
        <v>9.1660000000000005E-3</v>
      </c>
      <c r="G17" s="585">
        <v>9.1660000000000005E-3</v>
      </c>
      <c r="H17" s="585">
        <v>9.1660000000000005E-3</v>
      </c>
      <c r="I17" s="585">
        <v>9.1660000000000005E-3</v>
      </c>
      <c r="J17" s="580"/>
    </row>
    <row r="18" spans="1:10" ht="20.100000000000001" customHeight="1">
      <c r="A18" s="580"/>
      <c r="B18" s="586" t="s">
        <v>528</v>
      </c>
      <c r="C18" s="580"/>
      <c r="D18" s="581">
        <f t="shared" ref="D18:I18" si="1">D15*D16*D17</f>
        <v>9734.2920000000013</v>
      </c>
      <c r="E18" s="581">
        <f t="shared" si="1"/>
        <v>3785.5580000000004</v>
      </c>
      <c r="F18" s="581">
        <f t="shared" si="1"/>
        <v>4055.9550000000004</v>
      </c>
      <c r="G18" s="581">
        <f t="shared" si="1"/>
        <v>2839.1685000000002</v>
      </c>
      <c r="H18" s="581">
        <f t="shared" si="1"/>
        <v>3379.9625000000001</v>
      </c>
      <c r="I18" s="581">
        <f t="shared" si="1"/>
        <v>1081.588</v>
      </c>
      <c r="J18" s="581">
        <f>SUM(D18:I18)</f>
        <v>24876.524000000005</v>
      </c>
    </row>
    <row r="20" spans="1:10">
      <c r="F20" s="242"/>
    </row>
    <row r="21" spans="1:10">
      <c r="F21" s="577"/>
    </row>
  </sheetData>
  <mergeCells count="6">
    <mergeCell ref="D6:I6"/>
    <mergeCell ref="A2:J2"/>
    <mergeCell ref="A6:A7"/>
    <mergeCell ref="B6:B7"/>
    <mergeCell ref="C6:C7"/>
    <mergeCell ref="J6:J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11</vt:i4>
      </vt:variant>
    </vt:vector>
  </HeadingPairs>
  <TitlesOfParts>
    <vt:vector size="31" baseType="lpstr">
      <vt:lpstr>Thong so - Độ nhậy - Bảng 1</vt:lpstr>
      <vt:lpstr>Tổng mức đầu tư</vt:lpstr>
      <vt:lpstr>Khấu hao- Bảng 3</vt:lpstr>
      <vt:lpstr>KQKD- Bảng 4</vt:lpstr>
      <vt:lpstr>KH trả nợ-Bảng 5</vt:lpstr>
      <vt:lpstr>VLD- Bảng 6</vt:lpstr>
      <vt:lpstr>NPV (Tong dau tu) -Bảng 7</vt:lpstr>
      <vt:lpstr>NPV - CĐT</vt:lpstr>
      <vt:lpstr>CP SXC -Bảng 9</vt:lpstr>
      <vt:lpstr>Bảng 10 -CP Quản lý</vt:lpstr>
      <vt:lpstr>Bảng 11-CP Bán hàng</vt:lpstr>
      <vt:lpstr>Bảng 12-Quỹ lương</vt:lpstr>
      <vt:lpstr>Bảng 13 - CP Kính trắng</vt:lpstr>
      <vt:lpstr>Bảng 14 -CP Kính màu</vt:lpstr>
      <vt:lpstr>Bảng 15 -Giá bán</vt:lpstr>
      <vt:lpstr>Sheet1</vt:lpstr>
      <vt:lpstr>Sheet2</vt:lpstr>
      <vt:lpstr>Sheet3</vt:lpstr>
      <vt:lpstr>Sheet4</vt:lpstr>
      <vt:lpstr>Sheet5</vt:lpstr>
      <vt:lpstr>'KH trả nợ-Bảng 5'!Print_Area</vt:lpstr>
      <vt:lpstr>'KQKD- Bảng 4'!Print_Area</vt:lpstr>
      <vt:lpstr>'NPV - CĐT'!Print_Area</vt:lpstr>
      <vt:lpstr>'NPV (Tong dau tu) -Bảng 7'!Print_Area</vt:lpstr>
      <vt:lpstr>'Thong so - Độ nhậy - Bảng 1'!Print_Area</vt:lpstr>
      <vt:lpstr>'VLD- Bảng 6'!Print_Area</vt:lpstr>
      <vt:lpstr>'KH trả nợ-Bảng 5'!Print_Titles</vt:lpstr>
      <vt:lpstr>'Khấu hao- Bảng 3'!Print_Titles</vt:lpstr>
      <vt:lpstr>'KQKD- Bảng 4'!Print_Titles</vt:lpstr>
      <vt:lpstr>'NPV - CĐT'!Print_Titles</vt:lpstr>
      <vt:lpstr>'NPV (Tong dau tu) -Bảng 7'!Print_Titles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Thach</cp:lastModifiedBy>
  <cp:lastPrinted>2016-11-21T08:38:17Z</cp:lastPrinted>
  <dcterms:created xsi:type="dcterms:W3CDTF">2014-12-04T17:02:19Z</dcterms:created>
  <dcterms:modified xsi:type="dcterms:W3CDTF">2019-07-15T12:41:48Z</dcterms:modified>
</cp:coreProperties>
</file>