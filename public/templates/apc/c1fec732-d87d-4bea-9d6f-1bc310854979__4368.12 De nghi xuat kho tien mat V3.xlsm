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360" yWindow="30" windowWidth="7635" windowHeight="9030"/>
  </bookViews>
  <sheets>
    <sheet name="Menu" sheetId="1" r:id="rId1"/>
    <sheet name="NhatKy" sheetId="2" r:id="rId2"/>
  </sheets>
  <functionGroups builtInGroupCount="17"/>
  <definedNames>
    <definedName name="_xlnm.Print_Area" localSheetId="0">Menu!$A$1:$D$40</definedName>
    <definedName name="_xlnm.Print_Area" localSheetId="1">NhatKy!#REF!</definedName>
  </definedNames>
  <calcPr calcId="144525"/>
</workbook>
</file>

<file path=xl/calcChain.xml><?xml version="1.0" encoding="utf-8"?>
<calcChain xmlns="http://schemas.openxmlformats.org/spreadsheetml/2006/main">
  <c r="D24" i="1" l="1"/>
  <c r="D27" i="1" l="1"/>
  <c r="D28" i="1"/>
  <c r="D29" i="1"/>
  <c r="D26" i="1"/>
  <c r="D13" i="1"/>
  <c r="D14" i="1"/>
  <c r="D15" i="1"/>
  <c r="D16" i="1"/>
  <c r="D17" i="1"/>
  <c r="D18" i="1"/>
  <c r="D30" i="1" l="1"/>
  <c r="D20" i="1"/>
  <c r="D21" i="1"/>
  <c r="D19" i="1"/>
  <c r="G12" i="1"/>
  <c r="A31" i="1"/>
  <c r="D22" i="1" l="1"/>
  <c r="C3" i="1"/>
  <c r="A23" i="1"/>
</calcChain>
</file>

<file path=xl/sharedStrings.xml><?xml version="1.0" encoding="utf-8"?>
<sst xmlns="http://schemas.openxmlformats.org/spreadsheetml/2006/main" count="49" uniqueCount="41">
  <si>
    <t>NGÂN HÀNG NÔNG NGHIỆP</t>
  </si>
  <si>
    <t>VÀ PHÁT TRIỂN NÔNG THÔN VIỆT NAM</t>
  </si>
  <si>
    <t>CỘNG HÒA XÃ HỘI CHỦ NGHĨA VIỆT NAM</t>
  </si>
  <si>
    <t>Độc lập – Tự do – Hạnh phúc</t>
  </si>
  <si>
    <t>STT</t>
  </si>
  <si>
    <t>Mệnh giá</t>
  </si>
  <si>
    <t>Số tờ</t>
  </si>
  <si>
    <t>Thành tiền</t>
  </si>
  <si>
    <t>Tổng số</t>
  </si>
  <si>
    <t>CHI NHÁNH H. QUỲ HỢP TÂY NGHỆ AN</t>
  </si>
  <si>
    <t>GIẤY ĐỀ NGHỊ XUẤT KHO</t>
  </si>
  <si>
    <t>TIỀN MẶT, NGOẠI TỆ TIỀN MẶT, ẤN CHỈ QUAN TRỌNG</t>
  </si>
  <si>
    <t>1. Tiền mặt</t>
  </si>
  <si>
    <t>Đơn vị: VNĐ</t>
  </si>
  <si>
    <t>Kính gửi: Giám đốc Agribank Chi nhánh huyện Quỳ Hợp Tây Nghệ An</t>
  </si>
  <si>
    <t>2. Ngoại tệ tiền mặt (USD/EUR…)</t>
  </si>
  <si>
    <t>3. Ấn chỉ quan trọng</t>
  </si>
  <si>
    <t>Loại ấn chỉ quan trọng</t>
  </si>
  <si>
    <t>Số lượng</t>
  </si>
  <si>
    <t>Từ seri đến seri</t>
  </si>
  <si>
    <t xml:space="preserve">         Thủ quỹ chính/Thủ quỹ kiêm Thủ kho tiền có trách nhiệm giao nhận và bảo quản tiền mặt, ngoại tệ tiền mặt, ấn chỉ quan trọng đảm bảo tuyệt đối an toàn theo đúng quy định.</t>
  </si>
  <si>
    <r>
      <t>Ghi chú</t>
    </r>
    <r>
      <rPr>
        <sz val="12"/>
        <color theme="1"/>
        <rFont val="Times New Roman"/>
        <family val="1"/>
      </rPr>
      <t xml:space="preserve">: </t>
    </r>
  </si>
  <si>
    <t>- Người kiểm soát: Trưởng phòng/Tổ trưởng tổ Kế toán và Ngân quỹ.</t>
  </si>
  <si>
    <t>- Người phê duyệt: Giám đốc Chi nhánh/Phòng giao dịch.</t>
  </si>
  <si>
    <t>Ngày tháng</t>
  </si>
  <si>
    <t>Địa danh</t>
  </si>
  <si>
    <t>Quỳ Hợp</t>
  </si>
  <si>
    <t>(Có thể sửa lại)</t>
  </si>
  <si>
    <t xml:space="preserve">         Căn cứ nhu cầu giao dịch, Thủ quỹ chính/Thủ quỹ kiêm Thủ kho tiền: .................... đề nghị xuất kho tiền mặt, ngoại tệ tiền mặt, ấn chỉ quan trọng; cụ thể như sau:</t>
  </si>
  <si>
    <r>
      <t xml:space="preserve">NGƯỜI ĐỀ NGHỊ             NGƯỜI KIỂM SOÁT             NGƯỜI PHÊ DUYỆT
</t>
    </r>
    <r>
      <rPr>
        <i/>
        <sz val="12"/>
        <color theme="1"/>
        <rFont val="Times New Roman"/>
        <family val="1"/>
      </rPr>
      <t>(Ký, ghi rõ họ, tên)                 (Ký, ghi rõ họ, tên)                          (Ký, ghi rõ họ, tên)</t>
    </r>
  </si>
  <si>
    <t>Đơn vị: ...........</t>
  </si>
  <si>
    <t>(Tự động theo ngày hiện tại)</t>
  </si>
  <si>
    <t>Ghi chú: File này nên để ở Desktop khi nào cần thì mở trực tiếp làm luôn khỏi phải sửa lại thông tin nữa</t>
  </si>
  <si>
    <t>USD</t>
  </si>
  <si>
    <t>EUR</t>
  </si>
  <si>
    <t>...</t>
  </si>
  <si>
    <t>Ngoại tệ:</t>
  </si>
  <si>
    <t>(Danh sách các loại ngoại tệ)</t>
  </si>
  <si>
    <t>(Bấm để chọn đơn vị ngoại tệ khác nếu muốn)</t>
  </si>
  <si>
    <t>Moi vuong mac xin gui ve email hoangthach1287@gmail.com</t>
  </si>
  <si>
    <t>NHẬT KÝ BẢNG KÊ</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</si>
</sst>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3" formatCode="_(* #,##0.00_);_(* \(#,##0.00\);_(* &quot;-&quot;??_);_(@_)"/>
    <numFmt numFmtId="164" formatCode="_(* #,##0_);_(* \(#,##0\);_(* &quot;-&quot;??_);_(@_)"/>
  </numFmts>
  <fonts count="14" x14ac:knownFonts="1">
    <font>
      <sz val="10"/>
      <color theme="1"/>
      <name val="Arial"/>
      <family val="2"/>
    </font>
    <font>
      <sz val="10"/>
      <color theme="1"/>
      <name val="Arial"/>
      <family val="2"/>
    </font>
    <font>
      <b/>
      <sz val="13"/>
      <color theme="1"/>
      <name val="Times New Roman"/>
      <family val="1"/>
    </font>
    <font>
      <sz val="12"/>
      <color theme="1"/>
      <name val="Times New Roman"/>
      <family val="1"/>
    </font>
    <font>
      <b/>
      <i/>
      <u/>
      <sz val="12"/>
      <color theme="1"/>
      <name val="Times New Roman"/>
      <family val="1"/>
    </font>
    <font>
      <i/>
      <sz val="12"/>
      <color theme="1"/>
      <name val="Times New Roman"/>
      <family val="1"/>
    </font>
    <font>
      <b/>
      <sz val="12"/>
      <color theme="1"/>
      <name val="Times New Roman"/>
      <family val="1"/>
    </font>
    <font>
      <sz val="13"/>
      <color theme="1"/>
      <name val="Times New Roman"/>
      <family val="1"/>
    </font>
    <font>
      <i/>
      <sz val="13"/>
      <color theme="1"/>
      <name val="Times New Roman"/>
      <family val="1"/>
    </font>
    <font>
      <b/>
      <sz val="14"/>
      <color theme="1"/>
      <name val="Times New Roman"/>
      <family val="1"/>
    </font>
    <font>
      <i/>
      <sz val="12"/>
      <color rgb="FF0000FF"/>
      <name val="Times New Roman"/>
      <family val="1"/>
    </font>
    <font>
      <sz val="13"/>
      <color rgb="FF0000FF"/>
      <name val="Times New Roman"/>
      <family val="1"/>
    </font>
    <font>
      <sz val="13"/>
      <color theme="0"/>
      <name val="Times New Roman"/>
      <family val="1"/>
    </font>
    <font>
      <sz val="13"/>
      <name val="Times New Roman"/>
      <family val="1"/>
    </font>
  </fonts>
  <fills count="3">
    <fill>
      <patternFill patternType="none"/>
    </fill>
    <fill>
      <patternFill patternType="gray125"/>
    </fill>
    <fill>
      <patternFill patternType="solid">
        <fgColor theme="9" tint="0.79998168889431442"/>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style="thin">
        <color indexed="64"/>
      </top>
      <bottom/>
      <diagonal/>
    </border>
  </borders>
  <cellStyleXfs count="2">
    <xf numFmtId="0" fontId="0" fillId="0" borderId="0"/>
    <xf numFmtId="43" fontId="1" fillId="0" borderId="0" applyFont="0" applyFill="0" applyBorder="0" applyAlignment="0" applyProtection="0"/>
  </cellStyleXfs>
  <cellXfs count="39">
    <xf numFmtId="0" fontId="0" fillId="0" borderId="0" xfId="0"/>
    <xf numFmtId="0" fontId="2" fillId="0" borderId="1" xfId="0" applyFont="1" applyBorder="1" applyAlignment="1">
      <alignment horizontal="center" vertical="center" wrapText="1"/>
    </xf>
    <xf numFmtId="0" fontId="2" fillId="0" borderId="0" xfId="0" applyFont="1"/>
    <xf numFmtId="0" fontId="4" fillId="0" borderId="0" xfId="0" applyFont="1" applyAlignment="1">
      <alignment horizontal="left" vertical="center"/>
    </xf>
    <xf numFmtId="0" fontId="5" fillId="0" borderId="0" xfId="0" applyFont="1" applyAlignment="1">
      <alignment horizontal="left" vertical="center"/>
    </xf>
    <xf numFmtId="0" fontId="7" fillId="0" borderId="0" xfId="0" applyFont="1"/>
    <xf numFmtId="0" fontId="7" fillId="0" borderId="0" xfId="0" applyFont="1" applyAlignment="1">
      <alignment horizontal="left" vertical="center"/>
    </xf>
    <xf numFmtId="0" fontId="10" fillId="0" borderId="0" xfId="0" applyFont="1"/>
    <xf numFmtId="0" fontId="11" fillId="0" borderId="0" xfId="0" applyFont="1" applyFill="1"/>
    <xf numFmtId="0" fontId="8" fillId="0" borderId="0" xfId="0" applyFont="1"/>
    <xf numFmtId="0" fontId="8" fillId="0" borderId="0" xfId="0" applyFont="1" applyAlignment="1">
      <alignment horizontal="right"/>
    </xf>
    <xf numFmtId="14" fontId="11" fillId="0" borderId="0" xfId="0" applyNumberFormat="1" applyFont="1" applyFill="1"/>
    <xf numFmtId="0" fontId="7" fillId="0" borderId="1" xfId="0" applyFont="1" applyBorder="1"/>
    <xf numFmtId="0" fontId="11" fillId="0" borderId="1" xfId="0" applyFont="1" applyBorder="1"/>
    <xf numFmtId="0" fontId="7" fillId="0" borderId="1" xfId="0" applyFont="1" applyBorder="1" applyAlignment="1">
      <alignment horizontal="center" vertical="center" wrapText="1"/>
    </xf>
    <xf numFmtId="3" fontId="7" fillId="0" borderId="1" xfId="1" applyNumberFormat="1" applyFont="1" applyBorder="1" applyAlignment="1">
      <alignment horizontal="center" vertical="center" wrapText="1"/>
    </xf>
    <xf numFmtId="3" fontId="7" fillId="0" borderId="1" xfId="0" applyNumberFormat="1" applyFont="1" applyBorder="1" applyAlignment="1">
      <alignment horizontal="center" vertical="center" wrapText="1"/>
    </xf>
    <xf numFmtId="3" fontId="7" fillId="0" borderId="1" xfId="0" applyNumberFormat="1" applyFont="1" applyBorder="1" applyAlignment="1">
      <alignment horizontal="right" vertical="center" wrapText="1"/>
    </xf>
    <xf numFmtId="164" fontId="7" fillId="0" borderId="0" xfId="1" applyNumberFormat="1" applyFont="1"/>
    <xf numFmtId="3" fontId="2" fillId="0" borderId="1" xfId="0" applyNumberFormat="1" applyFont="1" applyBorder="1" applyAlignment="1">
      <alignment horizontal="center" vertical="center" wrapText="1"/>
    </xf>
    <xf numFmtId="3" fontId="2" fillId="0" borderId="1" xfId="0" applyNumberFormat="1" applyFont="1" applyBorder="1" applyAlignment="1">
      <alignment horizontal="right" vertical="center" wrapText="1"/>
    </xf>
    <xf numFmtId="0" fontId="12" fillId="0" borderId="0" xfId="0" applyFont="1" applyAlignment="1">
      <alignment horizontal="right"/>
    </xf>
    <xf numFmtId="0" fontId="7" fillId="0" borderId="2" xfId="0" applyFont="1" applyBorder="1" applyAlignment="1">
      <alignment horizontal="center" vertical="center" wrapText="1"/>
    </xf>
    <xf numFmtId="0" fontId="13" fillId="2" borderId="1" xfId="0" applyFont="1" applyFill="1" applyBorder="1" applyAlignment="1">
      <alignment horizontal="center"/>
    </xf>
    <xf numFmtId="3" fontId="2" fillId="0" borderId="1" xfId="1" applyNumberFormat="1" applyFont="1" applyBorder="1" applyAlignment="1">
      <alignment horizontal="center" vertical="center" wrapText="1"/>
    </xf>
    <xf numFmtId="0" fontId="9" fillId="0" borderId="0" xfId="0" applyFont="1" applyAlignment="1">
      <alignment horizontal="center"/>
    </xf>
    <xf numFmtId="0" fontId="7" fillId="0" borderId="0" xfId="0" applyFont="1" applyBorder="1" applyAlignment="1">
      <alignment horizontal="center" vertical="center" wrapText="1"/>
    </xf>
    <xf numFmtId="0" fontId="2" fillId="0" borderId="0" xfId="0" applyFont="1" applyBorder="1" applyAlignment="1">
      <alignment horizontal="center" vertical="center" wrapText="1"/>
    </xf>
    <xf numFmtId="0" fontId="9" fillId="0" borderId="0" xfId="0" applyFont="1" applyAlignment="1">
      <alignment horizontal="center"/>
    </xf>
    <xf numFmtId="0" fontId="3" fillId="0" borderId="0" xfId="0" applyFont="1" applyAlignment="1">
      <alignment horizontal="center" vertical="center"/>
    </xf>
    <xf numFmtId="0" fontId="6" fillId="0" borderId="0" xfId="0" applyFont="1" applyAlignment="1">
      <alignment horizontal="center" vertical="top"/>
    </xf>
    <xf numFmtId="0" fontId="6" fillId="0" borderId="0" xfId="0" applyFont="1" applyAlignment="1">
      <alignment horizontal="center" vertical="center"/>
    </xf>
    <xf numFmtId="0" fontId="2" fillId="0" borderId="0" xfId="0" applyFont="1" applyAlignment="1">
      <alignment horizontal="center" vertical="center"/>
    </xf>
    <xf numFmtId="0" fontId="8" fillId="0" borderId="0" xfId="0" applyFont="1" applyAlignment="1">
      <alignment horizontal="center"/>
    </xf>
    <xf numFmtId="0" fontId="7" fillId="0" borderId="0" xfId="0" applyFont="1" applyAlignment="1">
      <alignment horizontal="justify" vertical="center" wrapText="1"/>
    </xf>
    <xf numFmtId="0" fontId="9" fillId="0" borderId="0" xfId="0" applyFont="1" applyAlignment="1">
      <alignment horizontal="center" vertical="center"/>
    </xf>
    <xf numFmtId="0" fontId="7" fillId="0" borderId="3" xfId="0" applyFont="1" applyBorder="1" applyAlignment="1">
      <alignment horizontal="left" wrapText="1"/>
    </xf>
    <xf numFmtId="0" fontId="2" fillId="0" borderId="0" xfId="0" applyFont="1" applyAlignment="1">
      <alignment horizontal="center" vertical="center" wrapText="1"/>
    </xf>
    <xf numFmtId="0" fontId="9" fillId="0" borderId="0" xfId="0" applyFont="1" applyAlignment="1">
      <alignment horizontal="center"/>
    </xf>
  </cellXfs>
  <cellStyles count="2">
    <cellStyle name="Comma" xfId="1" builtinId="3"/>
    <cellStyle name="Normal" xfId="0" builtinId="0"/>
  </cellStyles>
  <dxfs count="0"/>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600710</xdr:colOff>
      <xdr:row>2</xdr:row>
      <xdr:rowOff>203835</xdr:rowOff>
    </xdr:from>
    <xdr:to>
      <xdr:col>1</xdr:col>
      <xdr:colOff>1743075</xdr:colOff>
      <xdr:row>2</xdr:row>
      <xdr:rowOff>203835</xdr:rowOff>
    </xdr:to>
    <xdr:cxnSp macro="">
      <xdr:nvCxnSpPr>
        <xdr:cNvPr id="2" name="Straight Arrow Connector 1"/>
        <xdr:cNvCxnSpPr>
          <a:cxnSpLocks noChangeShapeType="1"/>
        </xdr:cNvCxnSpPr>
      </xdr:nvCxnSpPr>
      <xdr:spPr bwMode="auto">
        <a:xfrm>
          <a:off x="600710" y="622935"/>
          <a:ext cx="1751965" cy="0"/>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editAs="oneCell">
    <xdr:from>
      <xdr:col>2</xdr:col>
      <xdr:colOff>701675</xdr:colOff>
      <xdr:row>2</xdr:row>
      <xdr:rowOff>3810</xdr:rowOff>
    </xdr:from>
    <xdr:to>
      <xdr:col>3</xdr:col>
      <xdr:colOff>1388375</xdr:colOff>
      <xdr:row>2</xdr:row>
      <xdr:rowOff>3810</xdr:rowOff>
    </xdr:to>
    <xdr:cxnSp macro="">
      <xdr:nvCxnSpPr>
        <xdr:cNvPr id="3" name="Straight Arrow Connector 2"/>
        <xdr:cNvCxnSpPr>
          <a:cxnSpLocks noChangeShapeType="1"/>
        </xdr:cNvCxnSpPr>
      </xdr:nvCxnSpPr>
      <xdr:spPr bwMode="auto">
        <a:xfrm>
          <a:off x="3654425" y="422910"/>
          <a:ext cx="1944000" cy="0"/>
        </a:xfrm>
        <a:prstGeom prst="straightConnector1">
          <a:avLst/>
        </a:prstGeom>
        <a:noFill/>
        <a:ln w="9525">
          <a:solidFill>
            <a:srgbClr val="000000"/>
          </a:solidFill>
          <a:round/>
          <a:headEnd/>
          <a:tailEnd/>
        </a:ln>
        <a:extLst>
          <a:ext uri="{909E8E84-426E-40DD-AFC4-6F175D3DCCD1}">
            <a14:hiddenFill xmlns:a14="http://schemas.microsoft.com/office/drawing/2010/main">
              <a:noFill/>
            </a14:hiddenFill>
          </a:ext>
        </a:extLst>
      </xdr:spPr>
    </xdr:cxnSp>
    <xdr:clientData/>
  </xdr:twoCellAnchor>
  <mc:AlternateContent xmlns:mc="http://schemas.openxmlformats.org/markup-compatibility/2006">
    <mc:Choice xmlns:a14="http://schemas.microsoft.com/office/drawing/2010/main" Requires="a14">
      <xdr:twoCellAnchor editAs="oneCell">
        <xdr:from>
          <xdr:col>5</xdr:col>
          <xdr:colOff>19050</xdr:colOff>
          <xdr:row>9</xdr:row>
          <xdr:rowOff>57150</xdr:rowOff>
        </xdr:from>
        <xdr:to>
          <xdr:col>6</xdr:col>
          <xdr:colOff>352425</xdr:colOff>
          <xdr:row>9</xdr:row>
          <xdr:rowOff>428625</xdr:rowOff>
        </xdr:to>
        <xdr:sp macro="" textlink="">
          <xdr:nvSpPr>
            <xdr:cNvPr id="1025" name="CommandButton1"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xdr:twoCellAnchor editAs="oneCell">
    <xdr:from>
      <xdr:col>5</xdr:col>
      <xdr:colOff>38100</xdr:colOff>
      <xdr:row>0</xdr:row>
      <xdr:rowOff>0</xdr:rowOff>
    </xdr:from>
    <xdr:to>
      <xdr:col>15</xdr:col>
      <xdr:colOff>191474</xdr:colOff>
      <xdr:row>4</xdr:row>
      <xdr:rowOff>123963</xdr:rowOff>
    </xdr:to>
    <xdr:pic>
      <xdr:nvPicPr>
        <xdr:cNvPr id="4" name="Picture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467600" y="0"/>
          <a:ext cx="6982799" cy="990738"/>
        </a:xfrm>
        <a:prstGeom prst="rect">
          <a:avLst/>
        </a:prstGeom>
      </xdr:spPr>
    </xdr:pic>
    <xdr:clientData/>
  </xdr:twoCellAnchor>
  <xdr:twoCellAnchor editAs="oneCell">
    <xdr:from>
      <xdr:col>5</xdr:col>
      <xdr:colOff>16650</xdr:colOff>
      <xdr:row>4</xdr:row>
      <xdr:rowOff>188100</xdr:rowOff>
    </xdr:from>
    <xdr:to>
      <xdr:col>13</xdr:col>
      <xdr:colOff>263568</xdr:colOff>
      <xdr:row>7</xdr:row>
      <xdr:rowOff>140399</xdr:rowOff>
    </xdr:to>
    <xdr:pic>
      <xdr:nvPicPr>
        <xdr:cNvPr id="5" name="Picture 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979425" y="1054875"/>
          <a:ext cx="5857143" cy="60952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6</xdr:col>
          <xdr:colOff>428625</xdr:colOff>
          <xdr:row>9</xdr:row>
          <xdr:rowOff>57150</xdr:rowOff>
        </xdr:from>
        <xdr:to>
          <xdr:col>7</xdr:col>
          <xdr:colOff>409575</xdr:colOff>
          <xdr:row>9</xdr:row>
          <xdr:rowOff>428625</xdr:rowOff>
        </xdr:to>
        <xdr:sp macro="" textlink="">
          <xdr:nvSpPr>
            <xdr:cNvPr id="1027" name="CommandButton2" hidden="1">
              <a:extLst>
                <a:ext uri="{63B3BB69-23CF-44E3-9099-C40C66FF867C}">
                  <a14:compatExt spid="_x0000_s1027"/>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228600</xdr:colOff>
          <xdr:row>0</xdr:row>
          <xdr:rowOff>66675</xdr:rowOff>
        </xdr:from>
        <xdr:to>
          <xdr:col>5</xdr:col>
          <xdr:colOff>523875</xdr:colOff>
          <xdr:row>1</xdr:row>
          <xdr:rowOff>190500</xdr:rowOff>
        </xdr:to>
        <xdr:sp macro="" textlink="">
          <xdr:nvSpPr>
            <xdr:cNvPr id="2049" name="CommandButton1"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Q46"/>
  <sheetViews>
    <sheetView tabSelected="1" workbookViewId="0">
      <selection activeCell="F24" sqref="F24"/>
    </sheetView>
  </sheetViews>
  <sheetFormatPr defaultRowHeight="16.5" x14ac:dyDescent="0.25"/>
  <cols>
    <col min="1" max="1" width="9.140625" style="5"/>
    <col min="2" max="2" width="35.140625" style="5" customWidth="1"/>
    <col min="3" max="3" width="18.85546875" style="5" customWidth="1"/>
    <col min="4" max="4" width="30.42578125" style="5" customWidth="1"/>
    <col min="5" max="5" width="5.7109375" style="5" customWidth="1"/>
    <col min="6" max="6" width="12" style="5" customWidth="1"/>
    <col min="7" max="7" width="17.28515625" style="5" bestFit="1" customWidth="1"/>
    <col min="8" max="16384" width="9.140625" style="5"/>
  </cols>
  <sheetData>
    <row r="1" spans="1:17" x14ac:dyDescent="0.25">
      <c r="A1" s="29" t="s">
        <v>0</v>
      </c>
      <c r="B1" s="29"/>
      <c r="C1" s="31" t="s">
        <v>2</v>
      </c>
      <c r="D1" s="31"/>
      <c r="Q1" s="5" t="s">
        <v>39</v>
      </c>
    </row>
    <row r="2" spans="1:17" x14ac:dyDescent="0.25">
      <c r="A2" s="29" t="s">
        <v>1</v>
      </c>
      <c r="B2" s="29"/>
      <c r="C2" s="32" t="s">
        <v>3</v>
      </c>
      <c r="D2" s="32"/>
    </row>
    <row r="3" spans="1:17" ht="18.75" customHeight="1" x14ac:dyDescent="0.25">
      <c r="A3" s="30" t="s">
        <v>9</v>
      </c>
      <c r="B3" s="30"/>
      <c r="C3" s="33" t="str">
        <f ca="1">G11&amp;", "&amp;"ngày "&amp;TEXT(DAY(G12),"00")&amp;" tháng "&amp;TEXT(MONTH(G12),"00")&amp;" năm "&amp;YEAR(G12)</f>
        <v>Quỳ Hợp, ngày 10 tháng 02 năm 2025</v>
      </c>
      <c r="D3" s="33"/>
    </row>
    <row r="5" spans="1:17" ht="18.75" x14ac:dyDescent="0.25">
      <c r="A5" s="35" t="s">
        <v>10</v>
      </c>
      <c r="B5" s="35"/>
      <c r="C5" s="35"/>
      <c r="D5" s="35"/>
    </row>
    <row r="6" spans="1:17" ht="15.75" customHeight="1" x14ac:dyDescent="0.25">
      <c r="A6" s="32" t="s">
        <v>11</v>
      </c>
      <c r="B6" s="32"/>
      <c r="C6" s="32"/>
      <c r="D6" s="32"/>
    </row>
    <row r="8" spans="1:17" x14ac:dyDescent="0.25">
      <c r="B8" s="6" t="s">
        <v>14</v>
      </c>
    </row>
    <row r="9" spans="1:17" x14ac:dyDescent="0.25">
      <c r="F9" s="7" t="s">
        <v>32</v>
      </c>
    </row>
    <row r="10" spans="1:17" ht="36" customHeight="1" x14ac:dyDescent="0.25">
      <c r="A10" s="34" t="s">
        <v>28</v>
      </c>
      <c r="B10" s="34"/>
      <c r="C10" s="34"/>
      <c r="D10" s="34"/>
      <c r="F10" s="7"/>
    </row>
    <row r="11" spans="1:17" x14ac:dyDescent="0.25">
      <c r="A11" s="2" t="s">
        <v>12</v>
      </c>
      <c r="D11" s="10" t="s">
        <v>13</v>
      </c>
      <c r="F11" s="5" t="s">
        <v>25</v>
      </c>
      <c r="G11" s="8" t="s">
        <v>26</v>
      </c>
      <c r="H11" s="9" t="s">
        <v>27</v>
      </c>
    </row>
    <row r="12" spans="1:17" x14ac:dyDescent="0.25">
      <c r="A12" s="1" t="s">
        <v>4</v>
      </c>
      <c r="B12" s="1" t="s">
        <v>5</v>
      </c>
      <c r="C12" s="1" t="s">
        <v>6</v>
      </c>
      <c r="D12" s="1" t="s">
        <v>7</v>
      </c>
      <c r="F12" s="5" t="s">
        <v>24</v>
      </c>
      <c r="G12" s="11">
        <f ca="1">TODAY()</f>
        <v>45698</v>
      </c>
      <c r="H12" s="9" t="s">
        <v>31</v>
      </c>
    </row>
    <row r="13" spans="1:17" x14ac:dyDescent="0.25">
      <c r="A13" s="14">
        <v>1</v>
      </c>
      <c r="B13" s="15">
        <v>500000</v>
      </c>
      <c r="C13" s="16">
        <v>10000</v>
      </c>
      <c r="D13" s="17">
        <f t="shared" ref="D13:D18" si="0">B13*C13</f>
        <v>5000000000</v>
      </c>
      <c r="F13" s="12" t="s">
        <v>36</v>
      </c>
      <c r="G13" s="13" t="s">
        <v>33</v>
      </c>
      <c r="H13" s="9" t="s">
        <v>37</v>
      </c>
    </row>
    <row r="14" spans="1:17" x14ac:dyDescent="0.25">
      <c r="A14" s="14">
        <v>2</v>
      </c>
      <c r="B14" s="15">
        <v>200000</v>
      </c>
      <c r="C14" s="16">
        <v>3000</v>
      </c>
      <c r="D14" s="17">
        <f t="shared" si="0"/>
        <v>600000000</v>
      </c>
      <c r="G14" s="13" t="s">
        <v>34</v>
      </c>
      <c r="H14" s="9"/>
    </row>
    <row r="15" spans="1:17" x14ac:dyDescent="0.25">
      <c r="A15" s="14">
        <v>3</v>
      </c>
      <c r="B15" s="15">
        <v>100000</v>
      </c>
      <c r="C15" s="16">
        <v>5000</v>
      </c>
      <c r="D15" s="17">
        <f t="shared" si="0"/>
        <v>500000000</v>
      </c>
      <c r="G15" s="13" t="s">
        <v>35</v>
      </c>
    </row>
    <row r="16" spans="1:17" x14ac:dyDescent="0.25">
      <c r="A16" s="14">
        <v>4</v>
      </c>
      <c r="B16" s="15">
        <v>50000</v>
      </c>
      <c r="C16" s="16">
        <v>2000</v>
      </c>
      <c r="D16" s="17">
        <f t="shared" si="0"/>
        <v>100000000</v>
      </c>
    </row>
    <row r="17" spans="1:7" x14ac:dyDescent="0.25">
      <c r="A17" s="14">
        <v>5</v>
      </c>
      <c r="B17" s="15">
        <v>20000</v>
      </c>
      <c r="C17" s="16">
        <v>3000</v>
      </c>
      <c r="D17" s="17">
        <f t="shared" si="0"/>
        <v>60000000</v>
      </c>
    </row>
    <row r="18" spans="1:7" x14ac:dyDescent="0.25">
      <c r="A18" s="14">
        <v>6</v>
      </c>
      <c r="B18" s="15">
        <v>10000</v>
      </c>
      <c r="C18" s="16">
        <v>2000</v>
      </c>
      <c r="D18" s="17">
        <f t="shared" si="0"/>
        <v>20000000</v>
      </c>
    </row>
    <row r="19" spans="1:7" x14ac:dyDescent="0.25">
      <c r="A19" s="14">
        <v>7</v>
      </c>
      <c r="B19" s="15">
        <v>5000</v>
      </c>
      <c r="C19" s="16">
        <v>3000</v>
      </c>
      <c r="D19" s="17">
        <f>B19*C19</f>
        <v>15000000</v>
      </c>
      <c r="G19" s="18"/>
    </row>
    <row r="20" spans="1:7" x14ac:dyDescent="0.25">
      <c r="A20" s="14">
        <v>8</v>
      </c>
      <c r="B20" s="15">
        <v>2000</v>
      </c>
      <c r="C20" s="16">
        <v>5000</v>
      </c>
      <c r="D20" s="17">
        <f t="shared" ref="D20:D21" si="1">B20*C20</f>
        <v>10000000</v>
      </c>
    </row>
    <row r="21" spans="1:7" x14ac:dyDescent="0.25">
      <c r="A21" s="14">
        <v>9</v>
      </c>
      <c r="B21" s="15">
        <v>1000</v>
      </c>
      <c r="C21" s="16">
        <v>1000</v>
      </c>
      <c r="D21" s="17">
        <f t="shared" si="1"/>
        <v>1000000</v>
      </c>
    </row>
    <row r="22" spans="1:7" x14ac:dyDescent="0.25">
      <c r="A22" s="1"/>
      <c r="B22" s="1" t="s">
        <v>8</v>
      </c>
      <c r="C22" s="19"/>
      <c r="D22" s="20">
        <f>SUM(D13:D21)</f>
        <v>6306000000</v>
      </c>
    </row>
    <row r="23" spans="1:7" x14ac:dyDescent="0.25">
      <c r="A23" s="5" t="str">
        <f>"(Số tiền bằng chữ: "&amp;DocSoUni(D22)&amp;" đồng)"</f>
        <v>(Số tiền bằng chữ: Sáu tỷ ba trăm linh sáu triệu đồng)</v>
      </c>
    </row>
    <row r="24" spans="1:7" x14ac:dyDescent="0.25">
      <c r="A24" s="2" t="s">
        <v>15</v>
      </c>
      <c r="D24" s="10" t="str">
        <f>"Đơn vị: "&amp;F24</f>
        <v>Đơn vị: USD</v>
      </c>
      <c r="F24" s="23" t="s">
        <v>33</v>
      </c>
      <c r="G24" s="9" t="s">
        <v>38</v>
      </c>
    </row>
    <row r="25" spans="1:7" x14ac:dyDescent="0.25">
      <c r="A25" s="1" t="s">
        <v>4</v>
      </c>
      <c r="B25" s="1" t="s">
        <v>5</v>
      </c>
      <c r="C25" s="1" t="s">
        <v>6</v>
      </c>
      <c r="D25" s="1" t="s">
        <v>7</v>
      </c>
    </row>
    <row r="26" spans="1:7" x14ac:dyDescent="0.25">
      <c r="A26" s="14">
        <v>1</v>
      </c>
      <c r="B26" s="14">
        <v>100</v>
      </c>
      <c r="C26" s="14"/>
      <c r="D26" s="14">
        <f>B26*C26</f>
        <v>0</v>
      </c>
    </row>
    <row r="27" spans="1:7" x14ac:dyDescent="0.25">
      <c r="A27" s="14">
        <v>2</v>
      </c>
      <c r="B27" s="14">
        <v>50</v>
      </c>
      <c r="C27" s="14"/>
      <c r="D27" s="14">
        <f t="shared" ref="D27:D29" si="2">B27*C27</f>
        <v>0</v>
      </c>
    </row>
    <row r="28" spans="1:7" x14ac:dyDescent="0.25">
      <c r="A28" s="14">
        <v>3</v>
      </c>
      <c r="B28" s="14">
        <v>20</v>
      </c>
      <c r="C28" s="14"/>
      <c r="D28" s="14">
        <f t="shared" si="2"/>
        <v>0</v>
      </c>
    </row>
    <row r="29" spans="1:7" x14ac:dyDescent="0.25">
      <c r="A29" s="14">
        <v>4</v>
      </c>
      <c r="B29" s="14">
        <v>10</v>
      </c>
      <c r="C29" s="14"/>
      <c r="D29" s="14">
        <f t="shared" si="2"/>
        <v>0</v>
      </c>
    </row>
    <row r="30" spans="1:7" x14ac:dyDescent="0.25">
      <c r="A30" s="1"/>
      <c r="B30" s="1" t="s">
        <v>8</v>
      </c>
      <c r="C30" s="1"/>
      <c r="D30" s="24">
        <f>SUM(D26:D29)</f>
        <v>0</v>
      </c>
    </row>
    <row r="31" spans="1:7" x14ac:dyDescent="0.25">
      <c r="A31" s="6" t="str">
        <f>"(Số tiền bằng chữ: "&amp;DocSoUni(D30)&amp;" "&amp;F24&amp;")"</f>
        <v>(Số tiền bằng chữ: Không USD)</v>
      </c>
      <c r="D31" s="21"/>
    </row>
    <row r="32" spans="1:7" x14ac:dyDescent="0.25">
      <c r="A32" s="2" t="s">
        <v>16</v>
      </c>
      <c r="D32" s="10" t="s">
        <v>30</v>
      </c>
    </row>
    <row r="33" spans="1:4" x14ac:dyDescent="0.25">
      <c r="A33" s="1" t="s">
        <v>4</v>
      </c>
      <c r="B33" s="1" t="s">
        <v>17</v>
      </c>
      <c r="C33" s="1" t="s">
        <v>18</v>
      </c>
      <c r="D33" s="1" t="s">
        <v>19</v>
      </c>
    </row>
    <row r="34" spans="1:4" x14ac:dyDescent="0.25">
      <c r="A34" s="22">
        <v>1</v>
      </c>
      <c r="B34" s="22"/>
      <c r="C34" s="22"/>
      <c r="D34" s="22"/>
    </row>
    <row r="35" spans="1:4" x14ac:dyDescent="0.25">
      <c r="A35" s="14">
        <v>2</v>
      </c>
      <c r="B35" s="14"/>
      <c r="C35" s="14"/>
      <c r="D35" s="14"/>
    </row>
    <row r="36" spans="1:4" x14ac:dyDescent="0.25">
      <c r="A36" s="14"/>
      <c r="B36" s="14"/>
      <c r="C36" s="14"/>
      <c r="D36" s="14"/>
    </row>
    <row r="37" spans="1:4" x14ac:dyDescent="0.25">
      <c r="A37" s="14"/>
      <c r="B37" s="1" t="s">
        <v>8</v>
      </c>
      <c r="C37" s="14"/>
      <c r="D37" s="14"/>
    </row>
    <row r="38" spans="1:4" ht="36" customHeight="1" x14ac:dyDescent="0.25">
      <c r="A38" s="36" t="s">
        <v>20</v>
      </c>
      <c r="B38" s="36"/>
      <c r="C38" s="36"/>
      <c r="D38" s="36"/>
    </row>
    <row r="40" spans="1:4" ht="38.25" customHeight="1" x14ac:dyDescent="0.25">
      <c r="A40" s="37" t="s">
        <v>29</v>
      </c>
      <c r="B40" s="37"/>
      <c r="C40" s="37"/>
      <c r="D40" s="37"/>
    </row>
    <row r="44" spans="1:4" x14ac:dyDescent="0.25">
      <c r="A44" s="3" t="s">
        <v>21</v>
      </c>
    </row>
    <row r="45" spans="1:4" x14ac:dyDescent="0.25">
      <c r="A45" s="4" t="s">
        <v>22</v>
      </c>
    </row>
    <row r="46" spans="1:4" x14ac:dyDescent="0.25">
      <c r="A46" s="4" t="s">
        <v>23</v>
      </c>
    </row>
  </sheetData>
  <mergeCells count="11">
    <mergeCell ref="A10:D10"/>
    <mergeCell ref="A5:D5"/>
    <mergeCell ref="A6:D6"/>
    <mergeCell ref="A38:D38"/>
    <mergeCell ref="A40:D40"/>
    <mergeCell ref="A1:B1"/>
    <mergeCell ref="A2:B2"/>
    <mergeCell ref="A3:B3"/>
    <mergeCell ref="C1:D1"/>
    <mergeCell ref="C2:D2"/>
    <mergeCell ref="C3:D3"/>
  </mergeCells>
  <dataValidations count="1">
    <dataValidation type="list" allowBlank="1" showInputMessage="1" showErrorMessage="1" sqref="F24">
      <formula1>$G$13:$G$15</formula1>
    </dataValidation>
  </dataValidations>
  <pageMargins left="0.54" right="0.4" top="0.45" bottom="0.75" header="0.3" footer="0.3"/>
  <pageSetup paperSize="9" fitToHeight="0" orientation="portrait" r:id="rId1"/>
  <drawing r:id="rId2"/>
  <legacyDrawing r:id="rId3"/>
  <controls>
    <mc:AlternateContent xmlns:mc="http://schemas.openxmlformats.org/markup-compatibility/2006">
      <mc:Choice Requires="x14">
        <control shapeId="1025" r:id="rId4" name="CommandButton1">
          <controlPr defaultSize="0" autoLine="0" r:id="rId5">
            <anchor moveWithCells="1">
              <from>
                <xdr:col>5</xdr:col>
                <xdr:colOff>19050</xdr:colOff>
                <xdr:row>9</xdr:row>
                <xdr:rowOff>57150</xdr:rowOff>
              </from>
              <to>
                <xdr:col>6</xdr:col>
                <xdr:colOff>352425</xdr:colOff>
                <xdr:row>9</xdr:row>
                <xdr:rowOff>428625</xdr:rowOff>
              </to>
            </anchor>
          </controlPr>
        </control>
      </mc:Choice>
      <mc:Fallback>
        <control shapeId="1025" r:id="rId4" name="CommandButton1"/>
      </mc:Fallback>
    </mc:AlternateContent>
    <mc:AlternateContent xmlns:mc="http://schemas.openxmlformats.org/markup-compatibility/2006">
      <mc:Choice Requires="x14">
        <control shapeId="1027" r:id="rId6" name="CommandButton2">
          <controlPr defaultSize="0" autoLine="0" r:id="rId7">
            <anchor moveWithCells="1">
              <from>
                <xdr:col>6</xdr:col>
                <xdr:colOff>428625</xdr:colOff>
                <xdr:row>9</xdr:row>
                <xdr:rowOff>57150</xdr:rowOff>
              </from>
              <to>
                <xdr:col>7</xdr:col>
                <xdr:colOff>409575</xdr:colOff>
                <xdr:row>9</xdr:row>
                <xdr:rowOff>428625</xdr:rowOff>
              </to>
            </anchor>
          </controlPr>
        </control>
      </mc:Choice>
      <mc:Fallback>
        <control shapeId="1027" r:id="rId6" name="CommandButton2"/>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2:D21"/>
  <sheetViews>
    <sheetView workbookViewId="0">
      <selection activeCell="G12" sqref="G12"/>
    </sheetView>
  </sheetViews>
  <sheetFormatPr defaultRowHeight="16.5" x14ac:dyDescent="0.25"/>
  <cols>
    <col min="1" max="1" width="9.140625" style="5"/>
    <col min="2" max="2" width="35.140625" style="5" customWidth="1"/>
    <col min="3" max="3" width="18.85546875" style="5" customWidth="1"/>
    <col min="4" max="4" width="30.42578125" style="5" customWidth="1"/>
    <col min="5" max="5" width="9.5703125" style="5" customWidth="1"/>
    <col min="6" max="16384" width="9.140625" style="5"/>
  </cols>
  <sheetData>
    <row r="2" spans="1:4" ht="18.75" x14ac:dyDescent="0.3">
      <c r="A2" s="38" t="s">
        <v>40</v>
      </c>
      <c r="B2" s="38"/>
      <c r="C2" s="38"/>
      <c r="D2" s="38"/>
    </row>
    <row r="3" spans="1:4" ht="18.75" x14ac:dyDescent="0.3">
      <c r="A3" s="28"/>
      <c r="B3" s="28"/>
      <c r="C3" s="28"/>
      <c r="D3" s="28"/>
    </row>
    <row r="4" spans="1:4" ht="18.75" x14ac:dyDescent="0.3">
      <c r="A4" s="28"/>
      <c r="B4" s="28"/>
      <c r="C4" s="28"/>
      <c r="D4" s="28"/>
    </row>
    <row r="5" spans="1:4" ht="18.75" x14ac:dyDescent="0.3">
      <c r="A5" s="28"/>
      <c r="B5" s="28"/>
      <c r="C5" s="28"/>
      <c r="D5" s="28"/>
    </row>
    <row r="6" spans="1:4" ht="18.75" x14ac:dyDescent="0.3">
      <c r="A6" s="28"/>
      <c r="B6" s="28"/>
      <c r="C6" s="28"/>
      <c r="D6" s="28"/>
    </row>
    <row r="7" spans="1:4" ht="18.75" x14ac:dyDescent="0.3">
      <c r="A7" s="28"/>
      <c r="B7" s="28"/>
      <c r="C7" s="28"/>
      <c r="D7" s="28"/>
    </row>
    <row r="8" spans="1:4" ht="18.75" x14ac:dyDescent="0.3">
      <c r="A8" s="28"/>
      <c r="B8" s="28"/>
      <c r="C8" s="28"/>
      <c r="D8" s="28"/>
    </row>
    <row r="9" spans="1:4" ht="18.75" x14ac:dyDescent="0.3">
      <c r="A9" s="25"/>
      <c r="B9" s="25"/>
      <c r="C9" s="25"/>
      <c r="D9" s="25"/>
    </row>
    <row r="10" spans="1:4" x14ac:dyDescent="0.25">
      <c r="A10" s="26"/>
      <c r="B10" s="27"/>
      <c r="C10" s="26"/>
      <c r="D10" s="26"/>
    </row>
    <row r="11" spans="1:4" x14ac:dyDescent="0.25">
      <c r="A11" s="26"/>
      <c r="B11" s="27"/>
      <c r="C11" s="26"/>
      <c r="D11" s="26"/>
    </row>
    <row r="12" spans="1:4" x14ac:dyDescent="0.25">
      <c r="A12" s="26"/>
      <c r="B12" s="27"/>
      <c r="C12" s="26"/>
      <c r="D12" s="26"/>
    </row>
    <row r="13" spans="1:4" x14ac:dyDescent="0.25">
      <c r="A13" s="26"/>
      <c r="B13" s="27"/>
      <c r="C13" s="26"/>
      <c r="D13" s="26"/>
    </row>
    <row r="14" spans="1:4" x14ac:dyDescent="0.25">
      <c r="A14" s="26"/>
      <c r="B14" s="27"/>
      <c r="C14" s="26"/>
      <c r="D14" s="26"/>
    </row>
    <row r="15" spans="1:4" x14ac:dyDescent="0.25">
      <c r="A15" s="26"/>
      <c r="B15" s="27"/>
      <c r="C15" s="26"/>
      <c r="D15" s="26"/>
    </row>
    <row r="16" spans="1:4" x14ac:dyDescent="0.25">
      <c r="A16" s="26"/>
      <c r="B16" s="27"/>
      <c r="C16" s="26"/>
      <c r="D16" s="26"/>
    </row>
    <row r="17" spans="1:4" x14ac:dyDescent="0.25">
      <c r="A17" s="26"/>
      <c r="B17" s="27"/>
      <c r="C17" s="26"/>
      <c r="D17" s="26"/>
    </row>
    <row r="18" spans="1:4" x14ac:dyDescent="0.25">
      <c r="A18" s="26"/>
      <c r="B18" s="27"/>
      <c r="C18" s="26"/>
      <c r="D18" s="26"/>
    </row>
    <row r="19" spans="1:4" x14ac:dyDescent="0.25">
      <c r="A19" s="26"/>
      <c r="B19" s="27"/>
      <c r="C19" s="26"/>
      <c r="D19" s="26"/>
    </row>
    <row r="20" spans="1:4" x14ac:dyDescent="0.25">
      <c r="A20" s="26"/>
      <c r="B20" s="27"/>
      <c r="C20" s="26"/>
      <c r="D20" s="26"/>
    </row>
    <row r="21" spans="1:4" x14ac:dyDescent="0.25">
      <c r="A21" s="26"/>
      <c r="B21" s="27"/>
      <c r="C21" s="26"/>
      <c r="D21" s="26"/>
    </row>
  </sheetData>
  <mergeCells count="1">
    <mergeCell ref="A2:D2"/>
  </mergeCells>
  <pageMargins left="0.54" right="0.4" top="0.45" bottom="0.75" header="0.3" footer="0.3"/>
  <pageSetup paperSize="9" fitToHeight="0" orientation="portrait" r:id="rId1"/>
  <drawing r:id="rId2"/>
  <legacyDrawing r:id="rId3"/>
  <controls>
    <mc:AlternateContent xmlns:mc="http://schemas.openxmlformats.org/markup-compatibility/2006">
      <mc:Choice Requires="x14">
        <control shapeId="2049" r:id="rId4" name="CommandButton1">
          <controlPr defaultSize="0" autoLine="0" r:id="rId5">
            <anchor moveWithCells="1">
              <from>
                <xdr:col>4</xdr:col>
                <xdr:colOff>228600</xdr:colOff>
                <xdr:row>0</xdr:row>
                <xdr:rowOff>66675</xdr:rowOff>
              </from>
              <to>
                <xdr:col>5</xdr:col>
                <xdr:colOff>523875</xdr:colOff>
                <xdr:row>1</xdr:row>
                <xdr:rowOff>190500</xdr:rowOff>
              </to>
            </anchor>
          </controlPr>
        </control>
      </mc:Choice>
      <mc:Fallback>
        <control shapeId="2049" r:id="rId4"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Menu</vt:lpstr>
      <vt:lpstr>NhatKy</vt:lpstr>
      <vt:lpstr>Menu!Print_Area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Hoang Thach - 3612</dc:creator>
  <cp:lastModifiedBy>Hoang Thach - 3612</cp:lastModifiedBy>
  <cp:lastPrinted>2025-02-06T15:21:55Z</cp:lastPrinted>
  <dcterms:created xsi:type="dcterms:W3CDTF">2025-02-05T07:32:13Z</dcterms:created>
  <dcterms:modified xsi:type="dcterms:W3CDTF">2025-02-10T02:48:42Z</dcterms:modified>
</cp:coreProperties>
</file>